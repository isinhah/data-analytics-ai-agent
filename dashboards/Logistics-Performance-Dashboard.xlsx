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A1C0D20AB771E8A/Documentos/"/>
    </mc:Choice>
  </mc:AlternateContent>
  <xr:revisionPtr revIDLastSave="91" documentId="8_{94D834AE-4E25-4E4A-825F-C5BF42DCAD8B}" xr6:coauthVersionLast="47" xr6:coauthVersionMax="47" xr10:uidLastSave="{15B1B4D8-037D-4D96-9513-022274E52FED}"/>
  <bookViews>
    <workbookView xWindow="-120" yWindow="-120" windowWidth="29040" windowHeight="15720" xr2:uid="{00000000-000D-0000-FFFF-FFFF00000000}"/>
  </bookViews>
  <sheets>
    <sheet name="DASHBOARD" sheetId="6" r:id="rId1"/>
    <sheet name="CÁLCULOS" sheetId="4" r:id="rId2"/>
    <sheet name="BASE DE DADOS" sheetId="1" r:id="rId3"/>
    <sheet name="RAW_VENDAS" sheetId="2" r:id="rId4"/>
    <sheet name="RAW_LOGISTICA" sheetId="3" r:id="rId5"/>
  </sheets>
  <definedNames>
    <definedName name="SegmentaçãodeDados_transportadora1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4" l="1"/>
  <c r="I8" i="4"/>
  <c r="K8" i="4"/>
  <c r="N13" i="4"/>
</calcChain>
</file>

<file path=xl/sharedStrings.xml><?xml version="1.0" encoding="utf-8"?>
<sst xmlns="http://schemas.openxmlformats.org/spreadsheetml/2006/main" count="18889" uniqueCount="1181">
  <si>
    <t>id_pedido</t>
  </si>
  <si>
    <t>id_cliente</t>
  </si>
  <si>
    <t>data_compra</t>
  </si>
  <si>
    <t>sku_produto</t>
  </si>
  <si>
    <t>produto_nome</t>
  </si>
  <si>
    <t>categoria</t>
  </si>
  <si>
    <t>peso_gramas</t>
  </si>
  <si>
    <t>quantidade</t>
  </si>
  <si>
    <t>custo_unitario</t>
  </si>
  <si>
    <t>valor_unitario_venda</t>
  </si>
  <si>
    <t>cupom_desconto</t>
  </si>
  <si>
    <t>percentual_desconto</t>
  </si>
  <si>
    <t>transportadora</t>
  </si>
  <si>
    <t>valor_frete</t>
  </si>
  <si>
    <t>cidade_destino</t>
  </si>
  <si>
    <t>data_postagem</t>
  </si>
  <si>
    <t>data_previsao_entrega</t>
  </si>
  <si>
    <t>data_entrega_real</t>
  </si>
  <si>
    <t>status_pedido</t>
  </si>
  <si>
    <t>nota_review</t>
  </si>
  <si>
    <t>comentario_cliente</t>
  </si>
  <si>
    <t>valor_venda_final</t>
  </si>
  <si>
    <t>custo_total</t>
  </si>
  <si>
    <t>lucro_liquido</t>
  </si>
  <si>
    <t>margem_lucro_pct</t>
  </si>
  <si>
    <t>dias_atraso</t>
  </si>
  <si>
    <t>status_entrega</t>
  </si>
  <si>
    <t>PED-1000</t>
  </si>
  <si>
    <t>HW-003</t>
  </si>
  <si>
    <t>Placa de Vídeo RTX 4060</t>
  </si>
  <si>
    <t>Hardware</t>
  </si>
  <si>
    <t>Loggi</t>
  </si>
  <si>
    <t>Recife</t>
  </si>
  <si>
    <t>Entregue</t>
  </si>
  <si>
    <t>Excelente atendimento e entrega.</t>
  </si>
  <si>
    <t>No Prazo</t>
  </si>
  <si>
    <t>PED-1001</t>
  </si>
  <si>
    <t>HW-007</t>
  </si>
  <si>
    <t>Placa-Mãe B550</t>
  </si>
  <si>
    <t>FedEx</t>
  </si>
  <si>
    <t>Joinville</t>
  </si>
  <si>
    <t>Muito bom, sem reclamações.</t>
  </si>
  <si>
    <t>PED-1002</t>
  </si>
  <si>
    <t>LIC-001</t>
  </si>
  <si>
    <t>Licença Antivírus Kaspersky</t>
  </si>
  <si>
    <t>Licenças</t>
  </si>
  <si>
    <t>PROMO10</t>
  </si>
  <si>
    <t>São Paulo</t>
  </si>
  <si>
    <t>Superou minhas expectativas!</t>
  </si>
  <si>
    <t>PED-1003</t>
  </si>
  <si>
    <t>AC-002</t>
  </si>
  <si>
    <t>Teclado Mecânico RGB</t>
  </si>
  <si>
    <t>Acessórios</t>
  </si>
  <si>
    <t>Fortaleza</t>
  </si>
  <si>
    <t>Em Trânsito</t>
  </si>
  <si>
    <t>Chegou com pequeno atraso, mas o produto é bom.</t>
  </si>
  <si>
    <t>Em Trânsito / Pendente</t>
  </si>
  <si>
    <t>PED-1004</t>
  </si>
  <si>
    <t>HW-008</t>
  </si>
  <si>
    <t>Gabinete Gamer RGB</t>
  </si>
  <si>
    <t>OFF20</t>
  </si>
  <si>
    <t>Jadlog</t>
  </si>
  <si>
    <t>Curitiba</t>
  </si>
  <si>
    <t>Cancelado</t>
  </si>
  <si>
    <t>Suporte ruim, difícil contato.</t>
  </si>
  <si>
    <t>PED-1005</t>
  </si>
  <si>
    <t>AC-005</t>
  </si>
  <si>
    <t>Hub USB-C 7 Portas</t>
  </si>
  <si>
    <t>Florianópolis</t>
  </si>
  <si>
    <t>Entrega no prazo e produto conforme descrito.</t>
  </si>
  <si>
    <t>PED-1006</t>
  </si>
  <si>
    <t>AC-001</t>
  </si>
  <si>
    <t>Mouse Wireless Ergonômico</t>
  </si>
  <si>
    <t>PED-1007</t>
  </si>
  <si>
    <t>HW-002</t>
  </si>
  <si>
    <t>Notebook Gamer i7</t>
  </si>
  <si>
    <t>Correios</t>
  </si>
  <si>
    <t>Produto de qualidade, entrega pontual.</t>
  </si>
  <si>
    <t>PED-1008</t>
  </si>
  <si>
    <t>Chegou antes do prazo, excelente!</t>
  </si>
  <si>
    <t>PED-1009</t>
  </si>
  <si>
    <t>LIC-003</t>
  </si>
  <si>
    <t>Licença Cloud 1TB</t>
  </si>
  <si>
    <t>Belém</t>
  </si>
  <si>
    <t>Frete rápido, adorei!</t>
  </si>
  <si>
    <t>PED-1010</t>
  </si>
  <si>
    <t>LIC-002</t>
  </si>
  <si>
    <t>Licença VPN NordVPN</t>
  </si>
  <si>
    <t>PED-1011</t>
  </si>
  <si>
    <t>AC-004</t>
  </si>
  <si>
    <t>Webcam Full HD</t>
  </si>
  <si>
    <t>PED-1012</t>
  </si>
  <si>
    <t>AC-007</t>
  </si>
  <si>
    <t>Cabo HDMI 2.1 3m</t>
  </si>
  <si>
    <t>PED-1013</t>
  </si>
  <si>
    <t>AC-006</t>
  </si>
  <si>
    <t>Mousepad XL Gamer</t>
  </si>
  <si>
    <t>Belo Horizonte</t>
  </si>
  <si>
    <t>PED-1014</t>
  </si>
  <si>
    <t>Rio de Janeiro</t>
  </si>
  <si>
    <t>PED-1015</t>
  </si>
  <si>
    <t>Salvador</t>
  </si>
  <si>
    <t>Nunca mais compro aqui.</t>
  </si>
  <si>
    <t>Atrasado</t>
  </si>
  <si>
    <t>PED-1016</t>
  </si>
  <si>
    <t>HW-004</t>
  </si>
  <si>
    <t>SSD NVMe 1TB</t>
  </si>
  <si>
    <t>PED-1017</t>
  </si>
  <si>
    <t>Frete caro e entrega lenta.</t>
  </si>
  <si>
    <t>PED-1018</t>
  </si>
  <si>
    <t>HW-005</t>
  </si>
  <si>
    <t>Processador Ryzen 7</t>
  </si>
  <si>
    <t>Parabéns pela agilidade!</t>
  </si>
  <si>
    <t>PED-1019</t>
  </si>
  <si>
    <t>SW-001</t>
  </si>
  <si>
    <t>Windows 11 Pro</t>
  </si>
  <si>
    <t>Software</t>
  </si>
  <si>
    <t>Qualidade impecável, voltarei a comprar.</t>
  </si>
  <si>
    <t>PED-1020</t>
  </si>
  <si>
    <t>Entrega rápida, muito satisfeito!</t>
  </si>
  <si>
    <t>PED-1021</t>
  </si>
  <si>
    <t>Entrega demorou mais que o previsto.</t>
  </si>
  <si>
    <t>PED-1022</t>
  </si>
  <si>
    <t>LIC-004</t>
  </si>
  <si>
    <t>Licença Backup Acronis</t>
  </si>
  <si>
    <t>PED-1023</t>
  </si>
  <si>
    <t>Manaus</t>
  </si>
  <si>
    <t>Produto original, vendedor confiável.</t>
  </si>
  <si>
    <t>PED-1024</t>
  </si>
  <si>
    <t>Não recomendo, péssima experiência.</t>
  </si>
  <si>
    <t>PED-1025</t>
  </si>
  <si>
    <t>Muito atraso na entrega.</t>
  </si>
  <si>
    <t>PED-1026</t>
  </si>
  <si>
    <t>Goiânia</t>
  </si>
  <si>
    <t>Embalagem perfeita, produto intacto.</t>
  </si>
  <si>
    <t>PED-1027</t>
  </si>
  <si>
    <t>PED-1028</t>
  </si>
  <si>
    <t>AC-003</t>
  </si>
  <si>
    <t>Headset Gamer 7.1</t>
  </si>
  <si>
    <t>PED-1029</t>
  </si>
  <si>
    <t>Veio errado, tive que devolver.</t>
  </si>
  <si>
    <t>PED-1030</t>
  </si>
  <si>
    <t>PED-1031</t>
  </si>
  <si>
    <t>PED-1032</t>
  </si>
  <si>
    <t>PED-1033</t>
  </si>
  <si>
    <t>PED-1034</t>
  </si>
  <si>
    <t>Produto bom, mas o frete foi caro.</t>
  </si>
  <si>
    <t>PED-1035</t>
  </si>
  <si>
    <t>HW-006</t>
  </si>
  <si>
    <t>Fonte 750W Modular</t>
  </si>
  <si>
    <t>Campinas</t>
  </si>
  <si>
    <t>PED-1036</t>
  </si>
  <si>
    <t>PED-1037</t>
  </si>
  <si>
    <t>Cancelei porque demorou demais.</t>
  </si>
  <si>
    <t>PED-1038</t>
  </si>
  <si>
    <t>HW-001</t>
  </si>
  <si>
    <t>Monitor 24pol IPS</t>
  </si>
  <si>
    <t>Porto Alegre</t>
  </si>
  <si>
    <t>PED-1039</t>
  </si>
  <si>
    <t>PED-1040</t>
  </si>
  <si>
    <t>PED-1041</t>
  </si>
  <si>
    <t>Extraviado</t>
  </si>
  <si>
    <t>Embalagem danificada, produto riscado.</t>
  </si>
  <si>
    <t>PED-1042</t>
  </si>
  <si>
    <t>SW-003</t>
  </si>
  <si>
    <t>Adobe Creative Cloud</t>
  </si>
  <si>
    <t>Tudo certo, nota 10!</t>
  </si>
  <si>
    <t>PED-1043</t>
  </si>
  <si>
    <t>Decepcionante do início ao fim.</t>
  </si>
  <si>
    <t>PED-1044</t>
  </si>
  <si>
    <t>Pior experiência de compra online.</t>
  </si>
  <si>
    <t>PED-1045</t>
  </si>
  <si>
    <t>Produto top, recomendo!</t>
  </si>
  <si>
    <t>PED-1046</t>
  </si>
  <si>
    <t>PED-1047</t>
  </si>
  <si>
    <t>PED-1048</t>
  </si>
  <si>
    <t>PED-1049</t>
  </si>
  <si>
    <t>SW-002</t>
  </si>
  <si>
    <t>Microsoft Office 365</t>
  </si>
  <si>
    <t>PED-1050</t>
  </si>
  <si>
    <t>Atendimento ao cliente inexistente.</t>
  </si>
  <si>
    <t>PED-1051</t>
  </si>
  <si>
    <t>PED-1052</t>
  </si>
  <si>
    <t>PED-1053</t>
  </si>
  <si>
    <t>PED-1054</t>
  </si>
  <si>
    <t>Atrasou e a caixa veio amassada.</t>
  </si>
  <si>
    <t>PED-1055</t>
  </si>
  <si>
    <t>PED-1056</t>
  </si>
  <si>
    <t>PED-1057</t>
  </si>
  <si>
    <t>PED-1058</t>
  </si>
  <si>
    <t>PED-1059</t>
  </si>
  <si>
    <t>PED-1060</t>
  </si>
  <si>
    <t>PED-1061</t>
  </si>
  <si>
    <t>PED-1062</t>
  </si>
  <si>
    <t>PED-1063</t>
  </si>
  <si>
    <t>PED-1064</t>
  </si>
  <si>
    <t>PED-1065</t>
  </si>
  <si>
    <t>PED-1066</t>
  </si>
  <si>
    <t>SW-004</t>
  </si>
  <si>
    <t>AutoCAD 2024</t>
  </si>
  <si>
    <t>PED-1067</t>
  </si>
  <si>
    <t>PED-1068</t>
  </si>
  <si>
    <t>PED-1069</t>
  </si>
  <si>
    <t>PED-1070</t>
  </si>
  <si>
    <t>PED-1071</t>
  </si>
  <si>
    <t>PED-1072</t>
  </si>
  <si>
    <t>PED-1073</t>
  </si>
  <si>
    <t>PED-1074</t>
  </si>
  <si>
    <t>PED-1075</t>
  </si>
  <si>
    <t>PED-1076</t>
  </si>
  <si>
    <t>PED-1077</t>
  </si>
  <si>
    <t>Ótimo custo-benefício!</t>
  </si>
  <si>
    <t>PED-1078</t>
  </si>
  <si>
    <t>PED-1079</t>
  </si>
  <si>
    <t>PED-1080</t>
  </si>
  <si>
    <t>PED-1081</t>
  </si>
  <si>
    <t>PED-1082</t>
  </si>
  <si>
    <t>PED-1083</t>
  </si>
  <si>
    <t>PED-1084</t>
  </si>
  <si>
    <t>PED-1085</t>
  </si>
  <si>
    <t>PED-1086</t>
  </si>
  <si>
    <t>PED-1087</t>
  </si>
  <si>
    <t>PED-1088</t>
  </si>
  <si>
    <t>PED-1089</t>
  </si>
  <si>
    <t>PED-1090</t>
  </si>
  <si>
    <t>PED-1091</t>
  </si>
  <si>
    <t>PED-1092</t>
  </si>
  <si>
    <t>PED-1093</t>
  </si>
  <si>
    <t>PED-1094</t>
  </si>
  <si>
    <t>PED-1095</t>
  </si>
  <si>
    <t>Esperava mais pela qualidade do produto.</t>
  </si>
  <si>
    <t>PED-1096</t>
  </si>
  <si>
    <t>PED-1097</t>
  </si>
  <si>
    <t>PED-1098</t>
  </si>
  <si>
    <t>PED-1099</t>
  </si>
  <si>
    <t>PED-1100</t>
  </si>
  <si>
    <t>PED-1101</t>
  </si>
  <si>
    <t>PED-1102</t>
  </si>
  <si>
    <t>Nada de especial, cumpriu o básico.</t>
  </si>
  <si>
    <t>PED-1103</t>
  </si>
  <si>
    <t>PED-1104</t>
  </si>
  <si>
    <t>PED-1105</t>
  </si>
  <si>
    <t>PED-1106</t>
  </si>
  <si>
    <t>Razoável, poderia ser melhor.</t>
  </si>
  <si>
    <t>PED-1107</t>
  </si>
  <si>
    <t>PED-1108</t>
  </si>
  <si>
    <t>PED-1109</t>
  </si>
  <si>
    <t>PED-1110</t>
  </si>
  <si>
    <t>Produto chegou com defeito.</t>
  </si>
  <si>
    <t>PED-1111</t>
  </si>
  <si>
    <t>PED-1112</t>
  </si>
  <si>
    <t>PED-1113</t>
  </si>
  <si>
    <t>PED-1114</t>
  </si>
  <si>
    <t>PED-1115</t>
  </si>
  <si>
    <t>PED-1116</t>
  </si>
  <si>
    <t>PED-1117</t>
  </si>
  <si>
    <t>PED-1118</t>
  </si>
  <si>
    <t>PED-1119</t>
  </si>
  <si>
    <t>Produto não era o que esperava.</t>
  </si>
  <si>
    <t>PED-1120</t>
  </si>
  <si>
    <t>PED-1121</t>
  </si>
  <si>
    <t>PED-1122</t>
  </si>
  <si>
    <t>PED-1123</t>
  </si>
  <si>
    <t>PED-1124</t>
  </si>
  <si>
    <t>Brasília</t>
  </si>
  <si>
    <t>PED-1125</t>
  </si>
  <si>
    <t>PED-1126</t>
  </si>
  <si>
    <t>PED-1127</t>
  </si>
  <si>
    <t>PED-1128</t>
  </si>
  <si>
    <t>PED-1129</t>
  </si>
  <si>
    <t>PED-1130</t>
  </si>
  <si>
    <t>PED-1131</t>
  </si>
  <si>
    <t>PED-1132</t>
  </si>
  <si>
    <t>PED-1133</t>
  </si>
  <si>
    <t>PED-1134</t>
  </si>
  <si>
    <t>PED-1135</t>
  </si>
  <si>
    <t>PED-1136</t>
  </si>
  <si>
    <t>PED-1137</t>
  </si>
  <si>
    <t>PED-1138</t>
  </si>
  <si>
    <t>PED-1139</t>
  </si>
  <si>
    <t>PED-1140</t>
  </si>
  <si>
    <t>PED-1141</t>
  </si>
  <si>
    <t>PED-1142</t>
  </si>
  <si>
    <t>PED-1143</t>
  </si>
  <si>
    <t>PED-1144</t>
  </si>
  <si>
    <t>PED-1145</t>
  </si>
  <si>
    <t>PED-1146</t>
  </si>
  <si>
    <t>PED-1147</t>
  </si>
  <si>
    <t>PED-1148</t>
  </si>
  <si>
    <t>PED-1149</t>
  </si>
  <si>
    <t>PED-1150</t>
  </si>
  <si>
    <t>PED-1151</t>
  </si>
  <si>
    <t>PED-1152</t>
  </si>
  <si>
    <t>PED-1153</t>
  </si>
  <si>
    <t>PED-1154</t>
  </si>
  <si>
    <t>PED-1155</t>
  </si>
  <si>
    <t>PED-1156</t>
  </si>
  <si>
    <t>PED-1157</t>
  </si>
  <si>
    <t>PED-1158</t>
  </si>
  <si>
    <t>PED-1159</t>
  </si>
  <si>
    <t>PED-1160</t>
  </si>
  <si>
    <t>PED-1161</t>
  </si>
  <si>
    <t>PED-1162</t>
  </si>
  <si>
    <t>PED-1163</t>
  </si>
  <si>
    <t>PED-1164</t>
  </si>
  <si>
    <t>PED-1165</t>
  </si>
  <si>
    <t>PED-1166</t>
  </si>
  <si>
    <t>PED-1167</t>
  </si>
  <si>
    <t>PED-1168</t>
  </si>
  <si>
    <t>PED-1169</t>
  </si>
  <si>
    <t>PED-1170</t>
  </si>
  <si>
    <t>PED-1171</t>
  </si>
  <si>
    <t>PED-1172</t>
  </si>
  <si>
    <t>PED-1173</t>
  </si>
  <si>
    <t>PED-1174</t>
  </si>
  <si>
    <t>PED-1175</t>
  </si>
  <si>
    <t>PED-1176</t>
  </si>
  <si>
    <t>PED-1177</t>
  </si>
  <si>
    <t>PED-1178</t>
  </si>
  <si>
    <t>PED-1179</t>
  </si>
  <si>
    <t>PED-1180</t>
  </si>
  <si>
    <t>PED-1181</t>
  </si>
  <si>
    <t>PED-1182</t>
  </si>
  <si>
    <t>PED-1183</t>
  </si>
  <si>
    <t>PED-1184</t>
  </si>
  <si>
    <t>PED-1185</t>
  </si>
  <si>
    <t>PED-1186</t>
  </si>
  <si>
    <t>PED-1187</t>
  </si>
  <si>
    <t>PED-1188</t>
  </si>
  <si>
    <t>PED-1189</t>
  </si>
  <si>
    <t>PED-1190</t>
  </si>
  <si>
    <t>PED-1191</t>
  </si>
  <si>
    <t>PED-1192</t>
  </si>
  <si>
    <t>PED-1193</t>
  </si>
  <si>
    <t>PED-1194</t>
  </si>
  <si>
    <t>PED-1195</t>
  </si>
  <si>
    <t>PED-1196</t>
  </si>
  <si>
    <t>PED-1197</t>
  </si>
  <si>
    <t>PED-1198</t>
  </si>
  <si>
    <t>PED-1199</t>
  </si>
  <si>
    <t>PED-1200</t>
  </si>
  <si>
    <t>PED-1201</t>
  </si>
  <si>
    <t>PED-1202</t>
  </si>
  <si>
    <t>PED-1203</t>
  </si>
  <si>
    <t>PED-1204</t>
  </si>
  <si>
    <t>PED-1205</t>
  </si>
  <si>
    <t>PED-1206</t>
  </si>
  <si>
    <t>PED-1207</t>
  </si>
  <si>
    <t>PED-1208</t>
  </si>
  <si>
    <t>PED-1209</t>
  </si>
  <si>
    <t>PED-1210</t>
  </si>
  <si>
    <t>PED-1211</t>
  </si>
  <si>
    <t>Produto ok, mas a entrega atrasou um pouco.</t>
  </si>
  <si>
    <t>PED-1212</t>
  </si>
  <si>
    <t>PED-1213</t>
  </si>
  <si>
    <t>PED-1214</t>
  </si>
  <si>
    <t>PED-1215</t>
  </si>
  <si>
    <t>PED-1216</t>
  </si>
  <si>
    <t>PED-1217</t>
  </si>
  <si>
    <t>PED-1218</t>
  </si>
  <si>
    <t>PED-1219</t>
  </si>
  <si>
    <t>PED-1220</t>
  </si>
  <si>
    <t>PED-1221</t>
  </si>
  <si>
    <t>PED-1222</t>
  </si>
  <si>
    <t>PED-1223</t>
  </si>
  <si>
    <t>PED-1224</t>
  </si>
  <si>
    <t>PED-1225</t>
  </si>
  <si>
    <t>PED-1226</t>
  </si>
  <si>
    <t>PED-1227</t>
  </si>
  <si>
    <t>PED-1228</t>
  </si>
  <si>
    <t>PED-1229</t>
  </si>
  <si>
    <t>PED-1230</t>
  </si>
  <si>
    <t>PED-1231</t>
  </si>
  <si>
    <t>PED-1232</t>
  </si>
  <si>
    <t>PED-1233</t>
  </si>
  <si>
    <t>PED-1234</t>
  </si>
  <si>
    <t>PED-1235</t>
  </si>
  <si>
    <t>PED-1236</t>
  </si>
  <si>
    <t>PED-1237</t>
  </si>
  <si>
    <t>PED-1238</t>
  </si>
  <si>
    <t>PED-1239</t>
  </si>
  <si>
    <t>PED-1240</t>
  </si>
  <si>
    <t>PED-1241</t>
  </si>
  <si>
    <t>PED-1242</t>
  </si>
  <si>
    <t>PED-1243</t>
  </si>
  <si>
    <t>PED-1244</t>
  </si>
  <si>
    <t>PED-1245</t>
  </si>
  <si>
    <t>PED-1246</t>
  </si>
  <si>
    <t>PED-1247</t>
  </si>
  <si>
    <t>PED-1248</t>
  </si>
  <si>
    <t>PED-1249</t>
  </si>
  <si>
    <t>PED-1250</t>
  </si>
  <si>
    <t>PED-1251</t>
  </si>
  <si>
    <t>PED-1252</t>
  </si>
  <si>
    <t>PED-1253</t>
  </si>
  <si>
    <t>PED-1254</t>
  </si>
  <si>
    <t>PED-1255</t>
  </si>
  <si>
    <t>PED-1256</t>
  </si>
  <si>
    <t>PED-1257</t>
  </si>
  <si>
    <t>PED-1258</t>
  </si>
  <si>
    <t>PED-1259</t>
  </si>
  <si>
    <t>PED-1260</t>
  </si>
  <si>
    <t>PED-1261</t>
  </si>
  <si>
    <t>PED-1262</t>
  </si>
  <si>
    <t>PED-1263</t>
  </si>
  <si>
    <t>Embalagem poderia ser melhor.</t>
  </si>
  <si>
    <t>PED-1264</t>
  </si>
  <si>
    <t>PED-1265</t>
  </si>
  <si>
    <t>PED-1266</t>
  </si>
  <si>
    <t>PED-1267</t>
  </si>
  <si>
    <t>PED-1268</t>
  </si>
  <si>
    <t>PED-1269</t>
  </si>
  <si>
    <t>PED-1270</t>
  </si>
  <si>
    <t>PED-1271</t>
  </si>
  <si>
    <t>PED-1272</t>
  </si>
  <si>
    <t>PED-1273</t>
  </si>
  <si>
    <t>PED-1274</t>
  </si>
  <si>
    <t>PED-1275</t>
  </si>
  <si>
    <t>PED-1276</t>
  </si>
  <si>
    <t>PED-1277</t>
  </si>
  <si>
    <t>PED-1278</t>
  </si>
  <si>
    <t>PED-1279</t>
  </si>
  <si>
    <t>PED-1280</t>
  </si>
  <si>
    <t>PED-1281</t>
  </si>
  <si>
    <t>PED-1282</t>
  </si>
  <si>
    <t>PED-1283</t>
  </si>
  <si>
    <t>PED-1284</t>
  </si>
  <si>
    <t>PED-1285</t>
  </si>
  <si>
    <t>PED-1286</t>
  </si>
  <si>
    <t>PED-1287</t>
  </si>
  <si>
    <t>PED-1288</t>
  </si>
  <si>
    <t>PED-1289</t>
  </si>
  <si>
    <t>PED-1290</t>
  </si>
  <si>
    <t>PED-1291</t>
  </si>
  <si>
    <t>PED-1292</t>
  </si>
  <si>
    <t>PED-1293</t>
  </si>
  <si>
    <t>PED-1294</t>
  </si>
  <si>
    <t>PED-1295</t>
  </si>
  <si>
    <t>PED-1296</t>
  </si>
  <si>
    <t>PED-1297</t>
  </si>
  <si>
    <t>PED-1298</t>
  </si>
  <si>
    <t>PED-1299</t>
  </si>
  <si>
    <t>PED-1300</t>
  </si>
  <si>
    <t>PED-1301</t>
  </si>
  <si>
    <t>PED-1302</t>
  </si>
  <si>
    <t>PED-1303</t>
  </si>
  <si>
    <t>PED-1304</t>
  </si>
  <si>
    <t>PED-1305</t>
  </si>
  <si>
    <t>PED-1306</t>
  </si>
  <si>
    <t>PED-1307</t>
  </si>
  <si>
    <t>PED-1308</t>
  </si>
  <si>
    <t>PED-1309</t>
  </si>
  <si>
    <t>PED-1310</t>
  </si>
  <si>
    <t>PED-1311</t>
  </si>
  <si>
    <t>PED-1312</t>
  </si>
  <si>
    <t>PED-1313</t>
  </si>
  <si>
    <t>PED-1314</t>
  </si>
  <si>
    <t>PED-1315</t>
  </si>
  <si>
    <t>PED-1316</t>
  </si>
  <si>
    <t>PED-1317</t>
  </si>
  <si>
    <t>PED-1318</t>
  </si>
  <si>
    <t>Produto extraviado, tive que abrir reclamação.</t>
  </si>
  <si>
    <t>PED-1319</t>
  </si>
  <si>
    <t>PED-1320</t>
  </si>
  <si>
    <t>PED-1321</t>
  </si>
  <si>
    <t>PED-1322</t>
  </si>
  <si>
    <t>PED-1323</t>
  </si>
  <si>
    <t>PED-1324</t>
  </si>
  <si>
    <t>PED-1325</t>
  </si>
  <si>
    <t>PED-1326</t>
  </si>
  <si>
    <t>PED-1327</t>
  </si>
  <si>
    <t>PED-1328</t>
  </si>
  <si>
    <t>PED-1329</t>
  </si>
  <si>
    <t>PED-1330</t>
  </si>
  <si>
    <t>PED-1331</t>
  </si>
  <si>
    <t>PED-1332</t>
  </si>
  <si>
    <t>PED-1333</t>
  </si>
  <si>
    <t>PED-1334</t>
  </si>
  <si>
    <t>PED-1335</t>
  </si>
  <si>
    <t>PED-1336</t>
  </si>
  <si>
    <t>PED-1337</t>
  </si>
  <si>
    <t>PED-1338</t>
  </si>
  <si>
    <t>PED-1339</t>
  </si>
  <si>
    <t>PED-1340</t>
  </si>
  <si>
    <t>PED-1341</t>
  </si>
  <si>
    <t>PED-1342</t>
  </si>
  <si>
    <t>PED-1343</t>
  </si>
  <si>
    <t>PED-1344</t>
  </si>
  <si>
    <t>PED-1345</t>
  </si>
  <si>
    <t>PED-1346</t>
  </si>
  <si>
    <t>PED-1347</t>
  </si>
  <si>
    <t>PED-1348</t>
  </si>
  <si>
    <t>PED-1349</t>
  </si>
  <si>
    <t>PED-1350</t>
  </si>
  <si>
    <t>PED-1351</t>
  </si>
  <si>
    <t>PED-1352</t>
  </si>
  <si>
    <t>PED-1353</t>
  </si>
  <si>
    <t>PED-1354</t>
  </si>
  <si>
    <t>PED-1355</t>
  </si>
  <si>
    <t>PED-1356</t>
  </si>
  <si>
    <t>PED-1357</t>
  </si>
  <si>
    <t>PED-1358</t>
  </si>
  <si>
    <t>PED-1359</t>
  </si>
  <si>
    <t>PED-1360</t>
  </si>
  <si>
    <t>PED-1361</t>
  </si>
  <si>
    <t>PED-1362</t>
  </si>
  <si>
    <t>PED-1363</t>
  </si>
  <si>
    <t>PED-1364</t>
  </si>
  <si>
    <t>PED-1365</t>
  </si>
  <si>
    <t>PED-1366</t>
  </si>
  <si>
    <t>PED-1367</t>
  </si>
  <si>
    <t>PED-1368</t>
  </si>
  <si>
    <t>PED-1369</t>
  </si>
  <si>
    <t>PED-1370</t>
  </si>
  <si>
    <t>PED-1371</t>
  </si>
  <si>
    <t>PED-1372</t>
  </si>
  <si>
    <t>PED-1373</t>
  </si>
  <si>
    <t>PED-1374</t>
  </si>
  <si>
    <t>PED-1375</t>
  </si>
  <si>
    <t>PED-1376</t>
  </si>
  <si>
    <t>PED-1377</t>
  </si>
  <si>
    <t>PED-1378</t>
  </si>
  <si>
    <t>PED-1379</t>
  </si>
  <si>
    <t>PED-1380</t>
  </si>
  <si>
    <t>PED-1381</t>
  </si>
  <si>
    <t>PED-1382</t>
  </si>
  <si>
    <t>PED-1383</t>
  </si>
  <si>
    <t>PED-1384</t>
  </si>
  <si>
    <t>PED-1385</t>
  </si>
  <si>
    <t>PED-1386</t>
  </si>
  <si>
    <t>PED-1387</t>
  </si>
  <si>
    <t>PED-1388</t>
  </si>
  <si>
    <t>PED-1389</t>
  </si>
  <si>
    <t>PED-1390</t>
  </si>
  <si>
    <t>PED-1391</t>
  </si>
  <si>
    <t>PED-1392</t>
  </si>
  <si>
    <t>PED-1393</t>
  </si>
  <si>
    <t>PED-1394</t>
  </si>
  <si>
    <t>PED-1395</t>
  </si>
  <si>
    <t>PED-1396</t>
  </si>
  <si>
    <t>PED-1397</t>
  </si>
  <si>
    <t>PED-1398</t>
  </si>
  <si>
    <t>PED-1399</t>
  </si>
  <si>
    <t>PED-1400</t>
  </si>
  <si>
    <t>PED-1401</t>
  </si>
  <si>
    <t>PED-1402</t>
  </si>
  <si>
    <t>PED-1403</t>
  </si>
  <si>
    <t>PED-1404</t>
  </si>
  <si>
    <t>PED-1405</t>
  </si>
  <si>
    <t>PED-1406</t>
  </si>
  <si>
    <t>PED-1407</t>
  </si>
  <si>
    <t>PED-1408</t>
  </si>
  <si>
    <t>PED-1409</t>
  </si>
  <si>
    <t>PED-1410</t>
  </si>
  <si>
    <t>PED-1411</t>
  </si>
  <si>
    <t>PED-1412</t>
  </si>
  <si>
    <t>PED-1413</t>
  </si>
  <si>
    <t>PED-1414</t>
  </si>
  <si>
    <t>PED-1415</t>
  </si>
  <si>
    <t>PED-1416</t>
  </si>
  <si>
    <t>PED-1417</t>
  </si>
  <si>
    <t>PED-1418</t>
  </si>
  <si>
    <t>PED-1419</t>
  </si>
  <si>
    <t>PED-1420</t>
  </si>
  <si>
    <t>PED-1421</t>
  </si>
  <si>
    <t>PED-1422</t>
  </si>
  <si>
    <t>PED-1423</t>
  </si>
  <si>
    <t>PED-1424</t>
  </si>
  <si>
    <t>PED-1425</t>
  </si>
  <si>
    <t>PED-1426</t>
  </si>
  <si>
    <t>PED-1427</t>
  </si>
  <si>
    <t>PED-1428</t>
  </si>
  <si>
    <t>PED-1429</t>
  </si>
  <si>
    <t>PED-1430</t>
  </si>
  <si>
    <t>PED-1431</t>
  </si>
  <si>
    <t>PED-1432</t>
  </si>
  <si>
    <t>PED-1433</t>
  </si>
  <si>
    <t>PED-1434</t>
  </si>
  <si>
    <t>PED-1435</t>
  </si>
  <si>
    <t>PED-1436</t>
  </si>
  <si>
    <t>PED-1437</t>
  </si>
  <si>
    <t>PED-1438</t>
  </si>
  <si>
    <t>PED-1439</t>
  </si>
  <si>
    <t>PED-1440</t>
  </si>
  <si>
    <t>PED-1441</t>
  </si>
  <si>
    <t>PED-1442</t>
  </si>
  <si>
    <t>PED-1443</t>
  </si>
  <si>
    <t>PED-1444</t>
  </si>
  <si>
    <t>PED-1445</t>
  </si>
  <si>
    <t>PED-1446</t>
  </si>
  <si>
    <t>PED-1447</t>
  </si>
  <si>
    <t>PED-1448</t>
  </si>
  <si>
    <t>PED-1449</t>
  </si>
  <si>
    <t>PED-1450</t>
  </si>
  <si>
    <t>PED-1451</t>
  </si>
  <si>
    <t>PED-1452</t>
  </si>
  <si>
    <t>PED-1453</t>
  </si>
  <si>
    <t>PED-1454</t>
  </si>
  <si>
    <t>PED-1455</t>
  </si>
  <si>
    <t>PED-1456</t>
  </si>
  <si>
    <t>PED-1457</t>
  </si>
  <si>
    <t>PED-1458</t>
  </si>
  <si>
    <t>PED-1459</t>
  </si>
  <si>
    <t>PED-1460</t>
  </si>
  <si>
    <t>PED-1461</t>
  </si>
  <si>
    <t>PED-1462</t>
  </si>
  <si>
    <t>PED-1463</t>
  </si>
  <si>
    <t>PED-1464</t>
  </si>
  <si>
    <t>PED-1465</t>
  </si>
  <si>
    <t>PED-1466</t>
  </si>
  <si>
    <t>PED-1467</t>
  </si>
  <si>
    <t>PED-1468</t>
  </si>
  <si>
    <t>PED-1469</t>
  </si>
  <si>
    <t>PED-1470</t>
  </si>
  <si>
    <t>PED-1471</t>
  </si>
  <si>
    <t>PED-1472</t>
  </si>
  <si>
    <t>PED-1473</t>
  </si>
  <si>
    <t>PED-1474</t>
  </si>
  <si>
    <t>PED-1475</t>
  </si>
  <si>
    <t>PED-1476</t>
  </si>
  <si>
    <t>PED-1477</t>
  </si>
  <si>
    <t>PED-1478</t>
  </si>
  <si>
    <t>PED-1479</t>
  </si>
  <si>
    <t>PED-1480</t>
  </si>
  <si>
    <t>PED-1481</t>
  </si>
  <si>
    <t>PED-1482</t>
  </si>
  <si>
    <t>PED-1483</t>
  </si>
  <si>
    <t>PED-1484</t>
  </si>
  <si>
    <t>PED-1485</t>
  </si>
  <si>
    <t>PED-1486</t>
  </si>
  <si>
    <t>PED-1487</t>
  </si>
  <si>
    <t>PED-1488</t>
  </si>
  <si>
    <t>PED-1489</t>
  </si>
  <si>
    <t>PED-1490</t>
  </si>
  <si>
    <t>PED-1491</t>
  </si>
  <si>
    <t>PED-1492</t>
  </si>
  <si>
    <t>PED-1493</t>
  </si>
  <si>
    <t>PED-1494</t>
  </si>
  <si>
    <t>PED-1495</t>
  </si>
  <si>
    <t>PED-1496</t>
  </si>
  <si>
    <t>PED-1497</t>
  </si>
  <si>
    <t>PED-1498</t>
  </si>
  <si>
    <t>PED-1499</t>
  </si>
  <si>
    <t>PED-1500</t>
  </si>
  <si>
    <t>PED-1501</t>
  </si>
  <si>
    <t>PED-1502</t>
  </si>
  <si>
    <t>PED-1503</t>
  </si>
  <si>
    <t>PED-1504</t>
  </si>
  <si>
    <t>PED-1505</t>
  </si>
  <si>
    <t>PED-1506</t>
  </si>
  <si>
    <t>PED-1507</t>
  </si>
  <si>
    <t>PED-1508</t>
  </si>
  <si>
    <t>PED-1509</t>
  </si>
  <si>
    <t>PED-1510</t>
  </si>
  <si>
    <t>PED-1511</t>
  </si>
  <si>
    <t>PED-1512</t>
  </si>
  <si>
    <t>PED-1513</t>
  </si>
  <si>
    <t>PED-1514</t>
  </si>
  <si>
    <t>PED-1515</t>
  </si>
  <si>
    <t>PED-1516</t>
  </si>
  <si>
    <t>PED-1517</t>
  </si>
  <si>
    <t>PED-1518</t>
  </si>
  <si>
    <t>PED-1519</t>
  </si>
  <si>
    <t>PED-1520</t>
  </si>
  <si>
    <t>PED-1521</t>
  </si>
  <si>
    <t>PED-1522</t>
  </si>
  <si>
    <t>PED-1523</t>
  </si>
  <si>
    <t>PED-1524</t>
  </si>
  <si>
    <t>PED-1525</t>
  </si>
  <si>
    <t>PED-1526</t>
  </si>
  <si>
    <t>PED-1527</t>
  </si>
  <si>
    <t>PED-1528</t>
  </si>
  <si>
    <t>PED-1529</t>
  </si>
  <si>
    <t>PED-1530</t>
  </si>
  <si>
    <t>PED-1531</t>
  </si>
  <si>
    <t>PED-1532</t>
  </si>
  <si>
    <t>PED-1533</t>
  </si>
  <si>
    <t>PED-1534</t>
  </si>
  <si>
    <t>PED-1535</t>
  </si>
  <si>
    <t>PED-1536</t>
  </si>
  <si>
    <t>PED-1537</t>
  </si>
  <si>
    <t>PED-1538</t>
  </si>
  <si>
    <t>PED-1539</t>
  </si>
  <si>
    <t>PED-1540</t>
  </si>
  <si>
    <t>PED-1541</t>
  </si>
  <si>
    <t>PED-1542</t>
  </si>
  <si>
    <t>PED-1543</t>
  </si>
  <si>
    <t>PED-1544</t>
  </si>
  <si>
    <t>PED-1545</t>
  </si>
  <si>
    <t>PED-1546</t>
  </si>
  <si>
    <t>PED-1547</t>
  </si>
  <si>
    <t>PED-1548</t>
  </si>
  <si>
    <t>PED-1549</t>
  </si>
  <si>
    <t>PED-1550</t>
  </si>
  <si>
    <t>PED-1551</t>
  </si>
  <si>
    <t>PED-1552</t>
  </si>
  <si>
    <t>PED-1553</t>
  </si>
  <si>
    <t>PED-1554</t>
  </si>
  <si>
    <t>PED-1555</t>
  </si>
  <si>
    <t>PED-1556</t>
  </si>
  <si>
    <t>PED-1557</t>
  </si>
  <si>
    <t>PED-1558</t>
  </si>
  <si>
    <t>PED-1559</t>
  </si>
  <si>
    <t>PED-1560</t>
  </si>
  <si>
    <t>PED-1561</t>
  </si>
  <si>
    <t>PED-1562</t>
  </si>
  <si>
    <t>PED-1563</t>
  </si>
  <si>
    <t>PED-1564</t>
  </si>
  <si>
    <t>PED-1565</t>
  </si>
  <si>
    <t>PED-1566</t>
  </si>
  <si>
    <t>PED-1567</t>
  </si>
  <si>
    <t>PED-1568</t>
  </si>
  <si>
    <t>PED-1569</t>
  </si>
  <si>
    <t>PED-1570</t>
  </si>
  <si>
    <t>PED-1571</t>
  </si>
  <si>
    <t>PED-1572</t>
  </si>
  <si>
    <t>PED-1573</t>
  </si>
  <si>
    <t>PED-1574</t>
  </si>
  <si>
    <t>PED-1575</t>
  </si>
  <si>
    <t>PED-1576</t>
  </si>
  <si>
    <t>PED-1577</t>
  </si>
  <si>
    <t>PED-1578</t>
  </si>
  <si>
    <t>PED-1579</t>
  </si>
  <si>
    <t>PED-1580</t>
  </si>
  <si>
    <t>PED-1581</t>
  </si>
  <si>
    <t>PED-1582</t>
  </si>
  <si>
    <t>PED-1583</t>
  </si>
  <si>
    <t>PED-1584</t>
  </si>
  <si>
    <t>PED-1585</t>
  </si>
  <si>
    <t>PED-1586</t>
  </si>
  <si>
    <t>PED-1587</t>
  </si>
  <si>
    <t>PED-1588</t>
  </si>
  <si>
    <t>PED-1589</t>
  </si>
  <si>
    <t>PED-1590</t>
  </si>
  <si>
    <t>PED-1591</t>
  </si>
  <si>
    <t>PED-1592</t>
  </si>
  <si>
    <t>PED-1593</t>
  </si>
  <si>
    <t>PED-1594</t>
  </si>
  <si>
    <t>PED-1595</t>
  </si>
  <si>
    <t>PED-1596</t>
  </si>
  <si>
    <t>PED-1597</t>
  </si>
  <si>
    <t>PED-1598</t>
  </si>
  <si>
    <t>PED-1599</t>
  </si>
  <si>
    <t>PED-1600</t>
  </si>
  <si>
    <t>PED-1601</t>
  </si>
  <si>
    <t>PED-1602</t>
  </si>
  <si>
    <t>PED-1603</t>
  </si>
  <si>
    <t>PED-1604</t>
  </si>
  <si>
    <t>PED-1605</t>
  </si>
  <si>
    <t>PED-1606</t>
  </si>
  <si>
    <t>PED-1607</t>
  </si>
  <si>
    <t>PED-1608</t>
  </si>
  <si>
    <t>PED-1609</t>
  </si>
  <si>
    <t>PED-1610</t>
  </si>
  <si>
    <t>PED-1611</t>
  </si>
  <si>
    <t>PED-1612</t>
  </si>
  <si>
    <t>PED-1613</t>
  </si>
  <si>
    <t>PED-1614</t>
  </si>
  <si>
    <t>PED-1615</t>
  </si>
  <si>
    <t>PED-1616</t>
  </si>
  <si>
    <t>PED-1617</t>
  </si>
  <si>
    <t>PED-1618</t>
  </si>
  <si>
    <t>PED-1619</t>
  </si>
  <si>
    <t>PED-1620</t>
  </si>
  <si>
    <t>PED-1621</t>
  </si>
  <si>
    <t>PED-1622</t>
  </si>
  <si>
    <t>PED-1623</t>
  </si>
  <si>
    <t>PED-1624</t>
  </si>
  <si>
    <t>PED-1625</t>
  </si>
  <si>
    <t>PED-1626</t>
  </si>
  <si>
    <t>PED-1627</t>
  </si>
  <si>
    <t>PED-1628</t>
  </si>
  <si>
    <t>PED-1629</t>
  </si>
  <si>
    <t>PED-1630</t>
  </si>
  <si>
    <t>PED-1631</t>
  </si>
  <si>
    <t>PED-1632</t>
  </si>
  <si>
    <t>PED-1633</t>
  </si>
  <si>
    <t>PED-1634</t>
  </si>
  <si>
    <t>PED-1635</t>
  </si>
  <si>
    <t>PED-1636</t>
  </si>
  <si>
    <t>PED-1637</t>
  </si>
  <si>
    <t>PED-1638</t>
  </si>
  <si>
    <t>PED-1639</t>
  </si>
  <si>
    <t>PED-1640</t>
  </si>
  <si>
    <t>PED-1641</t>
  </si>
  <si>
    <t>PED-1642</t>
  </si>
  <si>
    <t>PED-1643</t>
  </si>
  <si>
    <t>PED-1644</t>
  </si>
  <si>
    <t>PED-1645</t>
  </si>
  <si>
    <t>PED-1646</t>
  </si>
  <si>
    <t>PED-1647</t>
  </si>
  <si>
    <t>PED-1648</t>
  </si>
  <si>
    <t>PED-1649</t>
  </si>
  <si>
    <t>PED-1650</t>
  </si>
  <si>
    <t>PED-1651</t>
  </si>
  <si>
    <t>PED-1652</t>
  </si>
  <si>
    <t>PED-1653</t>
  </si>
  <si>
    <t>PED-1654</t>
  </si>
  <si>
    <t>PED-1655</t>
  </si>
  <si>
    <t>PED-1656</t>
  </si>
  <si>
    <t>PED-1657</t>
  </si>
  <si>
    <t>PED-1658</t>
  </si>
  <si>
    <t>PED-1659</t>
  </si>
  <si>
    <t>PED-1660</t>
  </si>
  <si>
    <t>PED-1661</t>
  </si>
  <si>
    <t>PED-1662</t>
  </si>
  <si>
    <t>PED-1663</t>
  </si>
  <si>
    <t>PED-1664</t>
  </si>
  <si>
    <t>PED-1665</t>
  </si>
  <si>
    <t>PED-1666</t>
  </si>
  <si>
    <t>PED-1667</t>
  </si>
  <si>
    <t>PED-1668</t>
  </si>
  <si>
    <t>PED-1669</t>
  </si>
  <si>
    <t>PED-1670</t>
  </si>
  <si>
    <t>PED-1671</t>
  </si>
  <si>
    <t>PED-1672</t>
  </si>
  <si>
    <t>PED-1673</t>
  </si>
  <si>
    <t>PED-1674</t>
  </si>
  <si>
    <t>PED-1675</t>
  </si>
  <si>
    <t>PED-1676</t>
  </si>
  <si>
    <t>PED-1677</t>
  </si>
  <si>
    <t>PED-1678</t>
  </si>
  <si>
    <t>PED-1679</t>
  </si>
  <si>
    <t>PED-1680</t>
  </si>
  <si>
    <t>PED-1681</t>
  </si>
  <si>
    <t>PED-1682</t>
  </si>
  <si>
    <t>PED-1683</t>
  </si>
  <si>
    <t>PED-1684</t>
  </si>
  <si>
    <t>PED-1685</t>
  </si>
  <si>
    <t>PED-1686</t>
  </si>
  <si>
    <t>PED-1687</t>
  </si>
  <si>
    <t>PED-1688</t>
  </si>
  <si>
    <t>PED-1689</t>
  </si>
  <si>
    <t>PED-1690</t>
  </si>
  <si>
    <t>PED-1691</t>
  </si>
  <si>
    <t>PED-1692</t>
  </si>
  <si>
    <t>PED-1693</t>
  </si>
  <si>
    <t>PED-1694</t>
  </si>
  <si>
    <t>PED-1695</t>
  </si>
  <si>
    <t>PED-1696</t>
  </si>
  <si>
    <t>PED-1697</t>
  </si>
  <si>
    <t>PED-1698</t>
  </si>
  <si>
    <t>PED-1699</t>
  </si>
  <si>
    <t>PED-1700</t>
  </si>
  <si>
    <t>PED-1701</t>
  </si>
  <si>
    <t>PED-1702</t>
  </si>
  <si>
    <t>PED-1703</t>
  </si>
  <si>
    <t>PED-1704</t>
  </si>
  <si>
    <t>PED-1705</t>
  </si>
  <si>
    <t>PED-1706</t>
  </si>
  <si>
    <t>PED-1707</t>
  </si>
  <si>
    <t>PED-1708</t>
  </si>
  <si>
    <t>PED-1709</t>
  </si>
  <si>
    <t>PED-1710</t>
  </si>
  <si>
    <t>PED-1711</t>
  </si>
  <si>
    <t>PED-1712</t>
  </si>
  <si>
    <t>PED-1713</t>
  </si>
  <si>
    <t>PED-1714</t>
  </si>
  <si>
    <t>PED-1715</t>
  </si>
  <si>
    <t>PED-1716</t>
  </si>
  <si>
    <t>PED-1717</t>
  </si>
  <si>
    <t>PED-1718</t>
  </si>
  <si>
    <t>PED-1719</t>
  </si>
  <si>
    <t>PED-1720</t>
  </si>
  <si>
    <t>PED-1721</t>
  </si>
  <si>
    <t>PED-1722</t>
  </si>
  <si>
    <t>PED-1723</t>
  </si>
  <si>
    <t>PED-1724</t>
  </si>
  <si>
    <t>PED-1725</t>
  </si>
  <si>
    <t>PED-1726</t>
  </si>
  <si>
    <t>PED-1727</t>
  </si>
  <si>
    <t>PED-1728</t>
  </si>
  <si>
    <t>PED-1729</t>
  </si>
  <si>
    <t>PED-1730</t>
  </si>
  <si>
    <t>PED-1731</t>
  </si>
  <si>
    <t>PED-1732</t>
  </si>
  <si>
    <t>PED-1733</t>
  </si>
  <si>
    <t>PED-1734</t>
  </si>
  <si>
    <t>PED-1735</t>
  </si>
  <si>
    <t>PED-1736</t>
  </si>
  <si>
    <t>PED-1737</t>
  </si>
  <si>
    <t>PED-1738</t>
  </si>
  <si>
    <t>PED-1739</t>
  </si>
  <si>
    <t>PED-1740</t>
  </si>
  <si>
    <t>PED-1741</t>
  </si>
  <si>
    <t>PED-1742</t>
  </si>
  <si>
    <t>PED-1743</t>
  </si>
  <si>
    <t>PED-1744</t>
  </si>
  <si>
    <t>PED-1745</t>
  </si>
  <si>
    <t>PED-1746</t>
  </si>
  <si>
    <t>PED-1747</t>
  </si>
  <si>
    <t>PED-1748</t>
  </si>
  <si>
    <t>PED-1749</t>
  </si>
  <si>
    <t>PED-1750</t>
  </si>
  <si>
    <t>PED-1751</t>
  </si>
  <si>
    <t>PED-1752</t>
  </si>
  <si>
    <t>PED-1753</t>
  </si>
  <si>
    <t>PED-1754</t>
  </si>
  <si>
    <t>PED-1755</t>
  </si>
  <si>
    <t>PED-1756</t>
  </si>
  <si>
    <t>PED-1757</t>
  </si>
  <si>
    <t>PED-1758</t>
  </si>
  <si>
    <t>PED-1759</t>
  </si>
  <si>
    <t>PED-1760</t>
  </si>
  <si>
    <t>PED-1761</t>
  </si>
  <si>
    <t>PED-1762</t>
  </si>
  <si>
    <t>PED-1763</t>
  </si>
  <si>
    <t>PED-1764</t>
  </si>
  <si>
    <t>PED-1765</t>
  </si>
  <si>
    <t>PED-1766</t>
  </si>
  <si>
    <t>PED-1767</t>
  </si>
  <si>
    <t>PED-1768</t>
  </si>
  <si>
    <t>PED-1769</t>
  </si>
  <si>
    <t>PED-1770</t>
  </si>
  <si>
    <t>PED-1771</t>
  </si>
  <si>
    <t>PED-1772</t>
  </si>
  <si>
    <t>PED-1773</t>
  </si>
  <si>
    <t>PED-1774</t>
  </si>
  <si>
    <t>PED-1775</t>
  </si>
  <si>
    <t>PED-1776</t>
  </si>
  <si>
    <t>PED-1777</t>
  </si>
  <si>
    <t>PED-1778</t>
  </si>
  <si>
    <t>PED-1779</t>
  </si>
  <si>
    <t>PED-1780</t>
  </si>
  <si>
    <t>PED-1781</t>
  </si>
  <si>
    <t>PED-1782</t>
  </si>
  <si>
    <t>PED-1783</t>
  </si>
  <si>
    <t>PED-1784</t>
  </si>
  <si>
    <t>PED-1785</t>
  </si>
  <si>
    <t>PED-1786</t>
  </si>
  <si>
    <t>PED-1787</t>
  </si>
  <si>
    <t>PED-1788</t>
  </si>
  <si>
    <t>PED-1789</t>
  </si>
  <si>
    <t>PED-1790</t>
  </si>
  <si>
    <t>PED-1791</t>
  </si>
  <si>
    <t>PED-1792</t>
  </si>
  <si>
    <t>PED-1793</t>
  </si>
  <si>
    <t>PED-1794</t>
  </si>
  <si>
    <t>PED-1795</t>
  </si>
  <si>
    <t>PED-1796</t>
  </si>
  <si>
    <t>PED-1797</t>
  </si>
  <si>
    <t>PED-1798</t>
  </si>
  <si>
    <t>PED-1799</t>
  </si>
  <si>
    <t>PED-1800</t>
  </si>
  <si>
    <t>PED-1801</t>
  </si>
  <si>
    <t>PED-1802</t>
  </si>
  <si>
    <t>PED-1803</t>
  </si>
  <si>
    <t>PED-1804</t>
  </si>
  <si>
    <t>PED-1805</t>
  </si>
  <si>
    <t>PED-1806</t>
  </si>
  <si>
    <t>PED-1807</t>
  </si>
  <si>
    <t>PED-1808</t>
  </si>
  <si>
    <t>PED-1809</t>
  </si>
  <si>
    <t>PED-1810</t>
  </si>
  <si>
    <t>PED-1811</t>
  </si>
  <si>
    <t>PED-1812</t>
  </si>
  <si>
    <t>PED-1813</t>
  </si>
  <si>
    <t>PED-1814</t>
  </si>
  <si>
    <t>PED-1815</t>
  </si>
  <si>
    <t>PED-1816</t>
  </si>
  <si>
    <t>PED-1817</t>
  </si>
  <si>
    <t>PED-1818</t>
  </si>
  <si>
    <t>PED-1819</t>
  </si>
  <si>
    <t>PED-1820</t>
  </si>
  <si>
    <t>PED-1821</t>
  </si>
  <si>
    <t>PED-1822</t>
  </si>
  <si>
    <t>PED-1823</t>
  </si>
  <si>
    <t>PED-1824</t>
  </si>
  <si>
    <t>PED-1825</t>
  </si>
  <si>
    <t>PED-1826</t>
  </si>
  <si>
    <t>PED-1827</t>
  </si>
  <si>
    <t>PED-1828</t>
  </si>
  <si>
    <t>PED-1829</t>
  </si>
  <si>
    <t>PED-1830</t>
  </si>
  <si>
    <t>PED-1831</t>
  </si>
  <si>
    <t>PED-1832</t>
  </si>
  <si>
    <t>PED-1833</t>
  </si>
  <si>
    <t>PED-1834</t>
  </si>
  <si>
    <t>PED-1835</t>
  </si>
  <si>
    <t>PED-1836</t>
  </si>
  <si>
    <t>PED-1837</t>
  </si>
  <si>
    <t>PED-1838</t>
  </si>
  <si>
    <t>PED-1839</t>
  </si>
  <si>
    <t>PED-1840</t>
  </si>
  <si>
    <t>PED-1841</t>
  </si>
  <si>
    <t>PED-1842</t>
  </si>
  <si>
    <t>PED-1843</t>
  </si>
  <si>
    <t>PED-1844</t>
  </si>
  <si>
    <t>PED-1845</t>
  </si>
  <si>
    <t>PED-1846</t>
  </si>
  <si>
    <t>PED-1847</t>
  </si>
  <si>
    <t>PED-1848</t>
  </si>
  <si>
    <t>PED-1849</t>
  </si>
  <si>
    <t>PED-1850</t>
  </si>
  <si>
    <t>PED-1851</t>
  </si>
  <si>
    <t>PED-1852</t>
  </si>
  <si>
    <t>PED-1853</t>
  </si>
  <si>
    <t>PED-1854</t>
  </si>
  <si>
    <t>PED-1855</t>
  </si>
  <si>
    <t>PED-1856</t>
  </si>
  <si>
    <t>PED-1857</t>
  </si>
  <si>
    <t>PED-1858</t>
  </si>
  <si>
    <t>PED-1859</t>
  </si>
  <si>
    <t>PED-1860</t>
  </si>
  <si>
    <t>PED-1861</t>
  </si>
  <si>
    <t>PED-1862</t>
  </si>
  <si>
    <t>PED-1863</t>
  </si>
  <si>
    <t>PED-1864</t>
  </si>
  <si>
    <t>PED-1865</t>
  </si>
  <si>
    <t>PED-1866</t>
  </si>
  <si>
    <t>PED-1867</t>
  </si>
  <si>
    <t>PED-1868</t>
  </si>
  <si>
    <t>PED-1869</t>
  </si>
  <si>
    <t>PED-1870</t>
  </si>
  <si>
    <t>PED-1871</t>
  </si>
  <si>
    <t>PED-1872</t>
  </si>
  <si>
    <t>PED-1873</t>
  </si>
  <si>
    <t>PED-1874</t>
  </si>
  <si>
    <t>PED-1875</t>
  </si>
  <si>
    <t>PED-1876</t>
  </si>
  <si>
    <t>PED-1877</t>
  </si>
  <si>
    <t>PED-1878</t>
  </si>
  <si>
    <t>PED-1879</t>
  </si>
  <si>
    <t>PED-1880</t>
  </si>
  <si>
    <t>PED-1881</t>
  </si>
  <si>
    <t>PED-1882</t>
  </si>
  <si>
    <t>PED-1883</t>
  </si>
  <si>
    <t>PED-1884</t>
  </si>
  <si>
    <t>PED-1885</t>
  </si>
  <si>
    <t>PED-1886</t>
  </si>
  <si>
    <t>PED-1887</t>
  </si>
  <si>
    <t>PED-1888</t>
  </si>
  <si>
    <t>PED-1889</t>
  </si>
  <si>
    <t>PED-1890</t>
  </si>
  <si>
    <t>PED-1891</t>
  </si>
  <si>
    <t>PED-1892</t>
  </si>
  <si>
    <t>PED-1893</t>
  </si>
  <si>
    <t>PED-1894</t>
  </si>
  <si>
    <t>PED-1895</t>
  </si>
  <si>
    <t>PED-1896</t>
  </si>
  <si>
    <t>PED-1897</t>
  </si>
  <si>
    <t>PED-1898</t>
  </si>
  <si>
    <t>PED-1899</t>
  </si>
  <si>
    <t>PED-1900</t>
  </si>
  <si>
    <t>PED-1901</t>
  </si>
  <si>
    <t>PED-1902</t>
  </si>
  <si>
    <t>PED-1903</t>
  </si>
  <si>
    <t>PED-1904</t>
  </si>
  <si>
    <t>PED-1905</t>
  </si>
  <si>
    <t>PED-1906</t>
  </si>
  <si>
    <t>PED-1907</t>
  </si>
  <si>
    <t>PED-1908</t>
  </si>
  <si>
    <t>PED-1909</t>
  </si>
  <si>
    <t>PED-1910</t>
  </si>
  <si>
    <t>PED-1911</t>
  </si>
  <si>
    <t>PED-1912</t>
  </si>
  <si>
    <t>PED-1913</t>
  </si>
  <si>
    <t>PED-1914</t>
  </si>
  <si>
    <t>PED-1915</t>
  </si>
  <si>
    <t>PED-1916</t>
  </si>
  <si>
    <t>PED-1917</t>
  </si>
  <si>
    <t>PED-1918</t>
  </si>
  <si>
    <t>PED-1919</t>
  </si>
  <si>
    <t>PED-1920</t>
  </si>
  <si>
    <t>PED-1921</t>
  </si>
  <si>
    <t>PED-1922</t>
  </si>
  <si>
    <t>PED-1923</t>
  </si>
  <si>
    <t>PED-1924</t>
  </si>
  <si>
    <t>PED-1925</t>
  </si>
  <si>
    <t>PED-1926</t>
  </si>
  <si>
    <t>PED-1927</t>
  </si>
  <si>
    <t>PED-1928</t>
  </si>
  <si>
    <t>PED-1929</t>
  </si>
  <si>
    <t>PED-1930</t>
  </si>
  <si>
    <t>PED-1931</t>
  </si>
  <si>
    <t>PED-1932</t>
  </si>
  <si>
    <t>PED-1933</t>
  </si>
  <si>
    <t>PED-1934</t>
  </si>
  <si>
    <t>PED-1935</t>
  </si>
  <si>
    <t>PED-1936</t>
  </si>
  <si>
    <t>PED-1937</t>
  </si>
  <si>
    <t>PED-1938</t>
  </si>
  <si>
    <t>PED-1939</t>
  </si>
  <si>
    <t>PED-1940</t>
  </si>
  <si>
    <t>PED-1941</t>
  </si>
  <si>
    <t>PED-1942</t>
  </si>
  <si>
    <t>PED-1943</t>
  </si>
  <si>
    <t>PED-1944</t>
  </si>
  <si>
    <t>PED-1945</t>
  </si>
  <si>
    <t>PED-1946</t>
  </si>
  <si>
    <t>PED-1947</t>
  </si>
  <si>
    <t>PED-1948</t>
  </si>
  <si>
    <t>PED-1949</t>
  </si>
  <si>
    <t>PED-1950</t>
  </si>
  <si>
    <t>PED-1951</t>
  </si>
  <si>
    <t>PED-1952</t>
  </si>
  <si>
    <t>PED-1953</t>
  </si>
  <si>
    <t>PED-1954</t>
  </si>
  <si>
    <t>PED-1955</t>
  </si>
  <si>
    <t>PED-1956</t>
  </si>
  <si>
    <t>PED-1957</t>
  </si>
  <si>
    <t>PED-1958</t>
  </si>
  <si>
    <t>PED-1959</t>
  </si>
  <si>
    <t>PED-1960</t>
  </si>
  <si>
    <t>PED-1961</t>
  </si>
  <si>
    <t>PED-1962</t>
  </si>
  <si>
    <t>PED-1963</t>
  </si>
  <si>
    <t>PED-1964</t>
  </si>
  <si>
    <t>PED-1965</t>
  </si>
  <si>
    <t>PED-1966</t>
  </si>
  <si>
    <t>PED-1967</t>
  </si>
  <si>
    <t>PED-1968</t>
  </si>
  <si>
    <t>PED-1969</t>
  </si>
  <si>
    <t>PED-1970</t>
  </si>
  <si>
    <t>PED-1971</t>
  </si>
  <si>
    <t>PED-1972</t>
  </si>
  <si>
    <t>PED-1973</t>
  </si>
  <si>
    <t>PED-1974</t>
  </si>
  <si>
    <t>PED-1975</t>
  </si>
  <si>
    <t>PED-1976</t>
  </si>
  <si>
    <t>PED-1977</t>
  </si>
  <si>
    <t>PED-1978</t>
  </si>
  <si>
    <t>PED-1979</t>
  </si>
  <si>
    <t>PED-1980</t>
  </si>
  <si>
    <t>PED-1981</t>
  </si>
  <si>
    <t>PED-1982</t>
  </si>
  <si>
    <t>PED-1983</t>
  </si>
  <si>
    <t>PED-1984</t>
  </si>
  <si>
    <t>PED-1985</t>
  </si>
  <si>
    <t>PED-1986</t>
  </si>
  <si>
    <t>PED-1987</t>
  </si>
  <si>
    <t>PED-1988</t>
  </si>
  <si>
    <t>PED-1989</t>
  </si>
  <si>
    <t>PED-1990</t>
  </si>
  <si>
    <t>PED-1991</t>
  </si>
  <si>
    <t>PED-1992</t>
  </si>
  <si>
    <t>PED-1993</t>
  </si>
  <si>
    <t>PED-1994</t>
  </si>
  <si>
    <t>PED-1995</t>
  </si>
  <si>
    <t>PED-1996</t>
  </si>
  <si>
    <t>PED-1997</t>
  </si>
  <si>
    <t>PED-1998</t>
  </si>
  <si>
    <t>PED-1999</t>
  </si>
  <si>
    <t>Rótulos de Linha</t>
  </si>
  <si>
    <t>Total Geral</t>
  </si>
  <si>
    <t>Rótulos de Coluna</t>
  </si>
  <si>
    <t>Soma de valor_venda_final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</si>
  <si>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</si>
  <si>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</si>
  <si>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</si>
  <si>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</si>
  <si>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</si>
  <si>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</si>
  <si>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</si>
  <si>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</si>
  <si>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</si>
  <si>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</si>
  <si>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</si>
  <si>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</si>
  <si>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 vs. Lucro Líquido</t>
  </si>
  <si>
    <t>Status de Entrega Por Transportadora</t>
  </si>
  <si>
    <t>Eficiência de Frete: Impacto no Lucro</t>
  </si>
  <si>
    <t>Impacto Logístico na Satisfação dos Clientes</t>
  </si>
  <si>
    <t>Margem Média Mensal</t>
  </si>
  <si>
    <t>Receita</t>
  </si>
  <si>
    <t>Lucro Líquido</t>
  </si>
  <si>
    <t>Valor de Frete</t>
  </si>
  <si>
    <t>Média de Margem de Lucro</t>
  </si>
  <si>
    <t>Contagem de Pedidos</t>
  </si>
  <si>
    <t>Meses (data_compra)</t>
  </si>
  <si>
    <t>Média das Reviews</t>
  </si>
  <si>
    <t>Faturamento de Categorias por Mês</t>
  </si>
  <si>
    <t>KPIs de Performance</t>
  </si>
  <si>
    <t>Média de Atraso</t>
  </si>
  <si>
    <t>Custo de Frete Médio</t>
  </si>
  <si>
    <t>Volume de Pedidos por Status</t>
  </si>
  <si>
    <t>Média de Status de Pedido</t>
  </si>
  <si>
    <t xml:space="preserve"> </t>
  </si>
  <si>
    <t xml:space="preserve"> Relatório de Performance: Logística</t>
  </si>
  <si>
    <t>Cálculos de Vendas</t>
  </si>
  <si>
    <t>Cálculos de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</si>
</sst>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rgb="FF374151"/>
      <name val="Calibri"/>
      <family val="2"/>
      <scheme val="minor"/>
    </font>
    <font>
      <u/>
      <sz val="11"/>
      <color rgb="FF37415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 tint="0.1499984740745262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2" fontId="0" fillId="0" borderId="0" xfId="0" applyNumberFormat="1"/>
    <xf numFmtId="0" fontId="3" fillId="0" borderId="0" xfId="0" applyFont="1"/>
    <xf numFmtId="0" fontId="1" fillId="2" borderId="0" xfId="0" applyFont="1" applyFill="1"/>
    <xf numFmtId="0" fontId="5" fillId="0" borderId="0" xfId="0" applyFont="1"/>
    <xf numFmtId="0" fontId="4" fillId="2" borderId="0" xfId="0" applyFont="1" applyFill="1" applyAlignment="1">
      <alignment horizontal="centerContinuous" vertical="center"/>
    </xf>
    <xf numFmtId="0" fontId="1" fillId="2" borderId="0" xfId="0" applyFont="1" applyFill="1" applyAlignment="1">
      <alignment horizontal="centerContinuous" vertical="center"/>
    </xf>
    <xf numFmtId="0" fontId="1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</cellXfs>
  <cellStyles count="1">
    <cellStyle name="Normal" xfId="0" builtinId="0"/>
  </cellStyles>
  <dxfs count="42">
    <dxf>
      <numFmt numFmtId="2" formatCode="0.00"/>
    </dxf>
    <dxf>
      <numFmt numFmtId="2" formatCode="0.00"/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A4262C"/>
      <color rgb="FFA6A6A6"/>
      <color rgb="FFF2C811"/>
      <color rgb="FFD9B00F"/>
      <color rgb="FFE81123"/>
      <color rgb="FF112233"/>
      <color rgb="FF252423"/>
      <color rgb="FF01B8AA"/>
      <color rgb="FFFFF2AB"/>
      <color rgb="FF2C3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dinâmica16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 de Entrega Por Transportadora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811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122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1B8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811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122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1B8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811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1122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1B8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CÁLCULOS!$B$36:$B$37</c:f>
              <c:strCache>
                <c:ptCount val="1"/>
                <c:pt idx="0">
                  <c:v>Atrasado</c:v>
                </c:pt>
              </c:strCache>
            </c:strRef>
          </c:tx>
          <c:spPr>
            <a:solidFill>
              <a:srgbClr val="E8112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7415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CÁLCULOS!$A$38:$A$42</c:f>
              <c:strCache>
                <c:ptCount val="4"/>
                <c:pt idx="0">
                  <c:v>Correios</c:v>
                </c:pt>
                <c:pt idx="1">
                  <c:v>FedEx</c:v>
                </c:pt>
                <c:pt idx="2">
                  <c:v>Jadlog</c:v>
                </c:pt>
                <c:pt idx="3">
                  <c:v>Loggi</c:v>
                </c:pt>
              </c:strCache>
            </c:strRef>
          </c:cat>
          <c:val>
            <c:numRef>
              <c:f>CÁLCULOS!$B$38:$B$42</c:f>
              <c:numCache>
                <c:formatCode>0.00%</c:formatCode>
                <c:ptCount val="4"/>
                <c:pt idx="0">
                  <c:v>0.13740458015267176</c:v>
                </c:pt>
                <c:pt idx="1">
                  <c:v>0.11255411255411256</c:v>
                </c:pt>
                <c:pt idx="2">
                  <c:v>0.12096774193548387</c:v>
                </c:pt>
                <c:pt idx="3">
                  <c:v>0.11196911196911197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0-46DF-8297-F7949A7978FE}"/>
            </c:ext>
          </c:extLst>
        </c:ser>
        <c:ser>
          <c:idx val="1"/>
          <c:order val="1"/>
          <c:tx>
            <c:strRef>
              <c:f>CÁLCULOS!$C$36:$C$37</c:f>
              <c:strCache>
                <c:ptCount val="1"/>
                <c:pt idx="0">
                  <c:v>Em Trânsito / Pendente</c:v>
                </c:pt>
              </c:strCache>
            </c:strRef>
          </c:tx>
          <c:spPr>
            <a:solidFill>
              <a:srgbClr val="1122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7415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CÁLCULOS!$A$38:$A$42</c:f>
              <c:strCache>
                <c:ptCount val="4"/>
                <c:pt idx="0">
                  <c:v>Correios</c:v>
                </c:pt>
                <c:pt idx="1">
                  <c:v>FedEx</c:v>
                </c:pt>
                <c:pt idx="2">
                  <c:v>Jadlog</c:v>
                </c:pt>
                <c:pt idx="3">
                  <c:v>Loggi</c:v>
                </c:pt>
              </c:strCache>
            </c:strRef>
          </c:cat>
          <c:val>
            <c:numRef>
              <c:f>CÁLCULOS!$C$38:$C$42</c:f>
              <c:numCache>
                <c:formatCode>0.00%</c:formatCode>
                <c:ptCount val="4"/>
                <c:pt idx="0">
                  <c:v>0.21755725190839695</c:v>
                </c:pt>
                <c:pt idx="1">
                  <c:v>0.17316017316017315</c:v>
                </c:pt>
                <c:pt idx="2">
                  <c:v>0.21370967741935484</c:v>
                </c:pt>
                <c:pt idx="3">
                  <c:v>0.20463320463320464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0-46DF-8297-F7949A7978FE}"/>
            </c:ext>
          </c:extLst>
        </c:ser>
        <c:ser>
          <c:idx val="2"/>
          <c:order val="2"/>
          <c:tx>
            <c:strRef>
              <c:f>CÁLCULOS!$D$36:$D$37</c:f>
              <c:strCache>
                <c:ptCount val="1"/>
                <c:pt idx="0">
                  <c:v>No Prazo</c:v>
                </c:pt>
              </c:strCache>
            </c:strRef>
          </c:tx>
          <c:spPr>
            <a:solidFill>
              <a:srgbClr val="01B8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7415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CÁLCULOS!$A$38:$A$42</c:f>
              <c:strCache>
                <c:ptCount val="4"/>
                <c:pt idx="0">
                  <c:v>Correios</c:v>
                </c:pt>
                <c:pt idx="1">
                  <c:v>FedEx</c:v>
                </c:pt>
                <c:pt idx="2">
                  <c:v>Jadlog</c:v>
                </c:pt>
                <c:pt idx="3">
                  <c:v>Loggi</c:v>
                </c:pt>
              </c:strCache>
            </c:strRef>
          </c:cat>
          <c:val>
            <c:numRef>
              <c:f>CÁLCULOS!$D$38:$D$42</c:f>
              <c:numCache>
                <c:formatCode>0.00%</c:formatCode>
                <c:ptCount val="4"/>
                <c:pt idx="0">
                  <c:v>0.64503816793893132</c:v>
                </c:pt>
                <c:pt idx="1">
                  <c:v>0.7142857142857143</c:v>
                </c:pt>
                <c:pt idx="2">
                  <c:v>0.66532258064516125</c:v>
                </c:pt>
                <c:pt idx="3">
                  <c:v>0.68339768339768336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30-46DF-8297-F7949A7978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8802719"/>
        <c:axId val="1258803199"/>
      </c:barChart>
      <c:catAx>
        <c:axId val="125880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803199"/>
        <c:crosses val="autoZero"/>
        <c:auto val="1"/>
        <c:lblAlgn val="ctr"/>
        <c:lblOffset val="100"/>
        <c:noMultiLvlLbl val="0"/>
      </c:catAx>
      <c:valAx>
        <c:axId val="12588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80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dinâmica18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Eficiência de Frete: Impacto no Lucro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A4262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50800" cap="rnd">
            <a:solidFill>
              <a:srgbClr val="F2C81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A4262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50800" cap="rnd">
            <a:solidFill>
              <a:srgbClr val="F2C81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A4262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50800" cap="rnd">
            <a:solidFill>
              <a:srgbClr val="F2C81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CÁLCULOS!$B$4</c:f>
              <c:strCache>
                <c:ptCount val="1"/>
                <c:pt idx="0">
                  <c:v>Valor de Frete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CÁLCULOS!$A$5:$A$9</c:f>
              <c:strCache>
                <c:ptCount val="4"/>
                <c:pt idx="0">
                  <c:v>Acessórios</c:v>
                </c:pt>
                <c:pt idx="1">
                  <c:v>Hardware</c:v>
                </c:pt>
                <c:pt idx="2">
                  <c:v>Licenças</c:v>
                </c:pt>
                <c:pt idx="3">
                  <c:v>Software</c:v>
                </c:pt>
              </c:strCache>
            </c:strRef>
          </c:cat>
          <c:val>
            <c:numRef>
              <c:f>CÁLCULOS!$B$5:$B$9</c:f>
              <c:numCache>
                <c:formatCode>"R$"\ #,##0.00</c:formatCode>
                <c:ptCount val="4"/>
                <c:pt idx="0">
                  <c:v>40.940181268882192</c:v>
                </c:pt>
                <c:pt idx="1">
                  <c:v>100.39562176165803</c:v>
                </c:pt>
                <c:pt idx="2">
                  <c:v>21.914415584415586</c:v>
                </c:pt>
                <c:pt idx="3">
                  <c:v>22.004418604651146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C-4AA3-861D-ED13EAD1E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312575"/>
        <c:axId val="1128299615"/>
      </c:barChart>
      <c:lineChart>
        <c:grouping val="standard"/>
        <c:varyColors val="0"/>
        <c:ser>
          <c:idx val="1"/>
          <c:order val="1"/>
          <c:tx>
            <c:strRef>
              <c:f>CÁLCULOS!$C$4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8575" cap="rnd">
              <a:solidFill>
                <a:srgbClr val="A4262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CÁLCULOS!$A$5:$A$9</c:f>
              <c:strCache>
                <c:ptCount val="4"/>
                <c:pt idx="0">
                  <c:v>Acessórios</c:v>
                </c:pt>
                <c:pt idx="1">
                  <c:v>Hardware</c:v>
                </c:pt>
                <c:pt idx="2">
                  <c:v>Licenças</c:v>
                </c:pt>
                <c:pt idx="3">
                  <c:v>Software</c:v>
                </c:pt>
              </c:strCache>
            </c:strRef>
          </c:cat>
          <c:val>
            <c:numRef>
              <c:f>CÁLCULOS!$C$5:$C$9</c:f>
              <c:numCache>
                <c:formatCode>"R$"\ #,##0.00</c:formatCode>
                <c:ptCount val="4"/>
                <c:pt idx="0">
                  <c:v>83.993803625377637</c:v>
                </c:pt>
                <c:pt idx="1">
                  <c:v>1183.5883134715036</c:v>
                </c:pt>
                <c:pt idx="2">
                  <c:v>148.37674675324683</c:v>
                </c:pt>
                <c:pt idx="3">
                  <c:v>427.19120155038769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2C-4AA3-861D-ED13EAD1E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312575"/>
        <c:axId val="1128299615"/>
      </c:lineChart>
      <c:lineChart>
        <c:grouping val="standard"/>
        <c:varyColors val="0"/>
        <c:ser>
          <c:idx val="2"/>
          <c:order val="2"/>
          <c:tx>
            <c:strRef>
              <c:f>CÁLCULOS!$D$4</c:f>
              <c:strCache>
                <c:ptCount val="1"/>
                <c:pt idx="0">
                  <c:v>Média de Margem de Lucro</c:v>
                </c:pt>
              </c:strCache>
            </c:strRef>
          </c:tx>
          <c:spPr>
            <a:ln w="50800" cap="rnd">
              <a:solidFill>
                <a:srgbClr val="F2C811"/>
              </a:solidFill>
              <a:round/>
            </a:ln>
            <a:effectLst/>
          </c:spPr>
          <c:marker>
            <c:symbol val="none"/>
          </c:marker>
          <c:cat>
            <c:strRef>
              <c:f>CÁLCULOS!$A$5:$A$9</c:f>
              <c:strCache>
                <c:ptCount val="4"/>
                <c:pt idx="0">
                  <c:v>Acessórios</c:v>
                </c:pt>
                <c:pt idx="1">
                  <c:v>Hardware</c:v>
                </c:pt>
                <c:pt idx="2">
                  <c:v>Licenças</c:v>
                </c:pt>
                <c:pt idx="3">
                  <c:v>Software</c:v>
                </c:pt>
              </c:strCache>
            </c:strRef>
          </c:cat>
          <c:val>
            <c:numRef>
              <c:f>CÁLCULOS!$D$5:$D$9</c:f>
              <c:numCache>
                <c:formatCode>0.00%</c:formatCode>
                <c:ptCount val="4"/>
                <c:pt idx="0">
                  <c:v>0.21129658268849469</c:v>
                </c:pt>
                <c:pt idx="1">
                  <c:v>0.30289369139750533</c:v>
                </c:pt>
                <c:pt idx="2">
                  <c:v>0.36981636733336254</c:v>
                </c:pt>
                <c:pt idx="3">
                  <c:v>0.35865640910850233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2C-4AA3-861D-ED13EAD1E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347135"/>
        <c:axId val="1128346175"/>
      </c:lineChart>
      <c:catAx>
        <c:axId val="11283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299615"/>
        <c:crosses val="autoZero"/>
        <c:auto val="1"/>
        <c:lblAlgn val="ctr"/>
        <c:lblOffset val="100"/>
        <c:noMultiLvlLbl val="0"/>
      </c:catAx>
      <c:valAx>
        <c:axId val="11282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12575"/>
        <c:crosses val="autoZero"/>
        <c:crossBetween val="between"/>
      </c:valAx>
      <c:valAx>
        <c:axId val="11283461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47135"/>
        <c:crosses val="max"/>
        <c:crossBetween val="between"/>
      </c:valAx>
      <c:catAx>
        <c:axId val="1128347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8346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n>
            <a:noFill/>
          </a:ln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dinâmica19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Impacto do Atraso na Satisfação do Cliente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92D05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81123"/>
          </a:solidFill>
          <a:ln>
            <a:noFill/>
          </a:ln>
          <a:effectLst/>
        </c:spPr>
      </c:pivotFmt>
      <c:pivotFmt>
        <c:idx val="8"/>
        <c:spPr>
          <a:solidFill>
            <a:srgbClr val="01B8AA"/>
          </a:solidFill>
          <a:ln>
            <a:noFill/>
          </a:ln>
          <a:effectLst/>
        </c:spPr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81123"/>
          </a:solidFill>
          <a:ln>
            <a:noFill/>
          </a:ln>
          <a:effectLst/>
        </c:spPr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</c:pivotFmt>
      <c:pivotFmt>
        <c:idx val="13"/>
        <c:spPr>
          <a:solidFill>
            <a:srgbClr val="01B8AA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81123"/>
          </a:solidFill>
          <a:ln>
            <a:noFill/>
          </a:ln>
          <a:effectLst/>
        </c:spPr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</c:pivotFmt>
      <c:pivotFmt>
        <c:idx val="17"/>
        <c:spPr>
          <a:solidFill>
            <a:srgbClr val="01B8AA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112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0C-4B59-8264-8E113E4DC8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0C-4B59-8264-8E113E4DC895}"/>
              </c:ext>
            </c:extLst>
          </c:dPt>
          <c:dPt>
            <c:idx val="2"/>
            <c:invertIfNegative val="0"/>
            <c:bubble3D val="0"/>
            <c:spPr>
              <a:solidFill>
                <a:srgbClr val="01B8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0C-4B59-8264-8E113E4DC8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37415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CÁLCULOS!$A$21:$A$24</c:f>
              <c:strCache>
                <c:ptCount val="3"/>
                <c:pt idx="0">
                  <c:v>Atrasado</c:v>
                </c:pt>
                <c:pt idx="1">
                  <c:v>Em Trânsito / Pendente</c:v>
                </c:pt>
                <c:pt idx="2">
                  <c:v>No Prazo</c:v>
                </c:pt>
              </c:strCache>
            </c:strRef>
          </c:cat>
          <c:val>
            <c:numRef>
              <c:f>CÁLCULOS!$B$21:$B$24</c:f>
              <c:numCache>
                <c:formatCode>0.00</c:formatCode>
                <c:ptCount val="3"/>
                <c:pt idx="0">
                  <c:v>1.9173553719008265</c:v>
                </c:pt>
                <c:pt idx="1">
                  <c:v>2.5221674876847291</c:v>
                </c:pt>
                <c:pt idx="2">
                  <c:v>4.5162721893491122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0C-4B59-8264-8E113E4DC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437327"/>
        <c:axId val="1300438767"/>
      </c:barChart>
      <c:catAx>
        <c:axId val="130043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0438767"/>
        <c:crosses val="autoZero"/>
        <c:auto val="1"/>
        <c:lblAlgn val="ctr"/>
        <c:lblOffset val="100"/>
        <c:noMultiLvlLbl val="0"/>
      </c:catAx>
      <c:valAx>
        <c:axId val="130043876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04373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bg1"/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0"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dinâmica27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Pedidos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1B8AA"/>
          </a:solidFill>
          <a:ln>
            <a:noFill/>
          </a:ln>
          <a:effectLst/>
        </c:spPr>
      </c:pivotFmt>
      <c:pivotFmt>
        <c:idx val="4"/>
        <c:spPr>
          <a:solidFill>
            <a:srgbClr val="112233"/>
          </a:solidFill>
          <a:ln>
            <a:noFill/>
          </a:ln>
          <a:effectLst/>
        </c:spPr>
      </c:pivotFmt>
      <c:pivotFmt>
        <c:idx val="5"/>
        <c:spPr>
          <a:solidFill>
            <a:srgbClr val="E81123"/>
          </a:solidFill>
          <a:ln>
            <a:noFill/>
          </a:ln>
          <a:effectLst/>
        </c:spPr>
      </c:pivotFmt>
      <c:pivotFmt>
        <c:idx val="6"/>
        <c:spPr>
          <a:solidFill>
            <a:srgbClr val="A6A6A6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E81123"/>
          </a:solidFill>
          <a:ln>
            <a:noFill/>
          </a:ln>
          <a:effectLst/>
        </c:spPr>
      </c:pivotFmt>
      <c:pivotFmt>
        <c:idx val="9"/>
        <c:spPr>
          <a:solidFill>
            <a:srgbClr val="112233"/>
          </a:solidFill>
          <a:ln>
            <a:noFill/>
          </a:ln>
          <a:effectLst/>
        </c:spPr>
      </c:pivotFmt>
      <c:pivotFmt>
        <c:idx val="10"/>
        <c:spPr>
          <a:solidFill>
            <a:srgbClr val="01B8AA"/>
          </a:solidFill>
          <a:ln>
            <a:noFill/>
          </a:ln>
          <a:effectLst/>
        </c:spPr>
      </c:pivotFmt>
      <c:pivotFmt>
        <c:idx val="11"/>
        <c:spPr>
          <a:solidFill>
            <a:srgbClr val="A6A6A6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E81123"/>
          </a:solidFill>
          <a:ln>
            <a:noFill/>
          </a:ln>
          <a:effectLst/>
        </c:spPr>
      </c:pivotFmt>
      <c:pivotFmt>
        <c:idx val="14"/>
        <c:spPr>
          <a:solidFill>
            <a:srgbClr val="112233"/>
          </a:solidFill>
          <a:ln>
            <a:noFill/>
          </a:ln>
          <a:effectLst/>
        </c:spPr>
      </c:pivotFmt>
      <c:pivotFmt>
        <c:idx val="15"/>
        <c:spPr>
          <a:solidFill>
            <a:srgbClr val="01B8AA"/>
          </a:solidFill>
          <a:ln>
            <a:noFill/>
          </a:ln>
          <a:effectLst/>
        </c:spPr>
      </c:pivotFmt>
      <c:pivotFmt>
        <c:idx val="16"/>
        <c:spPr>
          <a:solidFill>
            <a:srgbClr val="A6A6A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CÁLCULOS!$B$50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112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D-4E90-A68D-F11CAF003118}"/>
              </c:ext>
            </c:extLst>
          </c:dPt>
          <c:dPt>
            <c:idx val="1"/>
            <c:invertIfNegative val="0"/>
            <c:bubble3D val="0"/>
            <c:spPr>
              <a:solidFill>
                <a:srgbClr val="1122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D-4E90-A68D-F11CAF003118}"/>
              </c:ext>
            </c:extLst>
          </c:dPt>
          <c:dPt>
            <c:idx val="2"/>
            <c:invertIfNegative val="0"/>
            <c:bubble3D val="0"/>
            <c:spPr>
              <a:solidFill>
                <a:srgbClr val="01B8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D-4E90-A68D-F11CAF003118}"/>
              </c:ext>
            </c:extLst>
          </c:dPt>
          <c:dPt>
            <c:idx val="3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3D-4E90-A68D-F11CAF00311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CÁLCULOS!$A$51:$A$55</c:f>
              <c:strCache>
                <c:ptCount val="4"/>
                <c:pt idx="0">
                  <c:v>Cancelado</c:v>
                </c:pt>
                <c:pt idx="1">
                  <c:v>Em Trânsito</c:v>
                </c:pt>
                <c:pt idx="2">
                  <c:v>Entregue</c:v>
                </c:pt>
                <c:pt idx="3">
                  <c:v>Extraviado</c:v>
                </c:pt>
              </c:strCache>
            </c:strRef>
          </c:cat>
          <c:val>
            <c:numRef>
              <c:f>CÁLCULOS!$B$51:$B$55</c:f>
              <c:numCache>
                <c:formatCode>0.00%</c:formatCode>
                <c:ptCount val="4"/>
                <c:pt idx="0">
                  <c:v>6.0999999999999999E-2</c:v>
                </c:pt>
                <c:pt idx="1">
                  <c:v>0.107</c:v>
                </c:pt>
                <c:pt idx="2">
                  <c:v>0.79700000000000004</c:v>
                </c:pt>
                <c:pt idx="3">
                  <c:v>3.5000000000000003E-2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D-4E90-A68D-F11CAF003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074496"/>
        <c:axId val="120073056"/>
      </c:barChart>
      <c:catAx>
        <c:axId val="12007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073056"/>
        <c:crosses val="autoZero"/>
        <c:auto val="1"/>
        <c:lblAlgn val="ctr"/>
        <c:lblOffset val="100"/>
        <c:noMultiLvlLbl val="0"/>
      </c:catAx>
      <c:valAx>
        <c:axId val="1200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07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Margem de Lucro Média por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CÁLCULOS!$B$91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E4-4A39-96AD-A8A5E705BE67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E4-4A39-96AD-A8A5E705BE67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E4-4A39-96AD-A8A5E705BE6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E4-4A39-96AD-A8A5E705B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37415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CÁLCULOS!$A$92:$A$104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CÁLCULOS!$B$92:$B$104</c:f>
              <c:numCache>
                <c:formatCode>0.00%</c:formatCode>
                <c:ptCount val="12"/>
                <c:pt idx="0">
                  <c:v>0.29753766612454852</c:v>
                </c:pt>
                <c:pt idx="1">
                  <c:v>0.22910481569237012</c:v>
                </c:pt>
                <c:pt idx="2">
                  <c:v>0.31928102711009032</c:v>
                </c:pt>
                <c:pt idx="3">
                  <c:v>0.32681507598479159</c:v>
                </c:pt>
                <c:pt idx="4">
                  <c:v>0.26400911544232192</c:v>
                </c:pt>
                <c:pt idx="5">
                  <c:v>0.27472420800972414</c:v>
                </c:pt>
                <c:pt idx="6">
                  <c:v>0.29867957624329217</c:v>
                </c:pt>
                <c:pt idx="7">
                  <c:v>0.33434076501513504</c:v>
                </c:pt>
                <c:pt idx="8">
                  <c:v>0.2834491535469098</c:v>
                </c:pt>
                <c:pt idx="9">
                  <c:v>0.27215900517813141</c:v>
                </c:pt>
                <c:pt idx="10">
                  <c:v>0.25449445466936538</c:v>
                </c:pt>
                <c:pt idx="11">
                  <c:v>0.31621478868815933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E4-4A39-96AD-A8A5E705B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311615"/>
        <c:axId val="1128305855"/>
      </c:lineChart>
      <c:catAx>
        <c:axId val="112831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05855"/>
        <c:crosses val="autoZero"/>
        <c:auto val="1"/>
        <c:lblAlgn val="ctr"/>
        <c:lblOffset val="100"/>
        <c:noMultiLvlLbl val="0"/>
      </c:catAx>
      <c:valAx>
        <c:axId val="1128305855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1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bg1"/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dinâmica12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vs Lucro Líquido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CÁLCULOS!$B$66</c:f>
              <c:strCache>
                <c:ptCount val="1"/>
                <c:pt idx="0">
                  <c:v>Receita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CÁLCULOS!$A$67:$A$79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CÁLCULOS!$B$67:$B$79</c:f>
              <c:numCache>
                <c:formatCode>"R$"\ #,##0.00</c:formatCode>
                <c:ptCount val="12"/>
                <c:pt idx="0">
                  <c:v>133697.46699999998</c:v>
                </c:pt>
                <c:pt idx="1">
                  <c:v>116457.25599999999</c:v>
                </c:pt>
                <c:pt idx="2">
                  <c:v>158630.63500000007</c:v>
                </c:pt>
                <c:pt idx="3">
                  <c:v>87686.608000000022</c:v>
                </c:pt>
                <c:pt idx="4">
                  <c:v>169871.73300000001</c:v>
                </c:pt>
                <c:pt idx="5">
                  <c:v>156226.19600000003</c:v>
                </c:pt>
                <c:pt idx="6">
                  <c:v>133482.59900000005</c:v>
                </c:pt>
                <c:pt idx="7">
                  <c:v>156776.18000000002</c:v>
                </c:pt>
                <c:pt idx="8">
                  <c:v>147686.07300000006</c:v>
                </c:pt>
                <c:pt idx="9">
                  <c:v>126176.09100000003</c:v>
                </c:pt>
                <c:pt idx="10">
                  <c:v>141593.54199999996</c:v>
                </c:pt>
                <c:pt idx="11">
                  <c:v>110574.86200000001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0-4EDC-B8BF-5323206FF416}"/>
            </c:ext>
          </c:extLst>
        </c:ser>
        <c:ser>
          <c:idx val="1"/>
          <c:order val="1"/>
          <c:tx>
            <c:strRef>
              <c:f>CÁLCULOS!$C$66</c:f>
              <c:strCache>
                <c:ptCount val="1"/>
                <c:pt idx="0">
                  <c:v>Lucro Líquido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CÁLCULOS!$A$67:$A$79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CÁLCULOS!$C$67:$C$79</c:f>
              <c:numCache>
                <c:formatCode>"R$"\ #,##0.00</c:formatCode>
                <c:ptCount val="12"/>
                <c:pt idx="0">
                  <c:v>47735.077000000005</c:v>
                </c:pt>
                <c:pt idx="1">
                  <c:v>34852.436000000016</c:v>
                </c:pt>
                <c:pt idx="2">
                  <c:v>52930.56500000001</c:v>
                </c:pt>
                <c:pt idx="3">
                  <c:v>30880.758000000002</c:v>
                </c:pt>
                <c:pt idx="4">
                  <c:v>51037.952999999987</c:v>
                </c:pt>
                <c:pt idx="5">
                  <c:v>52952.556000000004</c:v>
                </c:pt>
                <c:pt idx="6">
                  <c:v>46503.689000000035</c:v>
                </c:pt>
                <c:pt idx="7">
                  <c:v>61909.149999999994</c:v>
                </c:pt>
                <c:pt idx="8">
                  <c:v>55707.443000000014</c:v>
                </c:pt>
                <c:pt idx="9">
                  <c:v>38710.211000000003</c:v>
                </c:pt>
                <c:pt idx="10">
                  <c:v>50548.651999999987</c:v>
                </c:pt>
                <c:pt idx="11">
                  <c:v>38856.231999999989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0-4EDC-B8BF-5323206FF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28316415"/>
        <c:axId val="1128308255"/>
      </c:lineChart>
      <c:catAx>
        <c:axId val="112831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08255"/>
        <c:crosses val="autoZero"/>
        <c:auto val="1"/>
        <c:lblAlgn val="ctr"/>
        <c:lblOffset val="100"/>
        <c:noMultiLvlLbl val="0"/>
      </c:catAx>
      <c:valAx>
        <c:axId val="1128308255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31641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bg1"/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[RELATORIO_CONSOLIDADO.xlsx]CÁLCULOS!Tabela dinâmica20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Sazonalidade de Vendas: Categorias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7415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CÁLCULOS!$B$120:$B$121</c:f>
              <c:strCache>
                <c:ptCount val="1"/>
                <c:pt idx="0">
                  <c:v>Acessórios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CÁLCULOS!$A$122:$A$134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CÁLCULOS!$B$122:$B$134</c:f>
              <c:numCache>
                <c:formatCode>"R$"\ #,##0.00</c:formatCode>
                <c:ptCount val="12"/>
                <c:pt idx="0">
                  <c:v>7992.4039999999986</c:v>
                </c:pt>
                <c:pt idx="1">
                  <c:v>5973.9290000000001</c:v>
                </c:pt>
                <c:pt idx="2">
                  <c:v>4868.1509999999989</c:v>
                </c:pt>
                <c:pt idx="3">
                  <c:v>8544.5069999999996</c:v>
                </c:pt>
                <c:pt idx="4">
                  <c:v>9457.469000000001</c:v>
                </c:pt>
                <c:pt idx="5">
                  <c:v>6167.7549999999983</c:v>
                </c:pt>
                <c:pt idx="6">
                  <c:v>8879.5930000000008</c:v>
                </c:pt>
                <c:pt idx="7">
                  <c:v>9213.3549999999996</c:v>
                </c:pt>
                <c:pt idx="8">
                  <c:v>5640.2889999999989</c:v>
                </c:pt>
                <c:pt idx="9">
                  <c:v>5384.7059999999992</c:v>
                </c:pt>
                <c:pt idx="10">
                  <c:v>5405.1109999999999</c:v>
                </c:pt>
                <c:pt idx="11">
                  <c:v>9877.3700000000008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4-42EE-A912-3C986C8604BB}"/>
            </c:ext>
          </c:extLst>
        </c:ser>
        <c:ser>
          <c:idx val="1"/>
          <c:order val="1"/>
          <c:tx>
            <c:strRef>
              <c:f>CÁLCULOS!$C$120:$C$121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CÁLCULOS!$A$122:$A$134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CÁLCULOS!$C$122:$C$134</c:f>
              <c:numCache>
                <c:formatCode>"R$"\ #,##0.00</c:formatCode>
                <c:ptCount val="12"/>
                <c:pt idx="0">
                  <c:v>112574.69999999998</c:v>
                </c:pt>
                <c:pt idx="1">
                  <c:v>94656.655999999988</c:v>
                </c:pt>
                <c:pt idx="2">
                  <c:v>142059.22</c:v>
                </c:pt>
                <c:pt idx="3">
                  <c:v>69987.013999999981</c:v>
                </c:pt>
                <c:pt idx="4">
                  <c:v>142852.57799999998</c:v>
                </c:pt>
                <c:pt idx="5">
                  <c:v>134773.50099999999</c:v>
                </c:pt>
                <c:pt idx="6">
                  <c:v>105673.173</c:v>
                </c:pt>
                <c:pt idx="7">
                  <c:v>127155.60300000003</c:v>
                </c:pt>
                <c:pt idx="8">
                  <c:v>121411.995</c:v>
                </c:pt>
                <c:pt idx="9">
                  <c:v>101846.43500000001</c:v>
                </c:pt>
                <c:pt idx="10">
                  <c:v>125830.03599999999</c:v>
                </c:pt>
                <c:pt idx="11">
                  <c:v>77078.928000000014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4-42EE-A912-3C986C8604BB}"/>
            </c:ext>
          </c:extLst>
        </c:ser>
        <c:ser>
          <c:idx val="2"/>
          <c:order val="2"/>
          <c:tx>
            <c:strRef>
              <c:f>CÁLCULOS!$D$120:$D$121</c:f>
              <c:strCache>
                <c:ptCount val="1"/>
                <c:pt idx="0">
                  <c:v>Licenças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CÁLCULOS!$A$122:$A$134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CÁLCULOS!$D$122:$D$134</c:f>
              <c:numCache>
                <c:formatCode>"R$"\ #,##0.00</c:formatCode>
                <c:ptCount val="12"/>
                <c:pt idx="0">
                  <c:v>4668.5659999999998</c:v>
                </c:pt>
                <c:pt idx="1">
                  <c:v>4991.3810000000003</c:v>
                </c:pt>
                <c:pt idx="2">
                  <c:v>3422.2700000000004</c:v>
                </c:pt>
                <c:pt idx="3">
                  <c:v>4306.05</c:v>
                </c:pt>
                <c:pt idx="4">
                  <c:v>3899.9190000000003</c:v>
                </c:pt>
                <c:pt idx="5">
                  <c:v>3721.4040000000005</c:v>
                </c:pt>
                <c:pt idx="6">
                  <c:v>4833.7880000000005</c:v>
                </c:pt>
                <c:pt idx="7">
                  <c:v>6561.0520000000006</c:v>
                </c:pt>
                <c:pt idx="8">
                  <c:v>3822.4729999999995</c:v>
                </c:pt>
                <c:pt idx="9">
                  <c:v>2191.1570000000002</c:v>
                </c:pt>
                <c:pt idx="10">
                  <c:v>4448.6140000000005</c:v>
                </c:pt>
                <c:pt idx="11">
                  <c:v>6062.6450000000013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4-42EE-A912-3C986C8604BB}"/>
            </c:ext>
          </c:extLst>
        </c:ser>
        <c:ser>
          <c:idx val="3"/>
          <c:order val="3"/>
          <c:tx>
            <c:strRef>
              <c:f>CÁLCULOS!$E$120:$E$121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CÁLCULOS!$A$122:$A$134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CÁLCULOS!$E$122:$E$134</c:f>
              <c:numCache>
                <c:formatCode>"R$"\ #,##0.00</c:formatCode>
                <c:ptCount val="12"/>
                <c:pt idx="0">
                  <c:v>8461.7970000000005</c:v>
                </c:pt>
                <c:pt idx="1">
                  <c:v>10835.29</c:v>
                </c:pt>
                <c:pt idx="2">
                  <c:v>8280.9939999999988</c:v>
                </c:pt>
                <c:pt idx="3">
                  <c:v>4849.0370000000003</c:v>
                </c:pt>
                <c:pt idx="4">
                  <c:v>13661.767</c:v>
                </c:pt>
                <c:pt idx="5">
                  <c:v>11563.536</c:v>
                </c:pt>
                <c:pt idx="6">
                  <c:v>14096.045</c:v>
                </c:pt>
                <c:pt idx="7">
                  <c:v>13846.170000000002</c:v>
                </c:pt>
                <c:pt idx="8">
                  <c:v>16811.315999999999</c:v>
                </c:pt>
                <c:pt idx="9">
                  <c:v>16753.793000000001</c:v>
                </c:pt>
                <c:pt idx="10">
                  <c:v>5909.7809999999999</c:v>
                </c:pt>
                <c:pt idx="11">
                  <c:v>17555.919000000002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4-42EE-A912-3C986C860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5891519"/>
        <c:axId val="1515883359"/>
      </c:barChart>
      <c:catAx>
        <c:axId val="151589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83359"/>
        <c:crosses val="autoZero"/>
        <c:auto val="1"/>
        <c:lblAlgn val="ctr"/>
        <c:lblOffset val="100"/>
        <c:noMultiLvlLbl val="0"/>
      </c:catAx>
      <c:valAx>
        <c:axId val="15158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415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9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415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bg1"/>
      </a:solidFill>
      <a:round/>
    </a:ln>
    <a:effectLst>
      <a:outerShdw blurRad="1270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0">
          <a:solidFill>
            <a:srgbClr val="37415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148772</xdr:colOff>
      <xdr:row>26</xdr:row>
      <xdr:rowOff>166061</xdr:rowOff>
    </xdr:from>
    <xdr:to>
      <xdr:col>15</xdr:col>
      <xdr:colOff>80281</xdr:colOff>
      <xdr:row>44</xdr:row>
      <xdr:rowOff>134470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9041817-EC5A-4502-95C9-0F8867302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134462</xdr:colOff>
      <xdr:row>8</xdr:row>
      <xdr:rowOff>39514</xdr:rowOff>
    </xdr:from>
    <xdr:to>
      <xdr:col>15</xdr:col>
      <xdr:colOff>90079</xdr:colOff>
      <xdr:row>25</xdr:row>
      <xdr:rowOff>180975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093A4D8-A9C7-4371-A917-264F48D47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295802</xdr:colOff>
      <xdr:row>8</xdr:row>
      <xdr:rowOff>49040</xdr:rowOff>
    </xdr:from>
    <xdr:to>
      <xdr:col>24</xdr:col>
      <xdr:colOff>428626</xdr:colOff>
      <xdr:row>25</xdr:row>
      <xdr:rowOff>180976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90F4363-4554-4C40-B4D6-73A1868C3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238574</xdr:colOff>
      <xdr:row>8</xdr:row>
      <xdr:rowOff>81303</xdr:rowOff>
    </xdr:from>
    <xdr:ext cx="2060914" cy="1980653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transportadora">
              <a:extLst>
                <a:ext uri="{FF2B5EF4-FFF2-40B4-BE49-F238E27FC236}">
                  <a16:creationId xmlns:a16="http://schemas.microsoft.com/office/drawing/2014/main" id="{74CAC3E0-6640-48C9-BE30-5674EF645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ado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574" y="1999910"/>
              <a:ext cx="2060914" cy="1980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oneCellAnchor>
  <xdr:twoCellAnchor>
    <xdr:from>
      <xdr:col>4</xdr:col>
      <xdr:colOff>159843</xdr:colOff>
      <xdr:row>2</xdr:row>
      <xdr:rowOff>9998</xdr:rowOff>
    </xdr:from>
    <xdr:to>
      <xdr:col>7</xdr:col>
      <xdr:colOff>520720</xdr:colOff>
      <xdr:row>7</xdr:row>
      <xdr:rowOff>104775</xdr:rowOff>
    </xdr:to>
    <xdr:sp macro="" textlink="CÁLCULOS!I8">
      <xdr:nvSpPr>
        <xdr:cNvPr id="19" name="Retângulo 18">
          <a:extLst>
            <a:ext uri="{FF2B5EF4-FFF2-40B4-BE49-F238E27FC236}">
              <a16:creationId xmlns:a16="http://schemas.microsoft.com/office/drawing/2014/main" id="{0D9A136E-0BB0-46B5-BF7F-1989C7201D12}"/>
            </a:ext>
          </a:extLst>
        </xdr:cNvPr>
        <xdr:cNvSpPr/>
      </xdr:nvSpPr>
      <xdr:spPr>
        <a:xfrm>
          <a:off x="2522043" y="581498"/>
          <a:ext cx="2132527" cy="104727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056CEAF-4F8F-4F41-8BA2-C9AA9AC070E4}" type="TxLink">
            <a:rPr lang="en-US" sz="2800" b="0" i="0" u="none" strike="noStrike">
              <a:solidFill>
                <a:schemeClr val="tx1"/>
              </a:solidFill>
              <a:effectLst/>
              <a:latin typeface="Calibri"/>
              <a:ea typeface="Calibri"/>
              <a:cs typeface="Calibri"/>
            </a:rPr>
            <a:pPr algn="ctr"/>
            <a:t>-1,81</a:t>
          </a:fld>
          <a:endParaRPr lang="pt-BR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157368</xdr:colOff>
      <xdr:row>2</xdr:row>
      <xdr:rowOff>9998</xdr:rowOff>
    </xdr:from>
    <xdr:to>
      <xdr:col>7</xdr:col>
      <xdr:colOff>521803</xdr:colOff>
      <xdr:row>4</xdr:row>
      <xdr:rowOff>142876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C7A64DC1-95C7-486B-B632-6AC46328E4CA}"/>
            </a:ext>
          </a:extLst>
        </xdr:cNvPr>
        <xdr:cNvSpPr/>
      </xdr:nvSpPr>
      <xdr:spPr>
        <a:xfrm>
          <a:off x="2519568" y="581498"/>
          <a:ext cx="2136085" cy="513878"/>
        </a:xfrm>
        <a:prstGeom prst="rect">
          <a:avLst/>
        </a:prstGeom>
        <a:solidFill>
          <a:srgbClr val="F2C811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Média de Atraso</a:t>
          </a:r>
        </a:p>
      </xdr:txBody>
    </xdr:sp>
    <xdr:clientData/>
  </xdr:twoCellAnchor>
  <xdr:twoCellAnchor>
    <xdr:from>
      <xdr:col>0</xdr:col>
      <xdr:colOff>241888</xdr:colOff>
      <xdr:row>3</xdr:row>
      <xdr:rowOff>81890</xdr:rowOff>
    </xdr:from>
    <xdr:to>
      <xdr:col>3</xdr:col>
      <xdr:colOff>555171</xdr:colOff>
      <xdr:row>7</xdr:row>
      <xdr:rowOff>100632</xdr:rowOff>
    </xdr:to>
    <xdr:sp macro="" textlink="CÁLCULOS!K8">
      <xdr:nvSpPr>
        <xdr:cNvPr id="21" name="Retângulo 20">
          <a:extLst>
            <a:ext uri="{FF2B5EF4-FFF2-40B4-BE49-F238E27FC236}">
              <a16:creationId xmlns:a16="http://schemas.microsoft.com/office/drawing/2014/main" id="{0ADB2F1E-27CA-4CBA-9732-9FC802BE324E}"/>
            </a:ext>
          </a:extLst>
        </xdr:cNvPr>
        <xdr:cNvSpPr/>
      </xdr:nvSpPr>
      <xdr:spPr>
        <a:xfrm>
          <a:off x="241888" y="843890"/>
          <a:ext cx="2084933" cy="78074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172EF404-82C9-4EE5-BE8B-56CCC8C80396}" type="TxLink">
            <a:rPr lang="en-US" sz="2800" b="0" i="0" u="none" strike="noStrike">
              <a:solidFill>
                <a:schemeClr val="tx1"/>
              </a:solidFill>
              <a:effectLst/>
              <a:latin typeface="Calibri"/>
              <a:ea typeface="Calibri"/>
              <a:cs typeface="Calibri"/>
            </a:rPr>
            <a:pPr algn="ctr"/>
            <a:t>R$ 58,52</a:t>
          </a:fld>
          <a:endParaRPr lang="pt-BR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241890</xdr:colOff>
      <xdr:row>2</xdr:row>
      <xdr:rowOff>13608</xdr:rowOff>
    </xdr:from>
    <xdr:to>
      <xdr:col>3</xdr:col>
      <xdr:colOff>556239</xdr:colOff>
      <xdr:row>4</xdr:row>
      <xdr:rowOff>155925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2DFAD44F-8D37-4B51-9F5E-817F1EAF52E3}"/>
            </a:ext>
          </a:extLst>
        </xdr:cNvPr>
        <xdr:cNvSpPr/>
      </xdr:nvSpPr>
      <xdr:spPr>
        <a:xfrm>
          <a:off x="241890" y="585108"/>
          <a:ext cx="2085999" cy="523317"/>
        </a:xfrm>
        <a:prstGeom prst="rect">
          <a:avLst/>
        </a:prstGeom>
        <a:solidFill>
          <a:srgbClr val="F2C81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Frete Médio</a:t>
          </a:r>
        </a:p>
      </xdr:txBody>
    </xdr:sp>
    <xdr:clientData/>
  </xdr:twoCellAnchor>
  <xdr:twoCellAnchor>
    <xdr:from>
      <xdr:col>8</xdr:col>
      <xdr:colOff>188188</xdr:colOff>
      <xdr:row>2</xdr:row>
      <xdr:rowOff>11206</xdr:rowOff>
    </xdr:from>
    <xdr:to>
      <xdr:col>16</xdr:col>
      <xdr:colOff>248210</xdr:colOff>
      <xdr:row>7</xdr:row>
      <xdr:rowOff>123264</xdr:rowOff>
    </xdr:to>
    <xdr:sp macro="" textlink="CÁLCULOS!N12">
      <xdr:nvSpPr>
        <xdr:cNvPr id="23" name="Retângulo 22">
          <a:extLst>
            <a:ext uri="{FF2B5EF4-FFF2-40B4-BE49-F238E27FC236}">
              <a16:creationId xmlns:a16="http://schemas.microsoft.com/office/drawing/2014/main" id="{D7DD9E7B-40D5-4CDE-A76F-23B823FC9679}"/>
            </a:ext>
          </a:extLst>
        </xdr:cNvPr>
        <xdr:cNvSpPr/>
      </xdr:nvSpPr>
      <xdr:spPr>
        <a:xfrm>
          <a:off x="4912588" y="582706"/>
          <a:ext cx="4784422" cy="106455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dist="38100" dir="2700000" algn="tl" rotWithShape="0">
            <a:srgbClr val="262626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56538AC1-32C2-4B67-8CF0-D56720EC04D9}" type="TxLink">
            <a:rPr lang="en-US" sz="2800" b="0" i="0" u="none" strike="noStrike">
              <a:solidFill>
                <a:schemeClr val="tx1"/>
              </a:solidFill>
              <a:effectLst/>
              <a:latin typeface="Calibri"/>
              <a:ea typeface="Calibri"/>
              <a:cs typeface="Calibri"/>
            </a:rPr>
            <a:pPr algn="ctr"/>
            <a:t>29,49%</a:t>
          </a:fld>
          <a:endParaRPr lang="pt-BR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186959</xdr:colOff>
      <xdr:row>2</xdr:row>
      <xdr:rowOff>11205</xdr:rowOff>
    </xdr:from>
    <xdr:to>
      <xdr:col>16</xdr:col>
      <xdr:colOff>248210</xdr:colOff>
      <xdr:row>4</xdr:row>
      <xdr:rowOff>183172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B13DE1ED-2424-42A4-968F-9952A981F599}"/>
            </a:ext>
          </a:extLst>
        </xdr:cNvPr>
        <xdr:cNvSpPr/>
      </xdr:nvSpPr>
      <xdr:spPr>
        <a:xfrm>
          <a:off x="4911359" y="582705"/>
          <a:ext cx="4785651" cy="552967"/>
        </a:xfrm>
        <a:prstGeom prst="rect">
          <a:avLst/>
        </a:prstGeom>
        <a:solidFill>
          <a:srgbClr val="F2C81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Margem</a:t>
          </a:r>
          <a:r>
            <a:rPr lang="pt-BR" sz="2000" b="1" baseline="0">
              <a:solidFill>
                <a:schemeClr val="bg1"/>
              </a:solidFill>
            </a:rPr>
            <a:t> Média de Pedidos Entregues</a:t>
          </a:r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400970</xdr:colOff>
      <xdr:row>2</xdr:row>
      <xdr:rowOff>8900</xdr:rowOff>
    </xdr:from>
    <xdr:to>
      <xdr:col>24</xdr:col>
      <xdr:colOff>433665</xdr:colOff>
      <xdr:row>7</xdr:row>
      <xdr:rowOff>127163</xdr:rowOff>
    </xdr:to>
    <xdr:sp macro="" textlink="CÁLCULOS!N13">
      <xdr:nvSpPr>
        <xdr:cNvPr id="25" name="Retângulo 24">
          <a:extLst>
            <a:ext uri="{FF2B5EF4-FFF2-40B4-BE49-F238E27FC236}">
              <a16:creationId xmlns:a16="http://schemas.microsoft.com/office/drawing/2014/main" id="{995BD506-AD42-46B1-BA23-B41CB98FB89A}"/>
            </a:ext>
          </a:extLst>
        </xdr:cNvPr>
        <xdr:cNvSpPr/>
      </xdr:nvSpPr>
      <xdr:spPr>
        <a:xfrm>
          <a:off x="9849770" y="580400"/>
          <a:ext cx="4757095" cy="10707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dist="38100" dir="2700000" algn="tl" rotWithShape="0">
            <a:srgbClr val="262626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662328F-C53A-47F7-96B0-4E997FB65AED}" type="TxLink">
            <a:rPr lang="en-US" sz="2800" b="0" i="0" u="none" strike="noStrike">
              <a:solidFill>
                <a:srgbClr val="C00000"/>
              </a:solidFill>
              <a:effectLst/>
              <a:latin typeface="Calibri"/>
              <a:ea typeface="Calibri"/>
              <a:cs typeface="Calibri"/>
            </a:rPr>
            <a:pPr algn="ctr"/>
            <a:t>30,66%</a:t>
          </a:fld>
          <a:endParaRPr lang="pt-BR" sz="2800">
            <a:solidFill>
              <a:srgbClr val="C00000"/>
            </a:solidFill>
            <a:effectLst/>
          </a:endParaRPr>
        </a:p>
      </xdr:txBody>
    </xdr:sp>
    <xdr:clientData/>
  </xdr:twoCellAnchor>
  <xdr:twoCellAnchor>
    <xdr:from>
      <xdr:col>16</xdr:col>
      <xdr:colOff>394138</xdr:colOff>
      <xdr:row>2</xdr:row>
      <xdr:rowOff>4647</xdr:rowOff>
    </xdr:from>
    <xdr:to>
      <xdr:col>24</xdr:col>
      <xdr:colOff>441402</xdr:colOff>
      <xdr:row>5</xdr:row>
      <xdr:rowOff>297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377DA211-3E9C-47AE-8831-EE366AE4542C}"/>
            </a:ext>
          </a:extLst>
        </xdr:cNvPr>
        <xdr:cNvSpPr/>
      </xdr:nvSpPr>
      <xdr:spPr>
        <a:xfrm>
          <a:off x="9842938" y="576147"/>
          <a:ext cx="4771664" cy="567150"/>
        </a:xfrm>
        <a:prstGeom prst="rect">
          <a:avLst/>
        </a:prstGeom>
        <a:solidFill>
          <a:srgbClr val="F2C81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Margem Média de Pedidos</a:t>
          </a:r>
          <a:r>
            <a:rPr lang="pt-BR" sz="2000" b="1" baseline="0">
              <a:solidFill>
                <a:schemeClr val="bg1"/>
              </a:solidFill>
            </a:rPr>
            <a:t> Cancelados</a:t>
          </a:r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313764</xdr:colOff>
      <xdr:row>26</xdr:row>
      <xdr:rowOff>179294</xdr:rowOff>
    </xdr:from>
    <xdr:to>
      <xdr:col>24</xdr:col>
      <xdr:colOff>414617</xdr:colOff>
      <xdr:row>44</xdr:row>
      <xdr:rowOff>145676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8EABD33-622A-40ED-AABA-7E60DA36E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10246</xdr:colOff>
      <xdr:row>90</xdr:row>
      <xdr:rowOff>30256</xdr:rowOff>
    </xdr:from>
    <xdr:to>
      <xdr:col>8</xdr:col>
      <xdr:colOff>1548072</xdr:colOff>
      <xdr:row>108</xdr:row>
      <xdr:rowOff>87234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372EE8-D0E7-49F9-9AF9-836DDD919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47386</xdr:colOff>
      <xdr:row>65</xdr:row>
      <xdr:rowOff>5442</xdr:rowOff>
    </xdr:from>
    <xdr:to>
      <xdr:col>8</xdr:col>
      <xdr:colOff>561540</xdr:colOff>
      <xdr:row>83</xdr:row>
      <xdr:rowOff>62394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86FC3B-46EE-470B-A726-21D52A4C9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22412</xdr:colOff>
      <xdr:row>119</xdr:row>
      <xdr:rowOff>11205</xdr:rowOff>
    </xdr:from>
    <xdr:to>
      <xdr:col>11</xdr:col>
      <xdr:colOff>282215</xdr:colOff>
      <xdr:row>137</xdr:row>
      <xdr:rowOff>64913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9EFAFC-0882-4AA1-BDBE-FD1ADAA0F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" refreshedDate="46108.525543055555" createdVersion="8" refreshedVersion="8" minRefreshableVersion="3" recordCount="1000" xr:uid="{B3B9C3D2-787C-45D2-A090-4B091A66D273}">
  <cacheSource type="worksheet">
    <worksheetSource name="TabelaDadosConsolidados"/>
  </cacheSource>
  <cacheFields count="30">
    <cacheField name="id_pedido" numFmtId="0">
      <sharedItems count="1000">
        <s v="PED-1000"/>
        <s v="PED-1001"/>
        <s v="PED-1002"/>
        <s v="PED-1003"/>
        <s v="PED-1004"/>
        <s v="PED-1005"/>
        <s v="PED-1006"/>
        <s v="PED-1007"/>
        <s v="PED-1008"/>
        <s v="PED-1009"/>
        <s v="PED-1010"/>
        <s v="PED-1011"/>
        <s v="PED-1012"/>
        <s v="PED-1013"/>
        <s v="PED-1014"/>
        <s v="PED-1015"/>
        <s v="PED-1016"/>
        <s v="PED-1017"/>
        <s v="PED-1018"/>
        <s v="PED-1019"/>
        <s v="PED-1020"/>
        <s v="PED-1021"/>
        <s v="PED-1022"/>
        <s v="PED-1023"/>
        <s v="PED-1024"/>
        <s v="PED-1025"/>
        <s v="PED-1026"/>
        <s v="PED-1027"/>
        <s v="PED-1028"/>
        <s v="PED-1029"/>
        <s v="PED-1030"/>
        <s v="PED-1031"/>
        <s v="PED-1032"/>
        <s v="PED-1033"/>
        <s v="PED-1034"/>
        <s v="PED-1035"/>
        <s v="PED-1036"/>
        <s v="PED-1037"/>
        <s v="PED-1038"/>
        <s v="PED-1039"/>
        <s v="PED-1040"/>
        <s v="PED-1041"/>
        <s v="PED-1042"/>
        <s v="PED-1043"/>
        <s v="PED-1044"/>
        <s v="PED-1045"/>
        <s v="PED-1046"/>
        <s v="PED-1047"/>
        <s v="PED-1048"/>
        <s v="PED-1049"/>
        <s v="PED-1050"/>
        <s v="PED-1051"/>
        <s v="PED-1052"/>
        <s v="PED-1053"/>
        <s v="PED-1054"/>
        <s v="PED-1055"/>
        <s v="PED-1056"/>
        <s v="PED-1057"/>
        <s v="PED-1058"/>
        <s v="PED-1059"/>
        <s v="PED-1060"/>
        <s v="PED-1061"/>
        <s v="PED-1062"/>
        <s v="PED-1063"/>
        <s v="PED-1064"/>
        <s v="PED-1065"/>
        <s v="PED-1066"/>
        <s v="PED-1067"/>
        <s v="PED-1068"/>
        <s v="PED-1069"/>
        <s v="PED-1070"/>
        <s v="PED-1071"/>
        <s v="PED-1072"/>
        <s v="PED-1073"/>
        <s v="PED-1074"/>
        <s v="PED-1075"/>
        <s v="PED-1076"/>
        <s v="PED-1077"/>
        <s v="PED-1078"/>
        <s v="PED-1079"/>
        <s v="PED-1080"/>
        <s v="PED-1081"/>
        <s v="PED-1082"/>
        <s v="PED-1083"/>
        <s v="PED-1084"/>
        <s v="PED-1085"/>
        <s v="PED-1086"/>
        <s v="PED-1087"/>
        <s v="PED-1088"/>
        <s v="PED-1089"/>
        <s v="PED-1090"/>
        <s v="PED-1091"/>
        <s v="PED-1092"/>
        <s v="PED-1093"/>
        <s v="PED-1094"/>
        <s v="PED-1095"/>
        <s v="PED-1096"/>
        <s v="PED-1097"/>
        <s v="PED-1098"/>
        <s v="PED-1099"/>
        <s v="PED-1100"/>
        <s v="PED-1101"/>
        <s v="PED-1102"/>
        <s v="PED-1103"/>
        <s v="PED-1104"/>
        <s v="PED-1105"/>
        <s v="PED-1106"/>
        <s v="PED-1107"/>
        <s v="PED-1108"/>
        <s v="PED-1109"/>
        <s v="PED-1110"/>
        <s v="PED-1111"/>
        <s v="PED-1112"/>
        <s v="PED-1113"/>
        <s v="PED-1114"/>
        <s v="PED-1115"/>
        <s v="PED-1116"/>
        <s v="PED-1117"/>
        <s v="PED-1118"/>
        <s v="PED-1119"/>
        <s v="PED-1120"/>
        <s v="PED-1121"/>
        <s v="PED-1122"/>
        <s v="PED-1123"/>
        <s v="PED-1124"/>
        <s v="PED-1125"/>
        <s v="PED-1126"/>
        <s v="PED-1127"/>
        <s v="PED-1128"/>
        <s v="PED-1129"/>
        <s v="PED-1130"/>
        <s v="PED-1131"/>
        <s v="PED-1132"/>
        <s v="PED-1133"/>
        <s v="PED-1134"/>
        <s v="PED-1135"/>
        <s v="PED-1136"/>
        <s v="PED-1137"/>
        <s v="PED-1138"/>
        <s v="PED-1139"/>
        <s v="PED-1140"/>
        <s v="PED-1141"/>
        <s v="PED-1142"/>
        <s v="PED-1143"/>
        <s v="PED-1144"/>
        <s v="PED-1145"/>
        <s v="PED-1146"/>
        <s v="PED-1147"/>
        <s v="PED-1148"/>
        <s v="PED-1149"/>
        <s v="PED-1150"/>
        <s v="PED-1151"/>
        <s v="PED-1152"/>
        <s v="PED-1153"/>
        <s v="PED-1154"/>
        <s v="PED-1155"/>
        <s v="PED-1156"/>
        <s v="PED-1157"/>
        <s v="PED-1158"/>
        <s v="PED-1159"/>
        <s v="PED-1160"/>
        <s v="PED-1161"/>
        <s v="PED-1162"/>
        <s v="PED-1163"/>
        <s v="PED-1164"/>
        <s v="PED-1165"/>
        <s v="PED-1166"/>
        <s v="PED-1167"/>
        <s v="PED-1168"/>
        <s v="PED-1169"/>
        <s v="PED-1170"/>
        <s v="PED-1171"/>
        <s v="PED-1172"/>
        <s v="PED-1173"/>
        <s v="PED-1174"/>
        <s v="PED-1175"/>
        <s v="PED-1176"/>
        <s v="PED-1177"/>
        <s v="PED-1178"/>
        <s v="PED-1179"/>
        <s v="PED-1180"/>
        <s v="PED-1181"/>
        <s v="PED-1182"/>
        <s v="PED-1183"/>
        <s v="PED-1184"/>
        <s v="PED-1185"/>
        <s v="PED-1186"/>
        <s v="PED-1187"/>
        <s v="PED-1188"/>
        <s v="PED-1189"/>
        <s v="PED-1190"/>
        <s v="PED-1191"/>
        <s v="PED-1192"/>
        <s v="PED-1193"/>
        <s v="PED-1194"/>
        <s v="PED-1195"/>
        <s v="PED-1196"/>
        <s v="PED-1197"/>
        <s v="PED-1198"/>
        <s v="PED-1199"/>
        <s v="PED-1200"/>
        <s v="PED-1201"/>
        <s v="PED-1202"/>
        <s v="PED-1203"/>
        <s v="PED-1204"/>
        <s v="PED-1205"/>
        <s v="PED-1206"/>
        <s v="PED-1207"/>
        <s v="PED-1208"/>
        <s v="PED-1209"/>
        <s v="PED-1210"/>
        <s v="PED-1211"/>
        <s v="PED-1212"/>
        <s v="PED-1213"/>
        <s v="PED-1214"/>
        <s v="PED-1215"/>
        <s v="PED-1216"/>
        <s v="PED-1217"/>
        <s v="PED-1218"/>
        <s v="PED-1219"/>
        <s v="PED-1220"/>
        <s v="PED-1221"/>
        <s v="PED-1222"/>
        <s v="PED-1223"/>
        <s v="PED-1224"/>
        <s v="PED-1225"/>
        <s v="PED-1226"/>
        <s v="PED-1227"/>
        <s v="PED-1228"/>
        <s v="PED-1229"/>
        <s v="PED-1230"/>
        <s v="PED-1231"/>
        <s v="PED-1232"/>
        <s v="PED-1233"/>
        <s v="PED-1234"/>
        <s v="PED-1235"/>
        <s v="PED-1236"/>
        <s v="PED-1237"/>
        <s v="PED-1238"/>
        <s v="PED-1239"/>
        <s v="PED-1240"/>
        <s v="PED-1241"/>
        <s v="PED-1242"/>
        <s v="PED-1243"/>
        <s v="PED-1244"/>
        <s v="PED-1245"/>
        <s v="PED-1246"/>
        <s v="PED-1247"/>
        <s v="PED-1248"/>
        <s v="PED-1249"/>
        <s v="PED-1250"/>
        <s v="PED-1251"/>
        <s v="PED-1252"/>
        <s v="PED-1253"/>
        <s v="PED-1254"/>
        <s v="PED-1255"/>
        <s v="PED-1256"/>
        <s v="PED-1257"/>
        <s v="PED-1258"/>
        <s v="PED-1259"/>
        <s v="PED-1260"/>
        <s v="PED-1261"/>
        <s v="PED-1262"/>
        <s v="PED-1263"/>
        <s v="PED-1264"/>
        <s v="PED-1265"/>
        <s v="PED-1266"/>
        <s v="PED-1267"/>
        <s v="PED-1268"/>
        <s v="PED-1269"/>
        <s v="PED-1270"/>
        <s v="PED-1271"/>
        <s v="PED-1272"/>
        <s v="PED-1273"/>
        <s v="PED-1274"/>
        <s v="PED-1275"/>
        <s v="PED-1276"/>
        <s v="PED-1277"/>
        <s v="PED-1278"/>
        <s v="PED-1279"/>
        <s v="PED-1280"/>
        <s v="PED-1281"/>
        <s v="PED-1282"/>
        <s v="PED-1283"/>
        <s v="PED-1284"/>
        <s v="PED-1285"/>
        <s v="PED-1286"/>
        <s v="PED-1287"/>
        <s v="PED-1288"/>
        <s v="PED-1289"/>
        <s v="PED-1290"/>
        <s v="PED-1291"/>
        <s v="PED-1292"/>
        <s v="PED-1293"/>
        <s v="PED-1294"/>
        <s v="PED-1295"/>
        <s v="PED-1296"/>
        <s v="PED-1297"/>
        <s v="PED-1298"/>
        <s v="PED-1299"/>
        <s v="PED-1300"/>
        <s v="PED-1301"/>
        <s v="PED-1302"/>
        <s v="PED-1303"/>
        <s v="PED-1304"/>
        <s v="PED-1305"/>
        <s v="PED-1306"/>
        <s v="PED-1307"/>
        <s v="PED-1308"/>
        <s v="PED-1309"/>
        <s v="PED-1310"/>
        <s v="PED-1311"/>
        <s v="PED-1312"/>
        <s v="PED-1313"/>
        <s v="PED-1314"/>
        <s v="PED-1315"/>
        <s v="PED-1316"/>
        <s v="PED-1317"/>
        <s v="PED-1318"/>
        <s v="PED-1319"/>
        <s v="PED-1320"/>
        <s v="PED-1321"/>
        <s v="PED-1322"/>
        <s v="PED-1323"/>
        <s v="PED-1324"/>
        <s v="PED-1325"/>
        <s v="PED-1326"/>
        <s v="PED-1327"/>
        <s v="PED-1328"/>
        <s v="PED-1329"/>
        <s v="PED-1330"/>
        <s v="PED-1331"/>
        <s v="PED-1332"/>
        <s v="PED-1333"/>
        <s v="PED-1334"/>
        <s v="PED-1335"/>
        <s v="PED-1336"/>
        <s v="PED-1337"/>
        <s v="PED-1338"/>
        <s v="PED-1339"/>
        <s v="PED-1340"/>
        <s v="PED-1341"/>
        <s v="PED-1342"/>
        <s v="PED-1343"/>
        <s v="PED-1344"/>
        <s v="PED-1345"/>
        <s v="PED-1346"/>
        <s v="PED-1347"/>
        <s v="PED-1348"/>
        <s v="PED-1349"/>
        <s v="PED-1350"/>
        <s v="PED-1351"/>
        <s v="PED-1352"/>
        <s v="PED-1353"/>
        <s v="PED-1354"/>
        <s v="PED-1355"/>
        <s v="PED-1356"/>
        <s v="PED-1357"/>
        <s v="PED-1358"/>
        <s v="PED-1359"/>
        <s v="PED-1360"/>
        <s v="PED-1361"/>
        <s v="PED-1362"/>
        <s v="PED-1363"/>
        <s v="PED-1364"/>
        <s v="PED-1365"/>
        <s v="PED-1366"/>
        <s v="PED-1367"/>
        <s v="PED-1368"/>
        <s v="PED-1369"/>
        <s v="PED-1370"/>
        <s v="PED-1371"/>
        <s v="PED-1372"/>
        <s v="PED-1373"/>
        <s v="PED-1374"/>
        <s v="PED-1375"/>
        <s v="PED-1376"/>
        <s v="PED-1377"/>
        <s v="PED-1378"/>
        <s v="PED-1379"/>
        <s v="PED-1380"/>
        <s v="PED-1381"/>
        <s v="PED-1382"/>
        <s v="PED-1383"/>
        <s v="PED-1384"/>
        <s v="PED-1385"/>
        <s v="PED-1386"/>
        <s v="PED-1387"/>
        <s v="PED-1388"/>
        <s v="PED-1389"/>
        <s v="PED-1390"/>
        <s v="PED-1391"/>
        <s v="PED-1392"/>
        <s v="PED-1393"/>
        <s v="PED-1394"/>
        <s v="PED-1395"/>
        <s v="PED-1396"/>
        <s v="PED-1397"/>
        <s v="PED-1398"/>
        <s v="PED-1399"/>
        <s v="PED-1400"/>
        <s v="PED-1401"/>
        <s v="PED-1402"/>
        <s v="PED-1403"/>
        <s v="PED-1404"/>
        <s v="PED-1405"/>
        <s v="PED-1406"/>
        <s v="PED-1407"/>
        <s v="PED-1408"/>
        <s v="PED-1409"/>
        <s v="PED-1410"/>
        <s v="PED-1411"/>
        <s v="PED-1412"/>
        <s v="PED-1413"/>
        <s v="PED-1414"/>
        <s v="PED-1415"/>
        <s v="PED-1416"/>
        <s v="PED-1417"/>
        <s v="PED-1418"/>
        <s v="PED-1419"/>
        <s v="PED-1420"/>
        <s v="PED-1421"/>
        <s v="PED-1422"/>
        <s v="PED-1423"/>
        <s v="PED-1424"/>
        <s v="PED-1425"/>
        <s v="PED-1426"/>
        <s v="PED-1427"/>
        <s v="PED-1428"/>
        <s v="PED-1429"/>
        <s v="PED-1430"/>
        <s v="PED-1431"/>
        <s v="PED-1432"/>
        <s v="PED-1433"/>
        <s v="PED-1434"/>
        <s v="PED-1435"/>
        <s v="PED-1436"/>
        <s v="PED-1437"/>
        <s v="PED-1438"/>
        <s v="PED-1439"/>
        <s v="PED-1440"/>
        <s v="PED-1441"/>
        <s v="PED-1442"/>
        <s v="PED-1443"/>
        <s v="PED-1444"/>
        <s v="PED-1445"/>
        <s v="PED-1446"/>
        <s v="PED-1447"/>
        <s v="PED-1448"/>
        <s v="PED-1449"/>
        <s v="PED-1450"/>
        <s v="PED-1451"/>
        <s v="PED-1452"/>
        <s v="PED-1453"/>
        <s v="PED-1454"/>
        <s v="PED-1455"/>
        <s v="PED-1456"/>
        <s v="PED-1457"/>
        <s v="PED-1458"/>
        <s v="PED-1459"/>
        <s v="PED-1460"/>
        <s v="PED-1461"/>
        <s v="PED-1462"/>
        <s v="PED-1463"/>
        <s v="PED-1464"/>
        <s v="PED-1465"/>
        <s v="PED-1466"/>
        <s v="PED-1467"/>
        <s v="PED-1468"/>
        <s v="PED-1469"/>
        <s v="PED-1470"/>
        <s v="PED-1471"/>
        <s v="PED-1472"/>
        <s v="PED-1473"/>
        <s v="PED-1474"/>
        <s v="PED-1475"/>
        <s v="PED-1476"/>
        <s v="PED-1477"/>
        <s v="PED-1478"/>
        <s v="PED-1479"/>
        <s v="PED-1480"/>
        <s v="PED-1481"/>
        <s v="PED-1482"/>
        <s v="PED-1483"/>
        <s v="PED-1484"/>
        <s v="PED-1485"/>
        <s v="PED-1486"/>
        <s v="PED-1487"/>
        <s v="PED-1488"/>
        <s v="PED-1489"/>
        <s v="PED-1490"/>
        <s v="PED-1491"/>
        <s v="PED-1492"/>
        <s v="PED-1493"/>
        <s v="PED-1494"/>
        <s v="PED-1495"/>
        <s v="PED-1496"/>
        <s v="PED-1497"/>
        <s v="PED-1498"/>
        <s v="PED-1499"/>
        <s v="PED-1500"/>
        <s v="PED-1501"/>
        <s v="PED-1502"/>
        <s v="PED-1503"/>
        <s v="PED-1504"/>
        <s v="PED-1505"/>
        <s v="PED-1506"/>
        <s v="PED-1507"/>
        <s v="PED-1508"/>
        <s v="PED-1509"/>
        <s v="PED-1510"/>
        <s v="PED-1511"/>
        <s v="PED-1512"/>
        <s v="PED-1513"/>
        <s v="PED-1514"/>
        <s v="PED-1515"/>
        <s v="PED-1516"/>
        <s v="PED-1517"/>
        <s v="PED-1518"/>
        <s v="PED-1519"/>
        <s v="PED-1520"/>
        <s v="PED-1521"/>
        <s v="PED-1522"/>
        <s v="PED-1523"/>
        <s v="PED-1524"/>
        <s v="PED-1525"/>
        <s v="PED-1526"/>
        <s v="PED-1527"/>
        <s v="PED-1528"/>
        <s v="PED-1529"/>
        <s v="PED-1530"/>
        <s v="PED-1531"/>
        <s v="PED-1532"/>
        <s v="PED-1533"/>
        <s v="PED-1534"/>
        <s v="PED-1535"/>
        <s v="PED-1536"/>
        <s v="PED-1537"/>
        <s v="PED-1538"/>
        <s v="PED-1539"/>
        <s v="PED-1540"/>
        <s v="PED-1541"/>
        <s v="PED-1542"/>
        <s v="PED-1543"/>
        <s v="PED-1544"/>
        <s v="PED-1545"/>
        <s v="PED-1546"/>
        <s v="PED-1547"/>
        <s v="PED-1548"/>
        <s v="PED-1549"/>
        <s v="PED-1550"/>
        <s v="PED-1551"/>
        <s v="PED-1552"/>
        <s v="PED-1553"/>
        <s v="PED-1554"/>
        <s v="PED-1555"/>
        <s v="PED-1556"/>
        <s v="PED-1557"/>
        <s v="PED-1558"/>
        <s v="PED-1559"/>
        <s v="PED-1560"/>
        <s v="PED-1561"/>
        <s v="PED-1562"/>
        <s v="PED-1563"/>
        <s v="PED-1564"/>
        <s v="PED-1565"/>
        <s v="PED-1566"/>
        <s v="PED-1567"/>
        <s v="PED-1568"/>
        <s v="PED-1569"/>
        <s v="PED-1570"/>
        <s v="PED-1571"/>
        <s v="PED-1572"/>
        <s v="PED-1573"/>
        <s v="PED-1574"/>
        <s v="PED-1575"/>
        <s v="PED-1576"/>
        <s v="PED-1577"/>
        <s v="PED-1578"/>
        <s v="PED-1579"/>
        <s v="PED-1580"/>
        <s v="PED-1581"/>
        <s v="PED-1582"/>
        <s v="PED-1583"/>
        <s v="PED-1584"/>
        <s v="PED-1585"/>
        <s v="PED-1586"/>
        <s v="PED-1587"/>
        <s v="PED-1588"/>
        <s v="PED-1589"/>
        <s v="PED-1590"/>
        <s v="PED-1591"/>
        <s v="PED-1592"/>
        <s v="PED-1593"/>
        <s v="PED-1594"/>
        <s v="PED-1595"/>
        <s v="PED-1596"/>
        <s v="PED-1597"/>
        <s v="PED-1598"/>
        <s v="PED-1599"/>
        <s v="PED-1600"/>
        <s v="PED-1601"/>
        <s v="PED-1602"/>
        <s v="PED-1603"/>
        <s v="PED-1604"/>
        <s v="PED-1605"/>
        <s v="PED-1606"/>
        <s v="PED-1607"/>
        <s v="PED-1608"/>
        <s v="PED-1609"/>
        <s v="PED-1610"/>
        <s v="PED-1611"/>
        <s v="PED-1612"/>
        <s v="PED-1613"/>
        <s v="PED-1614"/>
        <s v="PED-1615"/>
        <s v="PED-1616"/>
        <s v="PED-1617"/>
        <s v="PED-1618"/>
        <s v="PED-1619"/>
        <s v="PED-1620"/>
        <s v="PED-1621"/>
        <s v="PED-1622"/>
        <s v="PED-1623"/>
        <s v="PED-1624"/>
        <s v="PED-1625"/>
        <s v="PED-1626"/>
        <s v="PED-1627"/>
        <s v="PED-1628"/>
        <s v="PED-1629"/>
        <s v="PED-1630"/>
        <s v="PED-1631"/>
        <s v="PED-1632"/>
        <s v="PED-1633"/>
        <s v="PED-1634"/>
        <s v="PED-1635"/>
        <s v="PED-1636"/>
        <s v="PED-1637"/>
        <s v="PED-1638"/>
        <s v="PED-1639"/>
        <s v="PED-1640"/>
        <s v="PED-1641"/>
        <s v="PED-1642"/>
        <s v="PED-1643"/>
        <s v="PED-1644"/>
        <s v="PED-1645"/>
        <s v="PED-1646"/>
        <s v="PED-1647"/>
        <s v="PED-1648"/>
        <s v="PED-1649"/>
        <s v="PED-1650"/>
        <s v="PED-1651"/>
        <s v="PED-1652"/>
        <s v="PED-1653"/>
        <s v="PED-1654"/>
        <s v="PED-1655"/>
        <s v="PED-1656"/>
        <s v="PED-1657"/>
        <s v="PED-1658"/>
        <s v="PED-1659"/>
        <s v="PED-1660"/>
        <s v="PED-1661"/>
        <s v="PED-1662"/>
        <s v="PED-1663"/>
        <s v="PED-1664"/>
        <s v="PED-1665"/>
        <s v="PED-1666"/>
        <s v="PED-1667"/>
        <s v="PED-1668"/>
        <s v="PED-1669"/>
        <s v="PED-1670"/>
        <s v="PED-1671"/>
        <s v="PED-1672"/>
        <s v="PED-1673"/>
        <s v="PED-1674"/>
        <s v="PED-1675"/>
        <s v="PED-1676"/>
        <s v="PED-1677"/>
        <s v="PED-1678"/>
        <s v="PED-1679"/>
        <s v="PED-1680"/>
        <s v="PED-1681"/>
        <s v="PED-1682"/>
        <s v="PED-1683"/>
        <s v="PED-1684"/>
        <s v="PED-1685"/>
        <s v="PED-1686"/>
        <s v="PED-1687"/>
        <s v="PED-1688"/>
        <s v="PED-1689"/>
        <s v="PED-1690"/>
        <s v="PED-1691"/>
        <s v="PED-1692"/>
        <s v="PED-1693"/>
        <s v="PED-1694"/>
        <s v="PED-1695"/>
        <s v="PED-1696"/>
        <s v="PED-1697"/>
        <s v="PED-1698"/>
        <s v="PED-1699"/>
        <s v="PED-1700"/>
        <s v="PED-1701"/>
        <s v="PED-1702"/>
        <s v="PED-1703"/>
        <s v="PED-1704"/>
        <s v="PED-1705"/>
        <s v="PED-1706"/>
        <s v="PED-1707"/>
        <s v="PED-1708"/>
        <s v="PED-1709"/>
        <s v="PED-1710"/>
        <s v="PED-1711"/>
        <s v="PED-1712"/>
        <s v="PED-1713"/>
        <s v="PED-1714"/>
        <s v="PED-1715"/>
        <s v="PED-1716"/>
        <s v="PED-1717"/>
        <s v="PED-1718"/>
        <s v="PED-1719"/>
        <s v="PED-1720"/>
        <s v="PED-1721"/>
        <s v="PED-1722"/>
        <s v="PED-1723"/>
        <s v="PED-1724"/>
        <s v="PED-1725"/>
        <s v="PED-1726"/>
        <s v="PED-1727"/>
        <s v="PED-1728"/>
        <s v="PED-1729"/>
        <s v="PED-1730"/>
        <s v="PED-1731"/>
        <s v="PED-1732"/>
        <s v="PED-1733"/>
        <s v="PED-1734"/>
        <s v="PED-1735"/>
        <s v="PED-1736"/>
        <s v="PED-1737"/>
        <s v="PED-1738"/>
        <s v="PED-1739"/>
        <s v="PED-1740"/>
        <s v="PED-1741"/>
        <s v="PED-1742"/>
        <s v="PED-1743"/>
        <s v="PED-1744"/>
        <s v="PED-1745"/>
        <s v="PED-1746"/>
        <s v="PED-1747"/>
        <s v="PED-1748"/>
        <s v="PED-1749"/>
        <s v="PED-1750"/>
        <s v="PED-1751"/>
        <s v="PED-1752"/>
        <s v="PED-1753"/>
        <s v="PED-1754"/>
        <s v="PED-1755"/>
        <s v="PED-1756"/>
        <s v="PED-1757"/>
        <s v="PED-1758"/>
        <s v="PED-1759"/>
        <s v="PED-1760"/>
        <s v="PED-1761"/>
        <s v="PED-1762"/>
        <s v="PED-1763"/>
        <s v="PED-1764"/>
        <s v="PED-1765"/>
        <s v="PED-1766"/>
        <s v="PED-1767"/>
        <s v="PED-1768"/>
        <s v="PED-1769"/>
        <s v="PED-1770"/>
        <s v="PED-1771"/>
        <s v="PED-1772"/>
        <s v="PED-1773"/>
        <s v="PED-1774"/>
        <s v="PED-1775"/>
        <s v="PED-1776"/>
        <s v="PED-1777"/>
        <s v="PED-1778"/>
        <s v="PED-1779"/>
        <s v="PED-1780"/>
        <s v="PED-1781"/>
        <s v="PED-1782"/>
        <s v="PED-1783"/>
        <s v="PED-1784"/>
        <s v="PED-1785"/>
        <s v="PED-1786"/>
        <s v="PED-1787"/>
        <s v="PED-1788"/>
        <s v="PED-1789"/>
        <s v="PED-1790"/>
        <s v="PED-1791"/>
        <s v="PED-1792"/>
        <s v="PED-1793"/>
        <s v="PED-1794"/>
        <s v="PED-1795"/>
        <s v="PED-1796"/>
        <s v="PED-1797"/>
        <s v="PED-1798"/>
        <s v="PED-1799"/>
        <s v="PED-1800"/>
        <s v="PED-1801"/>
        <s v="PED-1802"/>
        <s v="PED-1803"/>
        <s v="PED-1804"/>
        <s v="PED-1805"/>
        <s v="PED-1806"/>
        <s v="PED-1807"/>
        <s v="PED-1808"/>
        <s v="PED-1809"/>
        <s v="PED-1810"/>
        <s v="PED-1811"/>
        <s v="PED-1812"/>
        <s v="PED-1813"/>
        <s v="PED-1814"/>
        <s v="PED-1815"/>
        <s v="PED-1816"/>
        <s v="PED-1817"/>
        <s v="PED-1818"/>
        <s v="PED-1819"/>
        <s v="PED-1820"/>
        <s v="PED-1821"/>
        <s v="PED-1822"/>
        <s v="PED-1823"/>
        <s v="PED-1824"/>
        <s v="PED-1825"/>
        <s v="PED-1826"/>
        <s v="PED-1827"/>
        <s v="PED-1828"/>
        <s v="PED-1829"/>
        <s v="PED-1830"/>
        <s v="PED-1831"/>
        <s v="PED-1832"/>
        <s v="PED-1833"/>
        <s v="PED-1834"/>
        <s v="PED-1835"/>
        <s v="PED-1836"/>
        <s v="PED-1837"/>
        <s v="PED-1838"/>
        <s v="PED-1839"/>
        <s v="PED-1840"/>
        <s v="PED-1841"/>
        <s v="PED-1842"/>
        <s v="PED-1843"/>
        <s v="PED-1844"/>
        <s v="PED-1845"/>
        <s v="PED-1846"/>
        <s v="PED-1847"/>
        <s v="PED-1848"/>
        <s v="PED-1849"/>
        <s v="PED-1850"/>
        <s v="PED-1851"/>
        <s v="PED-1852"/>
        <s v="PED-1853"/>
        <s v="PED-1854"/>
        <s v="PED-1855"/>
        <s v="PED-1856"/>
        <s v="PED-1857"/>
        <s v="PED-1858"/>
        <s v="PED-1859"/>
        <s v="PED-1860"/>
        <s v="PED-1861"/>
        <s v="PED-1862"/>
        <s v="PED-1863"/>
        <s v="PED-1864"/>
        <s v="PED-1865"/>
        <s v="PED-1866"/>
        <s v="PED-1867"/>
        <s v="PED-1868"/>
        <s v="PED-1869"/>
        <s v="PED-1870"/>
        <s v="PED-1871"/>
        <s v="PED-1872"/>
        <s v="PED-1873"/>
        <s v="PED-1874"/>
        <s v="PED-1875"/>
        <s v="PED-1876"/>
        <s v="PED-1877"/>
        <s v="PED-1878"/>
        <s v="PED-1879"/>
        <s v="PED-1880"/>
        <s v="PED-1881"/>
        <s v="PED-1882"/>
        <s v="PED-1883"/>
        <s v="PED-1884"/>
        <s v="PED-1885"/>
        <s v="PED-1886"/>
        <s v="PED-1887"/>
        <s v="PED-1888"/>
        <s v="PED-1889"/>
        <s v="PED-1890"/>
        <s v="PED-1891"/>
        <s v="PED-1892"/>
        <s v="PED-1893"/>
        <s v="PED-1894"/>
        <s v="PED-1895"/>
        <s v="PED-1896"/>
        <s v="PED-1897"/>
        <s v="PED-1898"/>
        <s v="PED-1899"/>
        <s v="PED-1900"/>
        <s v="PED-1901"/>
        <s v="PED-1902"/>
        <s v="PED-1903"/>
        <s v="PED-1904"/>
        <s v="PED-1905"/>
        <s v="PED-1906"/>
        <s v="PED-1907"/>
        <s v="PED-1908"/>
        <s v="PED-1909"/>
        <s v="PED-1910"/>
        <s v="PED-1911"/>
        <s v="PED-1912"/>
        <s v="PED-1913"/>
        <s v="PED-1914"/>
        <s v="PED-1915"/>
        <s v="PED-1916"/>
        <s v="PED-1917"/>
        <s v="PED-1918"/>
        <s v="PED-1919"/>
        <s v="PED-1920"/>
        <s v="PED-1921"/>
        <s v="PED-1922"/>
        <s v="PED-1923"/>
        <s v="PED-1924"/>
        <s v="PED-1925"/>
        <s v="PED-1926"/>
        <s v="PED-1927"/>
        <s v="PED-1928"/>
        <s v="PED-1929"/>
        <s v="PED-1930"/>
        <s v="PED-1931"/>
        <s v="PED-1932"/>
        <s v="PED-1933"/>
        <s v="PED-1934"/>
        <s v="PED-1935"/>
        <s v="PED-1936"/>
        <s v="PED-1937"/>
        <s v="PED-1938"/>
        <s v="PED-1939"/>
        <s v="PED-1940"/>
        <s v="PED-1941"/>
        <s v="PED-1942"/>
        <s v="PED-1943"/>
        <s v="PED-1944"/>
        <s v="PED-1945"/>
        <s v="PED-1946"/>
        <s v="PED-1947"/>
        <s v="PED-1948"/>
        <s v="PED-1949"/>
        <s v="PED-1950"/>
        <s v="PED-1951"/>
        <s v="PED-1952"/>
        <s v="PED-1953"/>
        <s v="PED-1954"/>
        <s v="PED-1955"/>
        <s v="PED-1956"/>
        <s v="PED-1957"/>
        <s v="PED-1958"/>
        <s v="PED-1959"/>
        <s v="PED-1960"/>
        <s v="PED-1961"/>
        <s v="PED-1962"/>
        <s v="PED-1963"/>
        <s v="PED-1964"/>
        <s v="PED-1965"/>
        <s v="PED-1966"/>
        <s v="PED-1967"/>
        <s v="PED-1968"/>
        <s v="PED-1969"/>
        <s v="PED-1970"/>
        <s v="PED-1971"/>
        <s v="PED-1972"/>
        <s v="PED-1973"/>
        <s v="PED-1974"/>
        <s v="PED-1975"/>
        <s v="PED-1976"/>
        <s v="PED-1977"/>
        <s v="PED-1978"/>
        <s v="PED-1979"/>
        <s v="PED-1980"/>
        <s v="PED-1981"/>
        <s v="PED-1982"/>
        <s v="PED-1983"/>
        <s v="PED-1984"/>
        <s v="PED-1985"/>
        <s v="PED-1986"/>
        <s v="PED-1987"/>
        <s v="PED-1988"/>
        <s v="PED-1989"/>
        <s v="PED-1990"/>
        <s v="PED-1991"/>
        <s v="PED-1992"/>
        <s v="PED-1993"/>
        <s v="PED-1994"/>
        <s v="PED-1995"/>
        <s v="PED-1996"/>
        <s v="PED-1997"/>
        <s v="PED-1998"/>
        <s v="PED-1999"/>
      </sharedItems>
    </cacheField>
    <cacheField name="id_cliente" numFmtId="0">
      <sharedItems containsSemiMixedTypes="0" containsString="0" containsNumber="1" containsInteger="1" minValue="1" maxValue="200"/>
    </cacheField>
    <cacheField name="data_compra" numFmtId="22">
      <sharedItems containsSemiMixedTypes="0" containsNonDate="0" containsDate="1" containsString="0" minDate="2025-03-26T17:58:15" maxDate="2026-03-26T17:35:26" count="1000">
        <d v="2025-03-26T17:58:15"/>
        <d v="2025-03-26T19:38:08"/>
        <d v="2025-03-27T08:16:14"/>
        <d v="2025-03-27T11:05:46"/>
        <d v="2025-03-27T13:21:17"/>
        <d v="2025-03-27T18:18:34"/>
        <d v="2025-03-28T00:59:49"/>
        <d v="2025-03-29T03:11:58"/>
        <d v="2025-03-29T04:01:23"/>
        <d v="2025-03-29T04:45:37"/>
        <d v="2025-03-29T07:35:34"/>
        <d v="2025-03-30T01:48:56"/>
        <d v="2025-03-30T06:10:01"/>
        <d v="2025-03-31T00:52:36"/>
        <d v="2025-03-31T05:00:57"/>
        <d v="2025-03-31T06:04:17"/>
        <d v="2025-03-31T19:36:27"/>
        <d v="2025-04-01T13:23:58"/>
        <d v="2025-04-01T22:42:02"/>
        <d v="2025-04-02T20:38:49"/>
        <d v="2025-04-02T21:16:20"/>
        <d v="2025-04-02T22:27:58"/>
        <d v="2025-04-03T09:03:59"/>
        <d v="2025-04-03T11:36:55"/>
        <d v="2025-04-03T15:45:54"/>
        <d v="2025-04-04T09:22:23"/>
        <d v="2025-04-04T18:53:16"/>
        <d v="2025-04-06T02:06:09"/>
        <d v="2025-04-06T20:27:54"/>
        <d v="2025-04-07T03:44:13"/>
        <d v="2025-04-08T01:09:25"/>
        <d v="2025-04-08T13:31:07"/>
        <d v="2025-04-08T13:55:21"/>
        <d v="2025-04-09T04:20:27"/>
        <d v="2025-04-10T06:24:01"/>
        <d v="2025-04-10T15:30:49"/>
        <d v="2025-04-11T02:32:42"/>
        <d v="2025-04-11T21:20:14"/>
        <d v="2025-04-12T12:38:13"/>
        <d v="2025-04-12T12:57:44"/>
        <d v="2025-04-13T03:26:10"/>
        <d v="2025-04-13T12:07:04"/>
        <d v="2025-04-13T21:05:52"/>
        <d v="2025-04-13T22:46:07"/>
        <d v="2025-04-14T00:17:53"/>
        <d v="2025-04-14T10:29:40"/>
        <d v="2025-04-15T14:21:28"/>
        <d v="2025-04-15T14:55:16"/>
        <d v="2025-04-15T16:10:10"/>
        <d v="2025-04-15T21:47:37"/>
        <d v="2025-04-16T06:59:12"/>
        <d v="2025-04-17T03:43:24"/>
        <d v="2025-04-17T22:56:21"/>
        <d v="2025-04-18T00:55:40"/>
        <d v="2025-04-18T03:57:25"/>
        <d v="2025-04-18T04:41:05"/>
        <d v="2025-04-19T10:50:01"/>
        <d v="2025-04-19T17:16:28"/>
        <d v="2025-04-21T06:30:34"/>
        <d v="2025-04-21T15:26:52"/>
        <d v="2025-04-22T22:24:29"/>
        <d v="2025-04-23T07:14:12"/>
        <d v="2025-04-24T17:10:50"/>
        <d v="2025-04-25T08:47:45"/>
        <d v="2025-04-26T00:15:55"/>
        <d v="2025-04-26T02:25:47"/>
        <d v="2025-04-26T06:53:17"/>
        <d v="2025-04-26T16:51:31"/>
        <d v="2025-04-26T17:37:27"/>
        <d v="2025-04-26T20:50:56"/>
        <d v="2025-04-27T04:43:32"/>
        <d v="2025-04-27T15:57:07"/>
        <d v="2025-04-27T22:05:05"/>
        <d v="2025-04-28T00:48:11"/>
        <d v="2025-04-28T06:36:46"/>
        <d v="2025-04-28T09:02:09"/>
        <d v="2025-04-28T11:15:09"/>
        <d v="2025-04-29T00:57:24"/>
        <d v="2025-04-29T04:10:43"/>
        <d v="2025-04-30T10:39:37"/>
        <d v="2025-04-30T23:00:38"/>
        <d v="2025-05-01T00:49:54"/>
        <d v="2025-05-01T17:07:30"/>
        <d v="2025-05-02T09:34:32"/>
        <d v="2025-05-03T06:28:26"/>
        <d v="2025-05-03T10:18:24"/>
        <d v="2025-05-03T15:28:05"/>
        <d v="2025-05-03T18:07:30"/>
        <d v="2025-05-03T23:53:32"/>
        <d v="2025-05-04T19:37:18"/>
        <d v="2025-05-05T05:45:17"/>
        <d v="2025-05-05T19:50:14"/>
        <d v="2025-05-06T05:19:54"/>
        <d v="2025-05-06T14:56:00"/>
        <d v="2025-05-06T17:57:42"/>
        <d v="2025-05-06T18:04:59"/>
        <d v="2025-05-07T09:53:05"/>
        <d v="2025-05-07T14:06:27"/>
        <d v="2025-05-07T21:20:18"/>
        <d v="2025-05-08T03:46:06"/>
        <d v="2025-05-08T06:31:54"/>
        <d v="2025-05-08T12:38:53"/>
        <d v="2025-05-08T20:01:21"/>
        <d v="2025-05-08T21:53:01"/>
        <d v="2025-05-08T23:35:55"/>
        <d v="2025-05-09T00:05:03"/>
        <d v="2025-05-09T13:07:41"/>
        <d v="2025-05-09T13:24:39"/>
        <d v="2025-05-09T14:42:04"/>
        <d v="2025-05-09T15:43:30"/>
        <d v="2025-05-09T18:34:45"/>
        <d v="2025-05-09T23:18:12"/>
        <d v="2025-05-10T01:08:22"/>
        <d v="2025-05-10T09:48:58"/>
        <d v="2025-05-10T11:30:21"/>
        <d v="2025-05-10T21:12:03"/>
        <d v="2025-05-10T21:42:25"/>
        <d v="2025-05-11T16:09:52"/>
        <d v="2025-05-11T19:00:44"/>
        <d v="2025-05-11T22:47:26"/>
        <d v="2025-05-12T01:55:43"/>
        <d v="2025-05-12T04:35:15"/>
        <d v="2025-05-12T12:33:57"/>
        <d v="2025-05-13T03:13:32"/>
        <d v="2025-05-13T08:47:58"/>
        <d v="2025-05-13T09:23:58"/>
        <d v="2025-05-13T12:04:16"/>
        <d v="2025-05-13T12:23:02"/>
        <d v="2025-05-13T23:42:00"/>
        <d v="2025-05-14T19:04:37"/>
        <d v="2025-05-14T20:41:20"/>
        <d v="2025-05-14T20:52:45"/>
        <d v="2025-05-14T22:01:27"/>
        <d v="2025-05-15T01:41:40"/>
        <d v="2025-05-15T09:11:11"/>
        <d v="2025-05-15T15:18:31"/>
        <d v="2025-05-15T16:28:21"/>
        <d v="2025-05-15T18:34:00"/>
        <d v="2025-05-15T19:45:45"/>
        <d v="2025-05-16T11:58:01"/>
        <d v="2025-05-17T13:33:15"/>
        <d v="2025-05-18T01:44:52"/>
        <d v="2025-05-18T04:01:35"/>
        <d v="2025-05-19T05:27:18"/>
        <d v="2025-05-19T07:00:12"/>
        <d v="2025-05-19T07:50:29"/>
        <d v="2025-05-19T10:19:44"/>
        <d v="2025-05-19T18:01:21"/>
        <d v="2025-05-20T02:48:01"/>
        <d v="2025-05-20T10:04:02"/>
        <d v="2025-05-20T21:26:24"/>
        <d v="2025-05-21T02:08:18"/>
        <d v="2025-05-21T08:49:37"/>
        <d v="2025-05-21T10:17:31"/>
        <d v="2025-05-21T11:34:31"/>
        <d v="2025-05-21T19:28:05"/>
        <d v="2025-05-22T06:49:00"/>
        <d v="2025-05-22T18:14:10"/>
        <d v="2025-05-23T05:30:02"/>
        <d v="2025-05-23T16:39:33"/>
        <d v="2025-05-24T06:52:46"/>
        <d v="2025-05-24T07:52:04"/>
        <d v="2025-05-24T09:43:22"/>
        <d v="2025-05-24T10:06:54"/>
        <d v="2025-05-25T10:48:06"/>
        <d v="2025-05-25T11:03:26"/>
        <d v="2025-05-26T16:44:25"/>
        <d v="2025-05-27T05:55:40"/>
        <d v="2025-05-27T07:06:57"/>
        <d v="2025-05-28T03:56:58"/>
        <d v="2025-05-28T14:30:13"/>
        <d v="2025-05-28T15:28:53"/>
        <d v="2025-05-28T16:37:21"/>
        <d v="2025-05-29T04:33:45"/>
        <d v="2025-05-29T07:14:14"/>
        <d v="2025-05-29T19:18:02"/>
        <d v="2025-05-29T23:00:09"/>
        <d v="2025-05-30T01:18:40"/>
        <d v="2025-05-30T03:36:12"/>
        <d v="2025-05-30T21:34:45"/>
        <d v="2025-05-31T12:18:24"/>
        <d v="2025-05-31T17:47:03"/>
        <d v="2025-06-01T05:52:05"/>
        <d v="2025-06-01T08:37:37"/>
        <d v="2025-06-01T11:21:18"/>
        <d v="2025-06-01T12:07:37"/>
        <d v="2025-06-03T01:19:50"/>
        <d v="2025-06-03T11:32:08"/>
        <d v="2025-06-03T15:33:01"/>
        <d v="2025-06-03T17:44:42"/>
        <d v="2025-06-04T03:04:42"/>
        <d v="2025-06-04T17:51:23"/>
        <d v="2025-06-05T15:06:07"/>
        <d v="2025-06-05T17:55:26"/>
        <d v="2025-06-05T21:51:27"/>
        <d v="2025-06-05T22:29:31"/>
        <d v="2025-06-06T11:25:10"/>
        <d v="2025-06-06T19:46:26"/>
        <d v="2025-06-07T11:03:24"/>
        <d v="2025-06-07T16:36:46"/>
        <d v="2025-06-08T08:59:09"/>
        <d v="2025-06-08T11:58:04"/>
        <d v="2025-06-08T14:14:40"/>
        <d v="2025-06-08T14:43:54"/>
        <d v="2025-06-08T23:18:33"/>
        <d v="2025-06-09T14:28:31"/>
        <d v="2025-06-09T14:43:24"/>
        <d v="2025-06-09T19:48:37"/>
        <d v="2025-06-09T20:46:36"/>
        <d v="2025-06-10T00:44:29"/>
        <d v="2025-06-10T02:34:14"/>
        <d v="2025-06-10T09:00:05"/>
        <d v="2025-06-10T11:29:00"/>
        <d v="2025-06-10T18:40:05"/>
        <d v="2025-06-12T08:12:31"/>
        <d v="2025-06-12T12:01:12"/>
        <d v="2025-06-12T14:40:17"/>
        <d v="2025-06-12T19:35:18"/>
        <d v="2025-06-12T22:44:48"/>
        <d v="2025-06-13T12:31:22"/>
        <d v="2025-06-13T12:54:42"/>
        <d v="2025-06-13T16:26:11"/>
        <d v="2025-06-14T14:34:15"/>
        <d v="2025-06-14T18:30:35"/>
        <d v="2025-06-15T05:36:36"/>
        <d v="2025-06-15T16:57:05"/>
        <d v="2025-06-16T19:35:01"/>
        <d v="2025-06-16T22:21:28"/>
        <d v="2025-06-16T22:30:51"/>
        <d v="2025-06-17T08:03:31"/>
        <d v="2025-06-17T13:59:28"/>
        <d v="2025-06-17T22:11:45"/>
        <d v="2025-06-18T21:00:32"/>
        <d v="2025-06-19T16:09:31"/>
        <d v="2025-06-20T00:47:43"/>
        <d v="2025-06-20T09:42:55"/>
        <d v="2025-06-20T18:58:54"/>
        <d v="2025-06-21T17:47:03"/>
        <d v="2025-06-21T22:11:51"/>
        <d v="2025-06-21T22:31:21"/>
        <d v="2025-06-21T23:20:42"/>
        <d v="2025-06-23T06:58:53"/>
        <d v="2025-06-23T08:01:30"/>
        <d v="2025-06-23T14:14:21"/>
        <d v="2025-06-24T11:31:52"/>
        <d v="2025-06-24T14:00:24"/>
        <d v="2025-06-25T08:41:29"/>
        <d v="2025-06-25T15:58:10"/>
        <d v="2025-06-25T20:29:00"/>
        <d v="2025-06-26T19:21:45"/>
        <d v="2025-06-27T02:44:11"/>
        <d v="2025-06-27T14:07:50"/>
        <d v="2025-06-28T02:11:23"/>
        <d v="2025-06-28T04:55:53"/>
        <d v="2025-06-28T12:30:38"/>
        <d v="2025-06-28T16:58:36"/>
        <d v="2025-06-28T17:09:55"/>
        <d v="2025-06-29T04:31:21"/>
        <d v="2025-06-29T04:53:39"/>
        <d v="2025-06-29T16:26:01"/>
        <d v="2025-06-29T18:54:49"/>
        <d v="2025-06-30T05:53:55"/>
        <d v="2025-06-30T13:18:42"/>
        <d v="2025-07-01T02:19:52"/>
        <d v="2025-07-01T17:06:14"/>
        <d v="2025-07-01T19:47:04"/>
        <d v="2025-07-02T00:31:26"/>
        <d v="2025-07-02T07:30:43"/>
        <d v="2025-07-02T08:25:49"/>
        <d v="2025-07-02T13:00:42"/>
        <d v="2025-07-02T16:28:04"/>
        <d v="2025-07-03T00:15:51"/>
        <d v="2025-07-03T05:02:00"/>
        <d v="2025-07-03T06:49:34"/>
        <d v="2025-07-03T10:55:12"/>
        <d v="2025-07-03T19:01:56"/>
        <d v="2025-07-04T03:37:03"/>
        <d v="2025-07-04T13:10:52"/>
        <d v="2025-07-04T21:27:45"/>
        <d v="2025-07-05T06:45:42"/>
        <d v="2025-07-05T10:07:41"/>
        <d v="2025-07-06T04:30:36"/>
        <d v="2025-07-06T08:41:02"/>
        <d v="2025-07-06T10:55:06"/>
        <d v="2025-07-06T13:34:21"/>
        <d v="2025-07-06T14:04:49"/>
        <d v="2025-07-06T14:20:29"/>
        <d v="2025-07-06T21:47:24"/>
        <d v="2025-07-07T06:25:25"/>
        <d v="2025-07-08T07:11:18"/>
        <d v="2025-07-08T08:06:30"/>
        <d v="2025-07-08T21:09:12"/>
        <d v="2025-07-09T06:42:40"/>
        <d v="2025-07-09T11:07:21"/>
        <d v="2025-07-09T16:55:27"/>
        <d v="2025-07-09T20:39:14"/>
        <d v="2025-07-09T23:18:24"/>
        <d v="2025-07-10T00:35:00"/>
        <d v="2025-07-10T00:50:44"/>
        <d v="2025-07-10T08:00:08"/>
        <d v="2025-07-10T14:01:49"/>
        <d v="2025-07-10T16:57:40"/>
        <d v="2025-07-10T19:04:23"/>
        <d v="2025-07-10T20:19:07"/>
        <d v="2025-07-11T18:02:12"/>
        <d v="2025-07-11T20:18:36"/>
        <d v="2025-07-11T22:16:22"/>
        <d v="2025-07-12T01:23:31"/>
        <d v="2025-07-12T03:36:27"/>
        <d v="2025-07-12T04:24:28"/>
        <d v="2025-07-12T06:59:31"/>
        <d v="2025-07-12T16:06:24"/>
        <d v="2025-07-13T01:54:02"/>
        <d v="2025-07-14T08:23:38"/>
        <d v="2025-07-15T10:32:03"/>
        <d v="2025-07-15T11:17:45"/>
        <d v="2025-07-15T19:47:56"/>
        <d v="2025-07-15T22:47:25"/>
        <d v="2025-07-16T06:17:24"/>
        <d v="2025-07-17T12:15:48"/>
        <d v="2025-07-17T23:11:54"/>
        <d v="2025-07-18T00:23:15"/>
        <d v="2025-07-19T05:59:23"/>
        <d v="2025-07-19T14:41:22"/>
        <d v="2025-07-19T22:21:27"/>
        <d v="2025-07-20T06:29:52"/>
        <d v="2025-07-20T21:59:08"/>
        <d v="2025-07-20T23:52:18"/>
        <d v="2025-07-21T01:45:31"/>
        <d v="2025-07-21T17:45:59"/>
        <d v="2025-07-22T00:33:39"/>
        <d v="2025-07-22T03:56:40"/>
        <d v="2025-07-22T07:06:10"/>
        <d v="2025-07-23T00:32:05"/>
        <d v="2025-07-23T02:15:00"/>
        <d v="2025-07-23T02:37:15"/>
        <d v="2025-07-23T08:05:59"/>
        <d v="2025-07-23T08:07:41"/>
        <d v="2025-07-23T19:28:18"/>
        <d v="2025-07-23T20:21:30"/>
        <d v="2025-07-23T22:38:02"/>
        <d v="2025-07-24T13:50:52"/>
        <d v="2025-07-24T18:03:06"/>
        <d v="2025-07-24T18:31:38"/>
        <d v="2025-07-25T10:25:35"/>
        <d v="2025-07-25T17:03:34"/>
        <d v="2025-07-25T23:56:29"/>
        <d v="2025-07-26T20:15:38"/>
        <d v="2025-07-26T21:54:34"/>
        <d v="2025-07-27T02:17:07"/>
        <d v="2025-07-27T03:51:22"/>
        <d v="2025-07-27T05:50:48"/>
        <d v="2025-07-27T21:46:28"/>
        <d v="2025-07-28T05:48:33"/>
        <d v="2025-07-28T10:52:17"/>
        <d v="2025-07-29T06:01:43"/>
        <d v="2025-07-29T12:15:28"/>
        <d v="2025-07-29T19:53:03"/>
        <d v="2025-07-30T00:16:07"/>
        <d v="2025-07-30T02:12:54"/>
        <d v="2025-07-30T04:49:28"/>
        <d v="2025-07-30T04:51:39"/>
        <d v="2025-07-30T08:17:11"/>
        <d v="2025-07-30T10:05:45"/>
        <d v="2025-07-30T14:51:51"/>
        <d v="2025-07-30T19:01:40"/>
        <d v="2025-07-31T04:07:05"/>
        <d v="2025-07-31T14:46:41"/>
        <d v="2025-07-31T19:26:01"/>
        <d v="2025-08-01T02:32:52"/>
        <d v="2025-08-01T19:57:30"/>
        <d v="2025-08-02T03:23:33"/>
        <d v="2025-08-02T12:41:43"/>
        <d v="2025-08-03T08:55:02"/>
        <d v="2025-08-03T09:22:48"/>
        <d v="2025-08-04T11:37:17"/>
        <d v="2025-08-04T21:05:59"/>
        <d v="2025-08-05T05:53:58"/>
        <d v="2025-08-05T16:21:27"/>
        <d v="2025-08-06T03:21:28"/>
        <d v="2025-08-07T14:39:16"/>
        <d v="2025-08-07T19:48:46"/>
        <d v="2025-08-07T20:06:35"/>
        <d v="2025-08-08T05:01:01"/>
        <d v="2025-08-08T06:55:28"/>
        <d v="2025-08-08T13:49:54"/>
        <d v="2025-08-08T16:49:38"/>
        <d v="2025-08-08T21:59:43"/>
        <d v="2025-08-09T06:08:51"/>
        <d v="2025-08-09T08:03:22"/>
        <d v="2025-08-09T16:41:28"/>
        <d v="2025-08-09T17:53:46"/>
        <d v="2025-08-10T06:53:07"/>
        <d v="2025-08-10T12:02:04"/>
        <d v="2025-08-10T16:32:42"/>
        <d v="2025-08-10T17:18:55"/>
        <d v="2025-08-10T22:56:17"/>
        <d v="2025-08-11T00:10:08"/>
        <d v="2025-08-11T01:30:25"/>
        <d v="2025-08-11T01:53:37"/>
        <d v="2025-08-11T03:51:57"/>
        <d v="2025-08-11T13:10:49"/>
        <d v="2025-08-11T14:41:01"/>
        <d v="2025-08-12T01:13:34"/>
        <d v="2025-08-12T06:54:47"/>
        <d v="2025-08-12T07:25:49"/>
        <d v="2025-08-12T10:01:18"/>
        <d v="2025-08-12T11:48:19"/>
        <d v="2025-08-12T14:34:19"/>
        <d v="2025-08-12T18:15:41"/>
        <d v="2025-08-12T23:50:47"/>
        <d v="2025-08-13T01:39:00"/>
        <d v="2025-08-13T04:41:14"/>
        <d v="2025-08-14T05:46:07"/>
        <d v="2025-08-15T05:51:01"/>
        <d v="2025-08-16T04:09:08"/>
        <d v="2025-08-16T22:20:53"/>
        <d v="2025-08-17T10:34:24"/>
        <d v="2025-08-17T22:45:03"/>
        <d v="2025-08-18T00:25:38"/>
        <d v="2025-08-18T04:58:04"/>
        <d v="2025-08-18T13:16:44"/>
        <d v="2025-08-18T18:28:18"/>
        <d v="2025-08-18T19:22:54"/>
        <d v="2025-08-18T22:01:19"/>
        <d v="2025-08-19T12:34:39"/>
        <d v="2025-08-19T17:27:54"/>
        <d v="2025-08-19T23:49:40"/>
        <d v="2025-08-20T06:14:23"/>
        <d v="2025-08-20T11:37:00"/>
        <d v="2025-08-20T22:08:31"/>
        <d v="2025-08-21T06:40:54"/>
        <d v="2025-08-22T03:26:57"/>
        <d v="2025-08-22T15:03:22"/>
        <d v="2025-08-22T23:29:50"/>
        <d v="2025-08-23T02:34:28"/>
        <d v="2025-08-23T09:32:03"/>
        <d v="2025-08-23T10:11:48"/>
        <d v="2025-08-23T14:29:00"/>
        <d v="2025-08-23T16:30:09"/>
        <d v="2025-08-23T16:50:08"/>
        <d v="2025-08-24T01:06:15"/>
        <d v="2025-08-24T13:30:49"/>
        <d v="2025-08-24T16:58:57"/>
        <d v="2025-08-24T17:20:39"/>
        <d v="2025-08-24T20:58:55"/>
        <d v="2025-08-25T16:07:27"/>
        <d v="2025-08-25T16:45:32"/>
        <d v="2025-08-26T04:00:37"/>
        <d v="2025-08-26T08:46:09"/>
        <d v="2025-08-26T13:52:31"/>
        <d v="2025-08-26T17:27:56"/>
        <d v="2025-08-27T20:50:51"/>
        <d v="2025-08-28T00:37:55"/>
        <d v="2025-08-28T01:38:21"/>
        <d v="2025-08-28T02:02:22"/>
        <d v="2025-08-28T05:49:21"/>
        <d v="2025-08-28T11:07:51"/>
        <d v="2025-08-29T07:17:35"/>
        <d v="2025-08-29T19:28:38"/>
        <d v="2025-08-30T02:12:11"/>
        <d v="2025-08-30T10:37:55"/>
        <d v="2025-08-30T13:01:10"/>
        <d v="2025-08-30T19:05:57"/>
        <d v="2025-08-30T23:18:36"/>
        <d v="2025-08-31T18:55:48"/>
        <d v="2025-08-31T21:17:25"/>
        <d v="2025-09-01T11:06:17"/>
        <d v="2025-09-02T08:07:11"/>
        <d v="2025-09-02T10:56:37"/>
        <d v="2025-09-02T16:33:25"/>
        <d v="2025-09-02T19:03:14"/>
        <d v="2025-09-03T04:33:07"/>
        <d v="2025-09-03T09:16:57"/>
        <d v="2025-09-03T09:42:25"/>
        <d v="2025-09-03T11:23:26"/>
        <d v="2025-09-03T22:49:03"/>
        <d v="2025-09-04T00:10:44"/>
        <d v="2025-09-04T09:05:07"/>
        <d v="2025-09-04T13:36:40"/>
        <d v="2025-09-04T23:40:05"/>
        <d v="2025-09-05T01:25:37"/>
        <d v="2025-09-05T02:50:58"/>
        <d v="2025-09-05T10:23:44"/>
        <d v="2025-09-07T17:52:04"/>
        <d v="2025-09-07T18:05:00"/>
        <d v="2025-09-08T16:38:41"/>
        <d v="2025-09-08T16:48:07"/>
        <d v="2025-09-08T20:15:14"/>
        <d v="2025-09-09T02:15:59"/>
        <d v="2025-09-09T05:21:56"/>
        <d v="2025-09-09T07:45:41"/>
        <d v="2025-09-09T13:27:52"/>
        <d v="2025-09-10T05:47:39"/>
        <d v="2025-09-10T11:17:41"/>
        <d v="2025-09-10T11:58:25"/>
        <d v="2025-09-10T12:14:58"/>
        <d v="2025-09-11T05:22:43"/>
        <d v="2025-09-11T18:31:05"/>
        <d v="2025-09-12T04:56:50"/>
        <d v="2025-09-12T07:16:27"/>
        <d v="2025-09-12T12:32:52"/>
        <d v="2025-09-13T13:25:12"/>
        <d v="2025-09-13T13:49:21"/>
        <d v="2025-09-13T20:24:49"/>
        <d v="2025-09-13T21:30:17"/>
        <d v="2025-09-14T04:02:57"/>
        <d v="2025-09-14T22:09:20"/>
        <d v="2025-09-15T09:55:23"/>
        <d v="2025-09-15T10:10:15"/>
        <d v="2025-09-15T11:06:19"/>
        <d v="2025-09-15T14:29:32"/>
        <d v="2025-09-15T18:03:36"/>
        <d v="2025-09-15T20:10:10"/>
        <d v="2025-09-15T23:01:01"/>
        <d v="2025-09-16T00:36:22"/>
        <d v="2025-09-16T03:29:56"/>
        <d v="2025-09-16T04:42:06"/>
        <d v="2025-09-16T06:57:44"/>
        <d v="2025-09-16T09:05:38"/>
        <d v="2025-09-16T15:21:57"/>
        <d v="2025-09-16T18:12:15"/>
        <d v="2025-09-16T21:13:06"/>
        <d v="2025-09-16T22:43:17"/>
        <d v="2025-09-17T02:13:20"/>
        <d v="2025-09-17T08:59:44"/>
        <d v="2025-09-17T19:53:37"/>
        <d v="2025-09-18T01:22:36"/>
        <d v="2025-09-19T07:59:11"/>
        <d v="2025-09-19T12:13:25"/>
        <d v="2025-09-21T05:25:27"/>
        <d v="2025-09-21T11:13:08"/>
        <d v="2025-09-21T11:50:00"/>
        <d v="2025-09-22T01:00:05"/>
        <d v="2025-09-22T01:32:12"/>
        <d v="2025-09-23T23:02:45"/>
        <d v="2025-09-24T07:05:28"/>
        <d v="2025-09-24T18:51:32"/>
        <d v="2025-09-25T01:43:36"/>
        <d v="2025-09-25T12:32:57"/>
        <d v="2025-09-26T12:25:02"/>
        <d v="2025-09-27T12:07:52"/>
        <d v="2025-09-27T14:20:24"/>
        <d v="2025-09-27T15:08:18"/>
        <d v="2025-09-28T18:47:07"/>
        <d v="2025-09-28T21:04:39"/>
        <d v="2025-09-29T07:19:40"/>
        <d v="2025-09-29T11:05:03"/>
        <d v="2025-09-29T22:08:57"/>
        <d v="2025-09-30T12:21:40"/>
        <d v="2025-10-01T02:17:50"/>
        <d v="2025-10-01T04:57:18"/>
        <d v="2025-10-01T13:47:14"/>
        <d v="2025-10-01T22:56:20"/>
        <d v="2025-10-01T23:27:24"/>
        <d v="2025-10-02T18:56:16"/>
        <d v="2025-10-03T06:02:24"/>
        <d v="2025-10-03T07:00:34"/>
        <d v="2025-10-04T00:51:59"/>
        <d v="2025-10-04T16:15:04"/>
        <d v="2025-10-05T13:42:21"/>
        <d v="2025-10-06T10:00:49"/>
        <d v="2025-10-06T11:13:14"/>
        <d v="2025-10-06T12:31:51"/>
        <d v="2025-10-06T16:18:32"/>
        <d v="2025-10-07T15:27:01"/>
        <d v="2025-10-07T20:38:08"/>
        <d v="2025-10-07T23:36:07"/>
        <d v="2025-10-08T03:19:26"/>
        <d v="2025-10-08T05:20:30"/>
        <d v="2025-10-09T15:25:54"/>
        <d v="2025-10-09T17:52:25"/>
        <d v="2025-10-10T01:25:45"/>
        <d v="2025-10-10T05:33:26"/>
        <d v="2025-10-11T02:38:21"/>
        <d v="2025-10-11T13:40:58"/>
        <d v="2025-10-12T08:44:35"/>
        <d v="2025-10-12T18:16:03"/>
        <d v="2025-10-13T00:45:17"/>
        <d v="2025-10-13T04:23:15"/>
        <d v="2025-10-14T01:42:34"/>
        <d v="2025-10-14T03:25:35"/>
        <d v="2025-10-14T07:26:56"/>
        <d v="2025-10-14T08:16:47"/>
        <d v="2025-10-14T09:06:40"/>
        <d v="2025-10-14T11:34:11"/>
        <d v="2025-10-14T18:08:12"/>
        <d v="2025-10-14T23:28:05"/>
        <d v="2025-10-15T08:52:09"/>
        <d v="2025-10-15T18:30:57"/>
        <d v="2025-10-16T05:10:04"/>
        <d v="2025-10-16T20:58:51"/>
        <d v="2025-10-17T01:11:59"/>
        <d v="2025-10-17T02:09:28"/>
        <d v="2025-10-18T21:54:40"/>
        <d v="2025-10-20T03:43:07"/>
        <d v="2025-10-20T08:09:24"/>
        <d v="2025-10-20T11:19:30"/>
        <d v="2025-10-20T23:05:02"/>
        <d v="2025-10-21T09:56:44"/>
        <d v="2025-10-22T00:23:36"/>
        <d v="2025-10-22T03:53:28"/>
        <d v="2025-10-23T02:16:02"/>
        <d v="2025-10-23T14:37:47"/>
        <d v="2025-10-24T09:16:18"/>
        <d v="2025-10-24T20:38:07"/>
        <d v="2025-10-25T05:52:26"/>
        <d v="2025-10-25T14:03:41"/>
        <d v="2025-10-25T14:57:40"/>
        <d v="2025-10-25T15:19:40"/>
        <d v="2025-10-25T19:32:03"/>
        <d v="2025-10-26T09:31:52"/>
        <d v="2025-10-26T10:08:53"/>
        <d v="2025-10-26T12:41:40"/>
        <d v="2025-10-26T12:46:38"/>
        <d v="2025-10-26T18:44:27"/>
        <d v="2025-10-27T05:55:12"/>
        <d v="2025-10-27T10:41:05"/>
        <d v="2025-10-27T15:54:05"/>
        <d v="2025-10-28T00:04:51"/>
        <d v="2025-10-28T03:30:09"/>
        <d v="2025-10-28T06:22:55"/>
        <d v="2025-10-29T13:30:03"/>
        <d v="2025-10-29T22:52:15"/>
        <d v="2025-10-31T07:34:44"/>
        <d v="2025-10-31T17:15:58"/>
        <d v="2025-11-01T01:46:02"/>
        <d v="2025-11-01T02:57:48"/>
        <d v="2025-11-01T09:10:31"/>
        <d v="2025-11-02T14:23:49"/>
        <d v="2025-11-02T19:35:10"/>
        <d v="2025-11-02T20:39:24"/>
        <d v="2025-11-02T21:43:00"/>
        <d v="2025-11-02T22:02:41"/>
        <d v="2025-11-03T09:05:09"/>
        <d v="2025-11-03T10:37:11"/>
        <d v="2025-11-03T13:34:54"/>
        <d v="2025-11-03T15:10:57"/>
        <d v="2025-11-04T04:13:33"/>
        <d v="2025-11-04T14:35:53"/>
        <d v="2025-11-04T20:50:24"/>
        <d v="2025-11-06T15:18:40"/>
        <d v="2025-11-08T12:08:15"/>
        <d v="2025-11-08T14:24:02"/>
        <d v="2025-11-08T15:31:39"/>
        <d v="2025-11-09T10:16:23"/>
        <d v="2025-11-09T14:35:38"/>
        <d v="2025-11-09T17:32:00"/>
        <d v="2025-11-09T21:25:30"/>
        <d v="2025-11-09T23:16:01"/>
        <d v="2025-11-10T07:12:38"/>
        <d v="2025-11-10T12:42:28"/>
        <d v="2025-11-10T14:02:48"/>
        <d v="2025-11-10T14:30:08"/>
        <d v="2025-11-10T14:33:14"/>
        <d v="2025-11-10T15:02:36"/>
        <d v="2025-11-10T20:43:50"/>
        <d v="2025-11-11T22:59:55"/>
        <d v="2025-11-12T06:10:52"/>
        <d v="2025-11-13T08:05:52"/>
        <d v="2025-11-14T19:25:55"/>
        <d v="2025-11-15T08:19:29"/>
        <d v="2025-11-15T09:10:26"/>
        <d v="2025-11-15T11:05:57"/>
        <d v="2025-11-15T13:34:05"/>
        <d v="2025-11-15T23:53:48"/>
        <d v="2025-11-17T06:23:02"/>
        <d v="2025-11-17T08:18:34"/>
        <d v="2025-11-17T11:10:59"/>
        <d v="2025-11-17T15:46:50"/>
        <d v="2025-11-17T23:24:50"/>
        <d v="2025-11-18T21:24:50"/>
        <d v="2025-11-19T01:36:48"/>
        <d v="2025-11-19T17:14:33"/>
        <d v="2025-11-20T00:49:12"/>
        <d v="2025-11-20T16:09:14"/>
        <d v="2025-11-21T02:54:13"/>
        <d v="2025-11-22T09:36:08"/>
        <d v="2025-11-22T14:10:44"/>
        <d v="2025-11-22T19:26:42"/>
        <d v="2025-11-23T09:59:15"/>
        <d v="2025-11-24T03:15:38"/>
        <d v="2025-11-24T05:59:37"/>
        <d v="2025-11-24T15:57:51"/>
        <d v="2025-11-24T17:16:12"/>
        <d v="2025-11-25T10:11:11"/>
        <d v="2025-11-25T11:19:25"/>
        <d v="2025-11-26T22:35:31"/>
        <d v="2025-11-27T10:12:39"/>
        <d v="2025-11-27T11:13:38"/>
        <d v="2025-11-27T23:54:04"/>
        <d v="2025-11-28T05:07:22"/>
        <d v="2025-11-28T05:42:05"/>
        <d v="2025-11-28T17:17:49"/>
        <d v="2025-11-29T16:03:48"/>
        <d v="2025-11-29T19:39:50"/>
        <d v="2025-11-30T06:33:58"/>
        <d v="2025-11-30T18:51:29"/>
        <d v="2025-11-30T19:15:05"/>
        <d v="2025-11-30T22:36:22"/>
        <d v="2025-12-01T00:41:46"/>
        <d v="2025-12-01T05:36:36"/>
        <d v="2025-12-01T18:34:52"/>
        <d v="2025-12-02T08:44:02"/>
        <d v="2025-12-02T17:17:43"/>
        <d v="2025-12-02T18:20:15"/>
        <d v="2025-12-02T20:52:38"/>
        <d v="2025-12-03T03:26:06"/>
        <d v="2025-12-03T04:50:20"/>
        <d v="2025-12-03T21:37:57"/>
        <d v="2025-12-04T19:14:58"/>
        <d v="2025-12-05T05:51:16"/>
        <d v="2025-12-05T06:59:14"/>
        <d v="2025-12-07T01:55:49"/>
        <d v="2025-12-07T13:24:23"/>
        <d v="2025-12-07T14:02:45"/>
        <d v="2025-12-08T14:26:54"/>
        <d v="2025-12-08T22:24:09"/>
        <d v="2025-12-09T02:11:49"/>
        <d v="2025-12-09T23:41:15"/>
        <d v="2025-12-10T07:01:44"/>
        <d v="2025-12-10T09:19:07"/>
        <d v="2025-12-10T23:38:36"/>
        <d v="2025-12-11T04:48:05"/>
        <d v="2025-12-12T06:40:18"/>
        <d v="2025-12-13T10:35:54"/>
        <d v="2025-12-13T19:29:38"/>
        <d v="2025-12-13T22:12:40"/>
        <d v="2025-12-14T04:14:06"/>
        <d v="2025-12-14T08:51:03"/>
        <d v="2025-12-14T08:56:00"/>
        <d v="2025-12-14T09:38:42"/>
        <d v="2025-12-15T08:21:13"/>
        <d v="2025-12-16T00:22:13"/>
        <d v="2025-12-16T05:54:45"/>
        <d v="2025-12-16T08:44:16"/>
        <d v="2025-12-17T10:33:05"/>
        <d v="2025-12-17T10:35:11"/>
        <d v="2025-12-17T22:09:39"/>
        <d v="2025-12-18T01:21:45"/>
        <d v="2025-12-18T06:06:28"/>
        <d v="2025-12-18T15:32:27"/>
        <d v="2025-12-18T19:32:50"/>
        <d v="2025-12-18T20:19:08"/>
        <d v="2025-12-19T02:20:07"/>
        <d v="2025-12-19T02:48:37"/>
        <d v="2025-12-19T09:20:10"/>
        <d v="2025-12-19T20:01:49"/>
        <d v="2025-12-19T21:32:32"/>
        <d v="2025-12-19T23:40:39"/>
        <d v="2025-12-20T23:06:52"/>
        <d v="2025-12-21T07:17:27"/>
        <d v="2025-12-21T17:24:23"/>
        <d v="2025-12-21T21:17:58"/>
        <d v="2025-12-22T07:28:54"/>
        <d v="2025-12-22T15:14:46"/>
        <d v="2025-12-23T04:02:44"/>
        <d v="2025-12-23T07:48:31"/>
        <d v="2025-12-23T10:47:06"/>
        <d v="2025-12-23T12:19:21"/>
        <d v="2025-12-23T13:01:51"/>
        <d v="2025-12-23T15:48:31"/>
        <d v="2025-12-23T15:55:56"/>
        <d v="2025-12-24T00:34:53"/>
        <d v="2025-12-24T01:58:40"/>
        <d v="2025-12-24T12:15:21"/>
        <d v="2025-12-25T11:42:53"/>
        <d v="2025-12-25T15:01:06"/>
        <d v="2025-12-26T01:32:40"/>
        <d v="2025-12-26T05:29:49"/>
        <d v="2025-12-26T10:15:06"/>
        <d v="2025-12-27T04:41:37"/>
        <d v="2025-12-27T05:50:41"/>
        <d v="2025-12-28T10:56:53"/>
        <d v="2025-12-28T10:58:44"/>
        <d v="2025-12-29T13:15:36"/>
        <d v="2025-12-29T19:12:05"/>
        <d v="2025-12-29T19:23:33"/>
        <d v="2025-12-30T02:04:32"/>
        <d v="2025-12-30T05:28:54"/>
        <d v="2025-12-30T07:29:24"/>
        <d v="2025-12-30T17:32:29"/>
        <d v="2025-12-30T23:00:18"/>
        <d v="2025-12-31T02:30:13"/>
        <d v="2025-12-31T04:14:53"/>
        <d v="2025-12-31T06:38:20"/>
        <d v="2025-12-31T07:59:09"/>
        <d v="2025-12-31T11:10:47"/>
        <d v="2025-12-31T14:46:57"/>
        <d v="2025-12-31T15:45:30"/>
        <d v="2026-01-01T13:02:26"/>
        <d v="2026-01-01T15:31:40"/>
        <d v="2026-01-01T22:18:00"/>
        <d v="2026-01-02T10:49:03"/>
        <d v="2026-01-02T11:47:45"/>
        <d v="2026-01-02T14:51:47"/>
        <d v="2026-01-02T21:57:27"/>
        <d v="2026-01-03T00:00:36"/>
        <d v="2026-01-03T12:32:36"/>
        <d v="2026-01-03T20:02:03"/>
        <d v="2026-01-03T22:14:55"/>
        <d v="2026-01-03T23:13:41"/>
        <d v="2026-01-04T00:06:30"/>
        <d v="2026-01-05T07:17:11"/>
        <d v="2026-01-06T03:02:23"/>
        <d v="2026-01-07T14:39:10"/>
        <d v="2026-01-07T15:28:27"/>
        <d v="2026-01-08T17:13:37"/>
        <d v="2026-01-08T17:59:51"/>
        <d v="2026-01-08T21:06:39"/>
        <d v="2026-01-09T05:01:37"/>
        <d v="2026-01-09T20:32:18"/>
        <d v="2026-01-09T22:51:46"/>
        <d v="2026-01-11T05:11:11"/>
        <d v="2026-01-12T04:13:09"/>
        <d v="2026-01-12T08:50:59"/>
        <d v="2026-01-12T21:24:48"/>
        <d v="2026-01-12T23:50:52"/>
        <d v="2026-01-13T02:25:12"/>
        <d v="2026-01-14T05:46:49"/>
        <d v="2026-01-14T11:05:54"/>
        <d v="2026-01-14T16:04:24"/>
        <d v="2026-01-15T01:18:42"/>
        <d v="2026-01-15T01:49:21"/>
        <d v="2026-01-15T01:54:41"/>
        <d v="2026-01-16T06:50:23"/>
        <d v="2026-01-16T17:23:34"/>
        <d v="2026-01-16T18:28:31"/>
        <d v="2026-01-17T05:42:56"/>
        <d v="2026-01-17T06:45:34"/>
        <d v="2026-01-17T09:51:56"/>
        <d v="2026-01-19T04:02:10"/>
        <d v="2026-01-19T17:14:02"/>
        <d v="2026-01-19T20:37:18"/>
        <d v="2026-01-20T01:25:42"/>
        <d v="2026-01-20T07:51:46"/>
        <d v="2026-01-20T23:29:47"/>
        <d v="2026-01-21T18:09:45"/>
        <d v="2026-01-21T23:21:25"/>
        <d v="2026-01-22T01:43:02"/>
        <d v="2026-01-22T06:30:15"/>
        <d v="2026-01-22T14:39:23"/>
        <d v="2026-01-22T22:08:14"/>
        <d v="2026-01-23T01:18:05"/>
        <d v="2026-01-23T08:57:32"/>
        <d v="2026-01-23T14:49:26"/>
        <d v="2026-01-23T18:38:54"/>
        <d v="2026-01-24T00:22:55"/>
        <d v="2026-01-24T04:27:05"/>
        <d v="2026-01-25T08:36:27"/>
        <d v="2026-01-25T09:24:28"/>
        <d v="2026-01-25T12:27:54"/>
        <d v="2026-01-26T05:41:50"/>
        <d v="2026-01-26T12:07:01"/>
        <d v="2026-01-26T19:16:08"/>
        <d v="2026-01-28T00:01:49"/>
        <d v="2026-01-28T08:01:44"/>
        <d v="2026-01-28T10:34:41"/>
        <d v="2026-01-28T13:35:42"/>
        <d v="2026-01-28T21:50:34"/>
        <d v="2026-01-29T06:06:04"/>
        <d v="2026-01-29T09:38:52"/>
        <d v="2026-01-29T16:42:51"/>
        <d v="2026-01-29T21:33:37"/>
        <d v="2026-01-30T04:14:21"/>
        <d v="2026-01-30T15:22:40"/>
        <d v="2026-01-30T20:58:44"/>
        <d v="2026-01-30T22:29:30"/>
        <d v="2026-01-31T09:15:36"/>
        <d v="2026-01-31T21:36:51"/>
        <d v="2026-01-31T21:48:15"/>
        <d v="2026-02-01T03:34:45"/>
        <d v="2026-02-01T04:22:55"/>
        <d v="2026-02-02T01:37:06"/>
        <d v="2026-02-02T04:31:16"/>
        <d v="2026-02-02T16:40:26"/>
        <d v="2026-02-02T17:06:12"/>
        <d v="2026-02-02T18:31:49"/>
        <d v="2026-02-02T23:04:18"/>
        <d v="2026-02-03T01:52:35"/>
        <d v="2026-02-03T12:37:27"/>
        <d v="2026-02-03T17:01:13"/>
        <d v="2026-02-03T23:46:23"/>
        <d v="2026-02-04T01:27:46"/>
        <d v="2026-02-04T08:30:05"/>
        <d v="2026-02-05T05:15:20"/>
        <d v="2026-02-05T05:41:50"/>
        <d v="2026-02-05T07:06:47"/>
        <d v="2026-02-05T08:21:02"/>
        <d v="2026-02-06T03:11:24"/>
        <d v="2026-02-06T18:42:40"/>
        <d v="2026-02-07T04:33:58"/>
        <d v="2026-02-07T06:47:17"/>
        <d v="2026-02-07T07:53:26"/>
        <d v="2026-02-08T11:36:20"/>
        <d v="2026-02-08T19:14:59"/>
        <d v="2026-02-09T23:12:12"/>
        <d v="2026-02-10T19:47:02"/>
        <d v="2026-02-11T06:54:49"/>
        <d v="2026-02-11T09:38:45"/>
        <d v="2026-02-11T10:42:51"/>
        <d v="2026-02-12T07:11:23"/>
        <d v="2026-02-13T09:28:50"/>
        <d v="2026-02-13T12:50:17"/>
        <d v="2026-02-13T21:17:54"/>
        <d v="2026-02-14T15:40:29"/>
        <d v="2026-02-15T13:07:05"/>
        <d v="2026-02-15T15:31:40"/>
        <d v="2026-02-16T19:50:57"/>
        <d v="2026-02-17T02:43:44"/>
        <d v="2026-02-18T20:21:09"/>
        <d v="2026-02-19T04:32:24"/>
        <d v="2026-02-19T07:12:34"/>
        <d v="2026-02-19T16:53:26"/>
        <d v="2026-02-20T04:59:35"/>
        <d v="2026-02-21T05:12:42"/>
        <d v="2026-02-21T05:30:00"/>
        <d v="2026-02-21T05:34:53"/>
        <d v="2026-02-21T08:22:08"/>
        <d v="2026-02-21T14:03:27"/>
        <d v="2026-02-21T17:24:27"/>
        <d v="2026-02-22T00:11:26"/>
        <d v="2026-02-22T07:17:47"/>
        <d v="2026-02-22T09:46:34"/>
        <d v="2026-02-22T13:43:47"/>
        <d v="2026-02-22T13:45:53"/>
        <d v="2026-02-23T08:43:55"/>
        <d v="2026-02-25T01:28:47"/>
        <d v="2026-02-25T07:40:12"/>
        <d v="2026-02-25T12:01:46"/>
        <d v="2026-02-26T05:15:10"/>
        <d v="2026-02-26T10:37:28"/>
        <d v="2026-02-26T19:43:25"/>
        <d v="2026-02-27T02:02:19"/>
        <d v="2026-02-27T06:13:47"/>
        <d v="2026-02-28T00:17:14"/>
        <d v="2026-02-28T07:08:04"/>
        <d v="2026-02-28T07:59:14"/>
        <d v="2026-02-28T09:45:23"/>
        <d v="2026-02-28T18:34:27"/>
        <d v="2026-02-28T19:24:40"/>
        <d v="2026-02-28T22:49:50"/>
        <d v="2026-03-01T00:47:01"/>
        <d v="2026-03-01T08:20:26"/>
        <d v="2026-03-01T14:28:33"/>
        <d v="2026-03-01T14:38:31"/>
        <d v="2026-03-01T23:21:41"/>
        <d v="2026-03-02T18:09:34"/>
        <d v="2026-03-02T19:08:15"/>
        <d v="2026-03-02T23:50:32"/>
        <d v="2026-03-03T01:44:45"/>
        <d v="2026-03-03T10:34:34"/>
        <d v="2026-03-03T19:03:59"/>
        <d v="2026-03-04T04:58:40"/>
        <d v="2026-03-04T08:18:25"/>
        <d v="2026-03-04T18:02:08"/>
        <d v="2026-03-04T20:03:00"/>
        <d v="2026-03-05T10:28:32"/>
        <d v="2026-03-05T18:50:26"/>
        <d v="2026-03-06T00:11:30"/>
        <d v="2026-03-07T00:31:47"/>
        <d v="2026-03-07T11:28:03"/>
        <d v="2026-03-08T22:34:24"/>
        <d v="2026-03-09T14:34:44"/>
        <d v="2026-03-10T00:31:44"/>
        <d v="2026-03-10T12:14:55"/>
        <d v="2026-03-10T18:51:06"/>
        <d v="2026-03-10T21:32:20"/>
        <d v="2026-03-11T13:55:35"/>
        <d v="2026-03-11T15:58:44"/>
        <d v="2026-03-11T17:08:10"/>
        <d v="2026-03-11T17:58:18"/>
        <d v="2026-03-12T05:51:41"/>
        <d v="2026-03-12T13:18:58"/>
        <d v="2026-03-13T10:31:02"/>
        <d v="2026-03-13T19:00:01"/>
        <d v="2026-03-14T02:19:06"/>
        <d v="2026-03-14T16:22:57"/>
        <d v="2026-03-15T16:14:33"/>
        <d v="2026-03-15T17:34:45"/>
        <d v="2026-03-15T19:55:16"/>
        <d v="2026-03-17T08:07:35"/>
        <d v="2026-03-18T06:10:05"/>
        <d v="2026-03-19T05:38:18"/>
        <d v="2026-03-19T11:21:38"/>
        <d v="2026-03-20T09:37:27"/>
        <d v="2026-03-20T14:38:23"/>
        <d v="2026-03-20T14:44:37"/>
        <d v="2026-03-20T21:38:00"/>
        <d v="2026-03-21T08:26:42"/>
        <d v="2026-03-21T14:53:09"/>
        <d v="2026-03-22T07:31:15"/>
        <d v="2026-03-22T09:38:25"/>
        <d v="2026-03-22T10:11:05"/>
        <d v="2026-03-22T23:40:21"/>
        <d v="2026-03-25T10:53:33"/>
        <d v="2026-03-25T17:47:02"/>
        <d v="2026-03-26T16:41:34"/>
        <d v="2026-03-26T17:01:39"/>
        <d v="2026-03-26T17:35:26"/>
      </sharedItems>
      <fieldGroup par="29"/>
    </cacheField>
    <cacheField name="sku_produto" numFmtId="0">
      <sharedItems count="23">
        <s v="HW-003"/>
        <s v="HW-007"/>
        <s v="LIC-001"/>
        <s v="AC-002"/>
        <s v="HW-008"/>
        <s v="AC-005"/>
        <s v="AC-001"/>
        <s v="HW-002"/>
        <s v="LIC-003"/>
        <s v="LIC-002"/>
        <s v="AC-004"/>
        <s v="AC-007"/>
        <s v="AC-006"/>
        <s v="HW-004"/>
        <s v="HW-005"/>
        <s v="SW-001"/>
        <s v="LIC-004"/>
        <s v="AC-003"/>
        <s v="HW-006"/>
        <s v="HW-001"/>
        <s v="SW-003"/>
        <s v="SW-002"/>
        <s v="SW-004"/>
      </sharedItems>
    </cacheField>
    <cacheField name="produto_nome" numFmtId="0">
      <sharedItems count="23">
        <s v="Placa de Vídeo RTX 4060"/>
        <s v="Placa-Mãe B550"/>
        <s v="Licença Antivírus Kaspersky"/>
        <s v="Teclado Mecânico RGB"/>
        <s v="Gabinete Gamer RGB"/>
        <s v="Hub USB-C 7 Portas"/>
        <s v="Mouse Wireless Ergonômico"/>
        <s v="Notebook Gamer i7"/>
        <s v="Licença Cloud 1TB"/>
        <s v="Licença VPN NordVPN"/>
        <s v="Webcam Full HD"/>
        <s v="Cabo HDMI 2.1 3m"/>
        <s v="Mousepad XL Gamer"/>
        <s v="SSD NVMe 1TB"/>
        <s v="Processador Ryzen 7"/>
        <s v="Windows 11 Pro"/>
        <s v="Licença Backup Acronis"/>
        <s v="Headset Gamer 7.1"/>
        <s v="Fonte 750W Modular"/>
        <s v="Monitor 24pol IPS"/>
        <s v="Adobe Creative Cloud"/>
        <s v="Microsoft Office 365"/>
        <s v="AutoCAD 2024"/>
      </sharedItems>
    </cacheField>
    <cacheField name="categoria" numFmtId="0">
      <sharedItems count="4">
        <s v="Hardware"/>
        <s v="Licenças"/>
        <s v="Acessórios"/>
        <s v="Software"/>
      </sharedItems>
    </cacheField>
    <cacheField name="peso_gramas" numFmtId="0">
      <sharedItems containsSemiMixedTypes="0" containsString="0" containsNumber="1" containsInteger="1" minValue="0" maxValue="4989"/>
    </cacheField>
    <cacheField name="quantidade" numFmtId="0">
      <sharedItems containsSemiMixedTypes="0" containsString="0" containsNumber="1" containsInteger="1" minValue="1" maxValue="3"/>
    </cacheField>
    <cacheField name="custo_unitario" numFmtId="165">
      <sharedItems containsSemiMixedTypes="0" containsString="0" containsNumber="1" minValue="15.11" maxValue="2992.7"/>
    </cacheField>
    <cacheField name="valor_unitario_venda" numFmtId="165">
      <sharedItems containsSemiMixedTypes="0" containsString="0" containsNumber="1" minValue="33.19" maxValue="4969.45"/>
    </cacheField>
    <cacheField name="cupom_desconto" numFmtId="0">
      <sharedItems containsBlank="1"/>
    </cacheField>
    <cacheField name="percentual_desconto" numFmtId="10">
      <sharedItems containsSemiMixedTypes="0" containsString="0" containsNumber="1" minValue="0" maxValue="0.2"/>
    </cacheField>
    <cacheField name="transportadora" numFmtId="0">
      <sharedItems count="4">
        <s v="Loggi"/>
        <s v="FedEx"/>
        <s v="Jadlog"/>
        <s v="Correios"/>
      </sharedItems>
    </cacheField>
    <cacheField name="valor_frete" numFmtId="165">
      <sharedItems containsSemiMixedTypes="0" containsString="0" containsNumber="1" minValue="15.03" maxValue="149.9" count="944">
        <n v="117.97"/>
        <n v="149.9"/>
        <n v="28.56"/>
        <n v="25.34"/>
        <n v="129.83000000000001"/>
        <n v="46.87"/>
        <n v="50.04"/>
        <n v="78.75"/>
        <n v="87.82"/>
        <n v="18.25"/>
        <n v="15.61"/>
        <n v="21"/>
        <n v="20.63"/>
        <n v="51.72"/>
        <n v="122.24"/>
        <n v="22.39"/>
        <n v="120.75"/>
        <n v="101.34"/>
        <n v="100.97"/>
        <n v="19.21"/>
        <n v="39.97"/>
        <n v="58.88"/>
        <n v="24.46"/>
        <n v="76.47"/>
        <n v="139.22"/>
        <n v="15.4"/>
        <n v="22.21"/>
        <n v="23.61"/>
        <n v="54.13"/>
        <n v="58.89"/>
        <n v="25.35"/>
        <n v="45.51"/>
        <n v="25.49"/>
        <n v="51.62"/>
        <n v="122.53"/>
        <n v="109.09"/>
        <n v="133.28"/>
        <n v="59.42"/>
        <n v="73.59"/>
        <n v="140.88"/>
        <n v="29.53"/>
        <n v="17.52"/>
        <n v="22.51"/>
        <n v="91.01"/>
        <n v="42.36"/>
        <n v="32.68"/>
        <n v="58.9"/>
        <n v="24.61"/>
        <n v="26.55"/>
        <n v="25.9"/>
        <n v="31.85"/>
        <n v="58.78"/>
        <n v="22.6"/>
        <n v="128.37"/>
        <n v="38.6"/>
        <n v="22.98"/>
        <n v="29.31"/>
        <n v="26.08"/>
        <n v="57.88"/>
        <n v="34.24"/>
        <n v="26.15"/>
        <n v="21.53"/>
        <n v="104.41"/>
        <n v="60.08"/>
        <n v="48.82"/>
        <n v="18.170000000000002"/>
        <n v="17.82"/>
        <n v="85.96"/>
        <n v="62.21"/>
        <n v="23.08"/>
        <n v="125.87"/>
        <n v="76.650000000000006"/>
        <n v="23.41"/>
        <n v="91.25"/>
        <n v="16.420000000000002"/>
        <n v="86.18"/>
        <n v="92.63"/>
        <n v="43.13"/>
        <n v="67.98"/>
        <n v="24.59"/>
        <n v="19.329999999999998"/>
        <n v="17.18"/>
        <n v="21.96"/>
        <n v="50.5"/>
        <n v="92.94"/>
        <n v="22.03"/>
        <n v="29.98"/>
        <n v="25.58"/>
        <n v="53.9"/>
        <n v="23.88"/>
        <n v="66.84"/>
        <n v="49.29"/>
        <n v="53.71"/>
        <n v="22.63"/>
        <n v="42.88"/>
        <n v="48.53"/>
        <n v="42.59"/>
        <n v="27.01"/>
        <n v="21.4"/>
        <n v="33.979999999999997"/>
        <n v="130.26"/>
        <n v="71.53"/>
        <n v="29.68"/>
        <n v="52.37"/>
        <n v="127.01"/>
        <n v="50.56"/>
        <n v="40.39"/>
        <n v="27.07"/>
        <n v="22.15"/>
        <n v="20.64"/>
        <n v="90.59"/>
        <n v="28.52"/>
        <n v="130.63"/>
        <n v="50.05"/>
        <n v="33.9"/>
        <n v="59.16"/>
        <n v="24.26"/>
        <n v="74.39"/>
        <n v="38.75"/>
        <n v="59.17"/>
        <n v="115.54"/>
        <n v="17.260000000000002"/>
        <n v="16.579999999999998"/>
        <n v="24.28"/>
        <n v="16.98"/>
        <n v="59.38"/>
        <n v="36.69"/>
        <n v="103.31"/>
        <n v="22.44"/>
        <n v="63.74"/>
        <n v="111.63"/>
        <n v="118.31"/>
        <n v="38.409999999999997"/>
        <n v="53.12"/>
        <n v="87.81"/>
        <n v="141.05000000000001"/>
        <n v="138.19999999999999"/>
        <n v="32.61"/>
        <n v="148.13999999999999"/>
        <n v="137.77000000000001"/>
        <n v="17.649999999999999"/>
        <n v="128.06"/>
        <n v="58.93"/>
        <n v="126.27"/>
        <n v="108.18"/>
        <n v="139.93"/>
        <n v="66.64"/>
        <n v="22.13"/>
        <n v="71.75"/>
        <n v="61.26"/>
        <n v="113.79"/>
        <n v="19.82"/>
        <n v="29.58"/>
        <n v="18.37"/>
        <n v="57.9"/>
        <n v="144.69999999999999"/>
        <n v="58.28"/>
        <n v="115.09"/>
        <n v="67.62"/>
        <n v="84.71"/>
        <n v="45.9"/>
        <n v="34.6"/>
        <n v="77.75"/>
        <n v="98.64"/>
        <n v="17.100000000000001"/>
        <n v="16.190000000000001"/>
        <n v="29.14"/>
        <n v="22.58"/>
        <n v="47.42"/>
        <n v="120.36"/>
        <n v="52.82"/>
        <n v="19.850000000000001"/>
        <n v="131.47"/>
        <n v="46.03"/>
        <n v="44.51"/>
        <n v="17.04"/>
        <n v="83.21"/>
        <n v="26.4"/>
        <n v="114.04"/>
        <n v="46.7"/>
        <n v="129.72999999999999"/>
        <n v="59.29"/>
        <n v="38.74"/>
        <n v="70.27"/>
        <n v="52.97"/>
        <n v="105.02"/>
        <n v="46.37"/>
        <n v="21.25"/>
        <n v="17.98"/>
        <n v="23.66"/>
        <n v="146.66999999999999"/>
        <n v="119.63"/>
        <n v="66.94"/>
        <n v="32.78"/>
        <n v="119.2"/>
        <n v="112.76"/>
        <n v="108.45"/>
        <n v="65.760000000000005"/>
        <n v="27.99"/>
        <n v="127.24"/>
        <n v="15.69"/>
        <n v="45.02"/>
        <n v="28.25"/>
        <n v="57.69"/>
        <n v="58.7"/>
        <n v="121.11"/>
        <n v="21.55"/>
        <n v="15.87"/>
        <n v="33.4"/>
        <n v="23.79"/>
        <n v="47.74"/>
        <n v="55.54"/>
        <n v="29.82"/>
        <n v="25.82"/>
        <n v="84.12"/>
        <n v="24.81"/>
        <n v="15.37"/>
        <n v="69.239999999999995"/>
        <n v="25.93"/>
        <n v="66.19"/>
        <n v="72.62"/>
        <n v="25.64"/>
        <n v="63.48"/>
        <n v="28.34"/>
        <n v="28.69"/>
        <n v="48.2"/>
        <n v="49.79"/>
        <n v="59.1"/>
        <n v="67.77"/>
        <n v="20.66"/>
        <n v="84.93"/>
        <n v="70.59"/>
        <n v="27.29"/>
        <n v="62.96"/>
        <n v="133.12"/>
        <n v="21.14"/>
        <n v="100.99"/>
        <n v="71.989999999999995"/>
        <n v="52.44"/>
        <n v="107.37"/>
        <n v="108.98"/>
        <n v="72.52"/>
        <n v="147.59"/>
        <n v="81.45"/>
        <n v="123.49"/>
        <n v="24.42"/>
        <n v="27.69"/>
        <n v="26.41"/>
        <n v="89.68"/>
        <n v="46.76"/>
        <n v="130.63999999999999"/>
        <n v="43.02"/>
        <n v="143.62"/>
        <n v="27.92"/>
        <n v="28.71"/>
        <n v="65.150000000000006"/>
        <n v="135.66"/>
        <n v="31.51"/>
        <n v="22.65"/>
        <n v="34.69"/>
        <n v="147.9"/>
        <n v="22.22"/>
        <n v="24.19"/>
        <n v="17.829999999999998"/>
        <n v="28.18"/>
        <n v="123.85"/>
        <n v="127.07"/>
        <n v="28.65"/>
        <n v="35.74"/>
        <n v="104.57"/>
        <n v="41.09"/>
        <n v="59.68"/>
        <n v="28.3"/>
        <n v="138.47"/>
        <n v="87.22"/>
        <n v="17.809999999999999"/>
        <n v="67.97"/>
        <n v="132.44"/>
        <n v="25.7"/>
        <n v="16.78"/>
        <n v="21.82"/>
        <n v="28.5"/>
        <n v="22.97"/>
        <n v="16.920000000000002"/>
        <n v="37.32"/>
        <n v="54.84"/>
        <n v="48.65"/>
        <n v="130.97999999999999"/>
        <n v="19.510000000000002"/>
        <n v="26.45"/>
        <n v="22.72"/>
        <n v="22.83"/>
        <n v="97.25"/>
        <n v="28.39"/>
        <n v="128.96"/>
        <n v="59.36"/>
        <n v="139.69"/>
        <n v="63.55"/>
        <n v="59.41"/>
        <n v="44.56"/>
        <n v="15.57"/>
        <n v="54.3"/>
        <n v="40.56"/>
        <n v="26.96"/>
        <n v="76.3"/>
        <n v="123.21"/>
        <n v="28.29"/>
        <n v="28.91"/>
        <n v="15.03"/>
        <n v="50.07"/>
        <n v="37.090000000000003"/>
        <n v="50.27"/>
        <n v="15.36"/>
        <n v="110.92"/>
        <n v="54.75"/>
        <n v="18.75"/>
        <n v="34.99"/>
        <n v="58.31"/>
        <n v="105.87"/>
        <n v="28.98"/>
        <n v="62.12"/>
        <n v="79.930000000000007"/>
        <n v="111.9"/>
        <n v="41.46"/>
        <n v="25.08"/>
        <n v="39.53"/>
        <n v="23.25"/>
        <n v="136.35"/>
        <n v="55.28"/>
        <n v="80.12"/>
        <n v="29.48"/>
        <n v="108.74"/>
        <n v="29.81"/>
        <n v="46.59"/>
        <n v="124.23"/>
        <n v="24.37"/>
        <n v="116.37"/>
        <n v="34.76"/>
        <n v="18.95"/>
        <n v="21.41"/>
        <n v="20.83"/>
        <n v="56.3"/>
        <n v="17.45"/>
        <n v="55.59"/>
        <n v="29.65"/>
        <n v="18.47"/>
        <n v="47.23"/>
        <n v="136.12"/>
        <n v="25.92"/>
        <n v="85.35"/>
        <n v="126.57"/>
        <n v="25.43"/>
        <n v="23.51"/>
        <n v="21.61"/>
        <n v="24.27"/>
        <n v="24.69"/>
        <n v="94.63"/>
        <n v="108.68"/>
        <n v="40.299999999999997"/>
        <n v="45.17"/>
        <n v="30.91"/>
        <n v="23.7"/>
        <n v="21.22"/>
        <n v="23.97"/>
        <n v="39.65"/>
        <n v="55.62"/>
        <n v="124.13"/>
        <n v="27.96"/>
        <n v="24.04"/>
        <n v="66.23"/>
        <n v="15.43"/>
        <n v="45.45"/>
        <n v="53.38"/>
        <n v="32.840000000000003"/>
        <n v="120.47"/>
        <n v="91.93"/>
        <n v="68.55"/>
        <n v="69.56"/>
        <n v="53.15"/>
        <n v="40.880000000000003"/>
        <n v="17.149999999999999"/>
        <n v="121.96"/>
        <n v="39.08"/>
        <n v="57.85"/>
        <n v="111.12"/>
        <n v="84.2"/>
        <n v="135.15"/>
        <n v="75.819999999999993"/>
        <n v="88.14"/>
        <n v="24.35"/>
        <n v="19.059999999999999"/>
        <n v="49.65"/>
        <n v="31.38"/>
        <n v="65.260000000000005"/>
        <n v="33.44"/>
        <n v="88"/>
        <n v="57.25"/>
        <n v="90.66"/>
        <n v="115.53"/>
        <n v="83"/>
        <n v="48.1"/>
        <n v="59.25"/>
        <n v="29.7"/>
        <n v="21.76"/>
        <n v="46.45"/>
        <n v="116.83"/>
        <n v="111.16"/>
        <n v="133.19"/>
        <n v="16.8"/>
        <n v="21.67"/>
        <n v="29.84"/>
        <n v="113.54"/>
        <n v="29.73"/>
        <n v="74.22"/>
        <n v="28.37"/>
        <n v="134.57"/>
        <n v="26.63"/>
        <n v="20.149999999999999"/>
        <n v="55.8"/>
        <n v="33.54"/>
        <n v="105.51"/>
        <n v="15.54"/>
        <n v="142.77000000000001"/>
        <n v="93.56"/>
        <n v="57.98"/>
        <n v="83.16"/>
        <n v="128.34"/>
        <n v="59.79"/>
        <n v="85.54"/>
        <n v="19.27"/>
        <n v="138.77000000000001"/>
        <n v="19.86"/>
        <n v="50.65"/>
        <n v="28.02"/>
        <n v="57.19"/>
        <n v="66.67"/>
        <n v="51.63"/>
        <n v="17.559999999999999"/>
        <n v="45.98"/>
        <n v="109.4"/>
        <n v="29.12"/>
        <n v="16.95"/>
        <n v="43.76"/>
        <n v="34.17"/>
        <n v="143.15"/>
        <n v="107.29"/>
        <n v="30.85"/>
        <n v="50.67"/>
        <n v="24.29"/>
        <n v="78.36"/>
        <n v="17.32"/>
        <n v="100.84"/>
        <n v="28.53"/>
        <n v="92.97"/>
        <n v="28.82"/>
        <n v="59.18"/>
        <n v="19.25"/>
        <n v="20.07"/>
        <n v="107.47"/>
        <n v="20.76"/>
        <n v="86.84"/>
        <n v="146.88999999999999"/>
        <n v="27.66"/>
        <n v="18.690000000000001"/>
        <n v="50.62"/>
        <n v="19.559999999999999"/>
        <n v="58.59"/>
        <n v="20.260000000000002"/>
        <n v="46.36"/>
        <n v="136.66"/>
        <n v="30.47"/>
        <n v="17.38"/>
        <n v="41.76"/>
        <n v="29.43"/>
        <n v="47.56"/>
        <n v="120.79"/>
        <n v="40.69"/>
        <n v="29.79"/>
        <n v="19.39"/>
        <n v="107.69"/>
        <n v="134.87"/>
        <n v="40.28"/>
        <n v="47.93"/>
        <n v="35.159999999999997"/>
        <n v="57.36"/>
        <n v="106.24"/>
        <n v="119.54"/>
        <n v="49.3"/>
        <n v="18.5"/>
        <n v="118.41"/>
        <n v="121.76"/>
        <n v="22.33"/>
        <n v="82.97"/>
        <n v="76.87"/>
        <n v="49.2"/>
        <n v="57.91"/>
        <n v="123.2"/>
        <n v="25.91"/>
        <n v="27.34"/>
        <n v="19.190000000000001"/>
        <n v="30.22"/>
        <n v="44.26"/>
        <n v="15.9"/>
        <n v="121.41"/>
        <n v="146.80000000000001"/>
        <n v="26.31"/>
        <n v="91.58"/>
        <n v="76.319999999999993"/>
        <n v="29.87"/>
        <n v="54.78"/>
        <n v="48.3"/>
        <n v="54.31"/>
        <n v="17.43"/>
        <n v="138.94"/>
        <n v="149.43"/>
        <n v="134.41"/>
        <n v="65.510000000000005"/>
        <n v="63.26"/>
        <n v="29.88"/>
        <n v="51.27"/>
        <n v="46.07"/>
        <n v="136.62"/>
        <n v="18.809999999999999"/>
        <n v="20.14"/>
        <n v="77.98"/>
        <n v="19.84"/>
        <n v="17.87"/>
        <n v="75.17"/>
        <n v="16.46"/>
        <n v="23.75"/>
        <n v="49.03"/>
        <n v="58.09"/>
        <n v="28.42"/>
        <n v="34.479999999999997"/>
        <n v="142.81"/>
        <n v="122.43"/>
        <n v="132.52000000000001"/>
        <n v="21.28"/>
        <n v="78.09"/>
        <n v="113.47"/>
        <n v="59.05"/>
        <n v="35.83"/>
        <n v="28.54"/>
        <n v="115.87"/>
        <n v="17.23"/>
        <n v="28.15"/>
        <n v="15.3"/>
        <n v="19.47"/>
        <n v="21.52"/>
        <n v="27.88"/>
        <n v="35.35"/>
        <n v="140.55000000000001"/>
        <n v="27.59"/>
        <n v="27.85"/>
        <n v="57.72"/>
        <n v="20.12"/>
        <n v="28.03"/>
        <n v="28.49"/>
        <n v="93.28"/>
        <n v="53.1"/>
        <n v="73"/>
        <n v="73.680000000000007"/>
        <n v="24.36"/>
        <n v="43.94"/>
        <n v="53.77"/>
        <n v="75.069999999999993"/>
        <n v="130.13"/>
        <n v="18.579999999999998"/>
        <n v="25.84"/>
        <n v="28.73"/>
        <n v="21.56"/>
        <n v="19.940000000000001"/>
        <n v="144.53"/>
        <n v="51.25"/>
        <n v="80.05"/>
        <n v="50.44"/>
        <n v="130.49"/>
        <n v="71.25"/>
        <n v="21.49"/>
        <n v="118.06"/>
        <n v="21.87"/>
        <n v="32.72"/>
        <n v="104.5"/>
        <n v="60.68"/>
        <n v="25.27"/>
        <n v="33.74"/>
        <n v="20.78"/>
        <n v="128.31"/>
        <n v="70.66"/>
        <n v="34.340000000000003"/>
        <n v="120.37"/>
        <n v="54.64"/>
        <n v="37.619999999999997"/>
        <n v="124.99"/>
        <n v="123.76"/>
        <n v="143.71"/>
        <n v="96.82"/>
        <n v="42.17"/>
        <n v="136.02000000000001"/>
        <n v="145.19"/>
        <n v="46.4"/>
        <n v="98.89"/>
        <n v="28.86"/>
        <n v="50.16"/>
        <n v="132.41999999999999"/>
        <n v="73.27"/>
        <n v="34.89"/>
        <n v="50.87"/>
        <n v="74.97"/>
        <n v="72.27"/>
        <n v="49.83"/>
        <n v="20.79"/>
        <n v="17.5"/>
        <n v="60.88"/>
        <n v="31.37"/>
        <n v="96.09"/>
        <n v="76.599999999999994"/>
        <n v="48.24"/>
        <n v="20.72"/>
        <n v="27.13"/>
        <n v="29.76"/>
        <n v="63.58"/>
        <n v="62.1"/>
        <n v="56.6"/>
        <n v="85.53"/>
        <n v="47.1"/>
        <n v="113.96"/>
        <n v="48.84"/>
        <n v="49.56"/>
        <n v="100.66"/>
        <n v="147.78"/>
        <n v="109.65"/>
        <n v="51.84"/>
        <n v="36.86"/>
        <n v="51.13"/>
        <n v="45.29"/>
        <n v="18.73"/>
        <n v="54.46"/>
        <n v="56.32"/>
        <n v="20.48"/>
        <n v="122.71"/>
        <n v="133.06"/>
        <n v="52.15"/>
        <n v="69.72"/>
        <n v="47.88"/>
        <n v="46.63"/>
        <n v="21.88"/>
        <n v="80.09"/>
        <n v="53.37"/>
        <n v="107.65"/>
        <n v="106.05"/>
        <n v="26.14"/>
        <n v="22.54"/>
        <n v="28.21"/>
        <n v="59.77"/>
        <n v="49.27"/>
        <n v="22.43"/>
        <n v="52.84"/>
        <n v="52.88"/>
        <n v="137.32"/>
        <n v="61.23"/>
        <n v="18.53"/>
        <n v="17.350000000000001"/>
        <n v="136.69999999999999"/>
        <n v="25.94"/>
        <n v="144.87"/>
        <n v="134.85"/>
        <n v="146.4"/>
        <n v="15.21"/>
        <n v="146.83000000000001"/>
        <n v="126.44"/>
        <n v="26.02"/>
        <n v="137.71"/>
        <n v="99.86"/>
        <n v="105.04"/>
        <n v="23.95"/>
        <n v="24.21"/>
        <n v="29.71"/>
        <n v="112.79"/>
        <n v="91.68"/>
        <n v="18.54"/>
        <n v="62.14"/>
        <n v="95.75"/>
        <n v="33.18"/>
        <n v="38.119999999999997"/>
        <n v="28.24"/>
        <n v="66.349999999999994"/>
        <n v="17.73"/>
        <n v="113.72"/>
        <n v="15.63"/>
        <n v="20.11"/>
        <n v="30.45"/>
        <n v="30.33"/>
        <n v="119.72"/>
        <n v="23.5"/>
        <n v="22.74"/>
        <n v="65.319999999999993"/>
        <n v="33.82"/>
        <n v="101.84"/>
        <n v="45.49"/>
        <n v="40.04"/>
        <n v="51.03"/>
        <n v="94.4"/>
        <n v="46.46"/>
        <n v="25.39"/>
        <n v="22.49"/>
        <n v="18.52"/>
        <n v="59.92"/>
        <n v="35"/>
        <n v="115.41"/>
        <n v="42.91"/>
        <n v="40.53"/>
        <n v="20.32"/>
        <n v="24.85"/>
        <n v="61.59"/>
        <n v="58.26"/>
        <n v="126.47"/>
        <n v="20.7"/>
        <n v="22.56"/>
        <n v="16.350000000000001"/>
        <n v="28.97"/>
        <n v="124.43"/>
        <n v="51.37"/>
        <n v="47.52"/>
        <n v="125.55"/>
        <n v="20.74"/>
        <n v="19.02"/>
        <n v="37.39"/>
        <n v="129.32"/>
        <n v="15.29"/>
        <n v="45.75"/>
        <n v="34.72"/>
        <n v="58.96"/>
        <n v="97.57"/>
        <n v="58.27"/>
        <n v="16.809999999999999"/>
        <n v="52.06"/>
        <n v="51.05"/>
        <n v="15.82"/>
        <n v="26.06"/>
        <n v="94.2"/>
        <n v="31.19"/>
        <n v="26.83"/>
        <n v="87.17"/>
        <n v="21.18"/>
        <n v="63.11"/>
        <n v="60.46"/>
        <n v="25.25"/>
        <n v="130.4"/>
        <n v="89.66"/>
        <n v="35.93"/>
        <n v="18.34"/>
        <n v="122.5"/>
        <n v="27.45"/>
        <n v="34.86"/>
        <n v="76.819999999999993"/>
        <n v="55.33"/>
        <n v="43.96"/>
        <n v="143.53"/>
        <n v="97.75"/>
        <n v="47.7"/>
        <n v="36.72"/>
        <n v="50.02"/>
        <n v="59.73"/>
        <n v="52.32"/>
        <n v="101.4"/>
        <n v="18.89"/>
        <n v="121.18"/>
        <n v="29.03"/>
        <n v="28.66"/>
        <n v="73.239999999999995"/>
        <n v="38.67"/>
        <n v="40.1"/>
        <n v="76.44"/>
        <n v="24.33"/>
        <n v="27.12"/>
        <n v="125.84"/>
        <n v="71.12"/>
        <n v="16.899999999999999"/>
        <n v="104.34"/>
        <n v="25.68"/>
        <n v="69.41"/>
        <n v="85.67"/>
        <n v="122"/>
        <n v="81.599999999999994"/>
        <n v="37.799999999999997"/>
        <n v="60.4"/>
        <n v="34.119999999999997"/>
        <n v="44.02"/>
        <n v="36.93"/>
        <n v="21.73"/>
        <n v="20.350000000000001"/>
        <n v="47.44"/>
        <n v="83.4"/>
        <n v="89.24"/>
        <n v="93.58"/>
        <n v="81.73"/>
        <n v="94.66"/>
        <n v="42.41"/>
        <n v="118.7"/>
        <n v="38.200000000000003"/>
        <n v="26.54"/>
        <n v="56.19"/>
        <n v="22.76"/>
        <n v="90.54"/>
        <n v="20.16"/>
        <n v="29.35"/>
        <n v="60.79"/>
        <n v="108.44"/>
        <n v="36.29"/>
        <n v="36.67"/>
        <n v="30.2"/>
        <n v="100.92"/>
        <n v="132.72"/>
        <n v="107.8"/>
        <n v="123.01"/>
        <n v="26.81"/>
        <n v="21.24"/>
        <n v="59.89"/>
        <n v="118.13"/>
        <n v="76.510000000000005"/>
        <n v="88.21"/>
        <n v="34.56"/>
        <n v="16.59"/>
        <n v="18.88"/>
        <n v="19.23"/>
        <n v="29.67"/>
        <n v="64.34"/>
        <n v="48.95"/>
        <n v="86.83"/>
        <n v="61.7"/>
        <n v="47.02"/>
        <n v="73.48"/>
        <n v="41.9"/>
        <n v="83.59"/>
        <n v="35.869999999999997"/>
        <n v="92.06"/>
        <n v="61.19"/>
        <n v="139.84"/>
        <n v="138.4"/>
        <n v="108.4"/>
        <n v="99.2"/>
        <n v="46.82"/>
        <n v="57.79"/>
        <n v="58.21"/>
        <n v="26.76"/>
        <n v="18.46"/>
        <n v="77.53"/>
        <n v="82.9"/>
        <n v="83.52"/>
        <n v="21.2"/>
        <n v="45.94"/>
        <n v="121.82"/>
        <n v="53.67"/>
        <n v="16.850000000000001"/>
        <n v="26.66"/>
        <n v="27.97"/>
        <n v="27.51"/>
        <n v="129.16999999999999"/>
        <n v="26.95"/>
        <n v="16.14"/>
        <n v="15.77"/>
        <n v="47.13"/>
        <n v="51.79"/>
        <n v="17.239999999999998"/>
        <n v="21.69"/>
        <n v="32.71"/>
        <n v="144.41999999999999"/>
        <n v="36.590000000000003"/>
        <n v="119.59"/>
        <n v="17.329999999999998"/>
        <n v="98.72"/>
        <n v="17.3"/>
        <n v="59.62"/>
        <n v="86.17"/>
        <n v="46.52"/>
        <n v="57.6"/>
        <n v="35.01"/>
        <n v="29.75"/>
        <n v="143.19"/>
        <n v="16.77"/>
        <n v="28.51"/>
        <n v="99.64"/>
        <n v="44.33"/>
        <n v="23.53"/>
        <n v="25.53"/>
        <n v="99.3"/>
        <n v="82.19"/>
        <n v="37.26"/>
        <n v="88.75"/>
        <n v="20.96"/>
        <n v="49.43"/>
        <n v="21.3"/>
        <n v="17.05"/>
        <n v="149.24"/>
        <n v="28.09"/>
        <n v="129.47999999999999"/>
        <n v="55.81"/>
        <n v="51.06"/>
        <n v="56.39"/>
        <n v="43.36"/>
        <n v="20.28"/>
        <n v="26.07"/>
        <n v="23.4"/>
        <n v="81.540000000000006"/>
        <n v="94.98"/>
        <n v="20.13"/>
        <n v="91.02"/>
        <n v="73.11"/>
        <n v="25.66"/>
        <n v="28.89"/>
        <n v="37.590000000000003"/>
        <n v="137.25"/>
        <n v="41.98"/>
        <n v="36.130000000000003"/>
        <n v="120.03"/>
        <n v="141.88999999999999"/>
        <n v="125.96"/>
        <n v="63.46"/>
        <n v="92.19"/>
        <n v="81.55"/>
        <n v="20.010000000000002"/>
        <n v="17.489999999999998"/>
        <n v="134.05000000000001"/>
        <n v="17.88"/>
        <n v="46.56"/>
        <n v="42.14"/>
        <n v="116.63"/>
        <n v="71.349999999999994"/>
        <n v="93.06"/>
        <n v="34.79"/>
        <n v="67.33"/>
        <n v="56.29"/>
        <n v="109.73"/>
        <n v="123.13"/>
        <n v="142.57"/>
        <n v="21.8"/>
        <n v="18.45"/>
        <n v="48.15"/>
        <n v="16.649999999999999"/>
        <n v="85.72"/>
        <n v="27.1"/>
        <n v="44.13"/>
        <n v="130.35"/>
      </sharedItems>
    </cacheField>
    <cacheField name="cidade_destino" numFmtId="0">
      <sharedItems count="15">
        <s v="Recife"/>
        <s v="Joinville"/>
        <s v="São Paulo"/>
        <s v="Fortaleza"/>
        <s v="Curitiba"/>
        <s v="Florianópolis"/>
        <s v="Belém"/>
        <s v="Belo Horizonte"/>
        <s v="Rio de Janeiro"/>
        <s v="Salvador"/>
        <s v="Manaus"/>
        <s v="Goiânia"/>
        <s v="Campinas"/>
        <s v="Porto Alegre"/>
        <s v="Brasília"/>
      </sharedItems>
    </cacheField>
    <cacheField name="data_postagem" numFmtId="14">
      <sharedItems containsSemiMixedTypes="0" containsNonDate="0" containsDate="1" containsString="0" minDate="2025-03-27T00:00:00" maxDate="2026-03-28T00:00:00"/>
    </cacheField>
    <cacheField name="data_previsao_entrega" numFmtId="14">
      <sharedItems containsSemiMixedTypes="0" containsNonDate="0" containsDate="1" containsString="0" minDate="2025-04-02T00:00:00" maxDate="2026-04-07T00:00:00"/>
    </cacheField>
    <cacheField name="data_entrega_real" numFmtId="14">
      <sharedItems containsNonDate="0" containsDate="1" containsString="0" containsBlank="1" minDate="2025-03-29T00:00:00" maxDate="2026-04-09T00:00:00"/>
    </cacheField>
    <cacheField name="status_pedido" numFmtId="0">
      <sharedItems count="4">
        <s v="Entregue"/>
        <s v="Em Trânsito"/>
        <s v="Cancelado"/>
        <s v="Extraviado"/>
      </sharedItems>
    </cacheField>
    <cacheField name="nota_review" numFmtId="0">
      <sharedItems containsSemiMixedTypes="0" containsString="0" containsNumber="1" containsInteger="1" minValue="1" maxValue="5" count="5">
        <n v="5"/>
        <n v="3"/>
        <n v="2"/>
        <n v="4"/>
        <n v="1"/>
      </sharedItems>
    </cacheField>
    <cacheField name="comentario_cliente" numFmtId="0">
      <sharedItems/>
    </cacheField>
    <cacheField name="valor_venda_final" numFmtId="165">
      <sharedItems containsSemiMixedTypes="0" containsString="0" containsNumber="1" minValue="33.19" maxValue="14550.21" count="999">
        <n v="8134.59"/>
        <n v="4081.59"/>
        <n v="367.79399999999998"/>
        <n v="198.46"/>
        <n v="424.89600000000002"/>
        <n v="415.29"/>
        <n v="252.99"/>
        <n v="11525.25"/>
        <n v="2416.1120000000001"/>
        <n v="279.28800000000001"/>
        <n v="547.83000000000004"/>
        <n v="241.56800000000001"/>
        <n v="114.696"/>
        <n v="181.27199999999999"/>
        <n v="6955.78"/>
        <n v="190.84"/>
        <n v="349.56"/>
        <n v="6885"/>
        <n v="5370.96"/>
        <n v="611.20799999999997"/>
        <n v="295.596"/>
        <n v="64.691999999999993"/>
        <n v="858.78"/>
        <n v="2307.27"/>
        <n v="4484.7600000000011"/>
        <n v="602.97"/>
        <n v="212.82"/>
        <n v="145.179"/>
        <n v="149.65"/>
        <n v="752.7600000000001"/>
        <n v="277.74400000000003"/>
        <n v="270.20999999999998"/>
        <n v="267.24"/>
        <n v="306.61200000000002"/>
        <n v="3958.47"/>
        <n v="631.01"/>
        <n v="3578.6559999999999"/>
        <n v="684.22"/>
        <n v="3756.84"/>
        <n v="4753.7280000000001"/>
        <n v="426.14"/>
        <n v="165.39"/>
        <n v="1222.317"/>
        <n v="1491.27"/>
        <n v="326.33999999999997"/>
        <n v="316.83999999999997"/>
        <n v="1126.3040000000001"/>
        <n v="172.33600000000001"/>
        <n v="216.28800000000001"/>
        <n v="318.95999999999998"/>
        <n v="444.32"/>
        <n v="285.69"/>
        <n v="870.24"/>
        <n v="652.84799999999996"/>
        <n v="113.27"/>
        <n v="197.82"/>
        <n v="542.74"/>
        <n v="379.23"/>
        <n v="1023.45"/>
        <n v="139.06"/>
        <n v="160.83000000000001"/>
        <n v="639.93000000000006"/>
        <n v="579.89600000000007"/>
        <n v="832.03"/>
        <n v="399"/>
        <n v="92.69"/>
        <n v="1317.32"/>
        <n v="1116.1759999999999"/>
        <n v="1541.1679999999999"/>
        <n v="80.19"/>
        <n v="402.48"/>
        <n v="9083.6"/>
        <n v="4418.6760000000004"/>
        <n v="859.14"/>
        <n v="4921.4400000000014"/>
        <n v="348.99"/>
        <n v="6597.1"/>
        <n v="864.91200000000015"/>
        <n v="218.82"/>
        <n v="1034.9000000000001"/>
        <n v="520.09199999999998"/>
        <n v="426.49200000000002"/>
        <n v="426.72"/>
        <n v="543.84"/>
        <n v="2337.39"/>
        <n v="3276.75"/>
        <n v="1599.3989999999999"/>
        <n v="239.52"/>
        <n v="970.99200000000008"/>
        <n v="379.54"/>
        <n v="1439.72"/>
        <n v="3131.3119999999999"/>
        <n v="117.1"/>
        <n v="600.4"/>
        <n v="119.62"/>
        <n v="60.24"/>
        <n v="564.11099999999999"/>
        <n v="383.3"/>
        <n v="280.33999999999997"/>
        <n v="178.5"/>
        <n v="150.60599999999999"/>
        <n v="1003.76"/>
        <n v="5225.8500000000004"/>
        <n v="2140.2600000000002"/>
        <n v="1765.692"/>
        <n v="2368.4760000000001"/>
        <n v="42.453000000000003"/>
        <n v="89.01"/>
        <n v="349.19099999999997"/>
        <n v="202.626"/>
        <n v="715.71"/>
        <n v="1845.32"/>
        <n v="546.73599999999999"/>
        <n v="1375.84"/>
        <n v="246.09"/>
        <n v="325.44"/>
        <n v="137.71199999999999"/>
        <n v="191.41"/>
        <n v="3948.38"/>
        <n v="275.27999999999997"/>
        <n v="210.8"/>
        <n v="2623.3919999999998"/>
        <n v="166.83"/>
        <n v="565.74"/>
        <n v="1066.4639999999999"/>
        <n v="260.78399999999999"/>
        <n v="130.65"/>
        <n v="229.68799999999999"/>
        <n v="3614.1"/>
        <n v="120.3"/>
        <n v="3222.91"/>
        <n v="12069.513000000001"/>
        <n v="1133.6300000000001"/>
        <n v="247.56"/>
        <n v="353.54399999999998"/>
        <n v="3176.9279999999999"/>
        <n v="1364.55"/>
        <n v="10312.224"/>
        <n v="54.264000000000003"/>
        <n v="9805.8060000000005"/>
        <n v="1470.231"/>
        <n v="605.9"/>
        <n v="993.36599999999999"/>
        <n v="4970.6400000000003"/>
        <n v="6950.58"/>
        <n v="764.65600000000006"/>
        <n v="6080.4540000000006"/>
        <n v="6819.42"/>
        <n v="423.27900000000011"/>
        <n v="1766.12"/>
        <n v="1233.8399999999999"/>
        <n v="1728.84"/>
        <n v="1794.57"/>
        <n v="133.69999999999999"/>
        <n v="484.47"/>
        <n v="392.08800000000002"/>
        <n v="560.09700000000009"/>
        <n v="629.37600000000009"/>
        <n v="2250.3200000000002"/>
        <n v="3635.28"/>
        <n v="6106.6"/>
        <n v="378.48599999999999"/>
        <n v="108.35"/>
        <n v="3124.4960000000001"/>
        <n v="4031.4"/>
        <n v="377.23200000000003"/>
        <n v="350.49599999999998"/>
        <n v="955.48"/>
        <n v="191.47200000000001"/>
        <n v="254.97"/>
        <n v="1328.4449999999999"/>
        <n v="146.28"/>
        <n v="127.9"/>
        <n v="1327.64"/>
        <n v="654.18000000000006"/>
        <n v="760.68000000000006"/>
        <n v="530.6640000000001"/>
        <n v="3464.65"/>
        <n v="303.64"/>
        <n v="9960.81"/>
        <n v="266.95999999999998"/>
        <n v="682.87"/>
        <n v="1484.1179999999999"/>
        <n v="215.42"/>
        <n v="400.02"/>
        <n v="162.36000000000001"/>
        <n v="12446.25"/>
        <n v="538.09"/>
        <n v="470.85"/>
        <n v="1780.4639999999999"/>
        <n v="1068.18"/>
        <n v="390.93"/>
        <n v="12124.77"/>
        <n v="2276.2080000000001"/>
        <n v="2893.5"/>
        <n v="216.69"/>
        <n v="3569.9580000000001"/>
        <n v="107.76"/>
        <n v="3192.21"/>
        <n v="2382.183"/>
        <n v="5450.3280000000004"/>
        <n v="463.2"/>
        <n v="1098.06"/>
        <n v="312.10399999999998"/>
        <n v="163.86"/>
        <n v="748.8"/>
        <n v="147.6"/>
        <n v="168.56"/>
        <n v="3493.71"/>
        <n v="389.76"/>
        <n v="2160.39"/>
        <n v="362.19600000000003"/>
        <n v="180.64"/>
        <n v="135.93"/>
        <n v="117.08"/>
        <n v="355.71"/>
        <n v="643.38"/>
        <n v="3888.08"/>
        <n v="339.63"/>
        <n v="1565.22"/>
        <n v="1523.502"/>
        <n v="78.174000000000007"/>
        <n v="782.5"/>
        <n v="8755.48"/>
        <n v="965.78"/>
        <n v="90.04"/>
        <n v="3728.64"/>
        <n v="208.83"/>
        <n v="556.29999999999995"/>
        <n v="196.47900000000001"/>
        <n v="122.95"/>
        <n v="201.48"/>
        <n v="4947.84"/>
        <n v="382.76799999999997"/>
        <n v="1145.32"/>
        <n v="910.84"/>
        <n v="2130.384"/>
        <n v="111.74"/>
        <n v="1812.6"/>
        <n v="1202.49"/>
        <n v="1018.83"/>
        <n v="96.77"/>
        <n v="3584.93"/>
        <n v="5441.06"/>
        <n v="11700.963"/>
        <n v="984.13200000000006"/>
        <n v="1153.02"/>
        <n v="2087.248"/>
        <n v="970.35200000000009"/>
        <n v="2171.4299999999998"/>
        <n v="3390.52"/>
        <n v="101.36"/>
        <n v="458.61"/>
        <n v="281.32"/>
        <n v="833.697"/>
        <n v="62.98"/>
        <n v="4329.12"/>
        <n v="331.68"/>
        <n v="621.14"/>
        <n v="1877.85"/>
        <n v="141.91"/>
        <n v="14550.21"/>
        <n v="2278.7280000000001"/>
        <n v="47.61"/>
        <n v="879.48"/>
        <n v="336.34800000000001"/>
        <n v="1516.41"/>
        <n v="384.25"/>
        <n v="219.22200000000001"/>
        <n v="459.54"/>
        <n v="81.95"/>
        <n v="9104.32"/>
        <n v="1402.2080000000001"/>
        <n v="148.38"/>
        <n v="216.09"/>
        <n v="1532.2"/>
        <n v="631.5"/>
        <n v="413.46"/>
        <n v="565.62"/>
        <n v="3553.335"/>
        <n v="1405.76"/>
        <n v="402.68"/>
        <n v="3623.55"/>
        <n v="11459.61"/>
        <n v="1377.72"/>
        <n v="479.93"/>
        <n v="906.8"/>
        <n v="346.74"/>
        <n v="146.048"/>
        <n v="157.869"/>
        <n v="383.19"/>
        <n v="1853.67"/>
        <n v="191.64"/>
        <n v="9669.34"/>
        <n v="202.7"/>
        <n v="740.2"/>
        <n v="480.75"/>
        <n v="295.07400000000001"/>
        <n v="656.41"/>
        <n v="1381"/>
        <n v="1150.6199999999999"/>
        <n v="214.99199999999999"/>
        <n v="71.298000000000002"/>
        <n v="2004.0840000000001"/>
        <n v="1906.2270000000001"/>
        <n v="4322"/>
        <n v="160.304"/>
        <n v="552.45000000000005"/>
        <n v="3611.61"/>
        <n v="355.35"/>
        <n v="714.49"/>
        <n v="2478.7620000000002"/>
        <n v="968.3"/>
        <n v="509.69700000000012"/>
        <n v="160.16"/>
        <n v="96"/>
        <n v="1867.9680000000001"/>
        <n v="148.6"/>
        <n v="122.49"/>
        <n v="177.98400000000001"/>
        <n v="342.58"/>
        <n v="2415.2800000000002"/>
        <n v="239.62"/>
        <n v="150.82"/>
        <n v="245.619"/>
        <n v="243.59399999999999"/>
        <n v="4356.67"/>
        <n v="217.54"/>
        <n v="6489.84"/>
        <n v="551.45000000000005"/>
        <n v="2962.5"/>
        <n v="419.72"/>
        <n v="129.19"/>
        <n v="187.22399999999999"/>
        <n v="71.001000000000005"/>
        <n v="2682.93"/>
        <n v="337.44"/>
        <n v="4690.26"/>
        <n v="73.103999999999999"/>
        <n v="4171.18"/>
        <n v="265.94"/>
        <n v="75.069999999999993"/>
        <n v="1519.317"/>
        <n v="118.08"/>
        <n v="1409.85"/>
        <n v="41.13"/>
        <n v="1195.3119999999999"/>
        <n v="96.272000000000006"/>
        <n v="513.92999999999995"/>
        <n v="169.79400000000001"/>
        <n v="1085.328"/>
        <n v="105.12"/>
        <n v="231.584"/>
        <n v="310.45999999999998"/>
        <n v="249.72"/>
        <n v="148.66999999999999"/>
        <n v="1370.88"/>
        <n v="208.83199999999999"/>
        <n v="3431.82"/>
        <n v="1987.5440000000001"/>
        <n v="123.80800000000001"/>
        <n v="1657.26"/>
        <n v="580.29600000000005"/>
        <n v="128.38999999999999"/>
        <n v="339.18"/>
        <n v="1974.4960000000001"/>
        <n v="3440.74"/>
        <n v="319.2"/>
        <n v="161.024"/>
        <n v="315.60300000000001"/>
        <n v="1737.99"/>
        <n v="155.00800000000001"/>
        <n v="1393.5239999999999"/>
        <n v="268.74"/>
        <n v="215.79"/>
        <n v="1066.4159999999999"/>
        <n v="383.13000000000011"/>
        <n v="124.15"/>
        <n v="372.44"/>
        <n v="4890.78"/>
        <n v="1348.47"/>
        <n v="842.40000000000009"/>
        <n v="628.22"/>
        <n v="207.06299999999999"/>
        <n v="2483.5500000000002"/>
        <n v="601.86"/>
        <n v="1152.94"/>
        <n v="7119.57"/>
        <n v="654.62"/>
        <n v="118.08799999999999"/>
        <n v="65.144000000000005"/>
        <n v="469.68"/>
        <n v="3628.5"/>
        <n v="139.05000000000001"/>
        <n v="2412.8200000000002"/>
        <n v="2857.3919999999998"/>
        <n v="2761.18"/>
        <n v="2602.2600000000002"/>
        <n v="8950.92"/>
        <n v="4374.57"/>
        <n v="1202.19"/>
        <n v="491.58"/>
        <n v="240.06"/>
        <n v="182.57599999999999"/>
        <n v="1816.74"/>
        <n v="230.58"/>
        <n v="1356.06"/>
        <n v="869.13600000000008"/>
        <n v="93.21"/>
        <n v="617.59"/>
        <n v="1118.1600000000001"/>
        <n v="3553.28"/>
        <n v="532.43999999999994"/>
        <n v="100.71"/>
        <n v="370.95299999999997"/>
        <n v="561.62400000000002"/>
        <n v="383.67"/>
        <n v="2614.71"/>
        <n v="300.48"/>
        <n v="1546.44"/>
        <n v="2555.712"/>
        <n v="2249.5500000000002"/>
        <n v="2029.14"/>
        <n v="525.93000000000006"/>
        <n v="3672.15"/>
        <n v="214.41"/>
        <n v="1634.24"/>
        <n v="127.92"/>
        <n v="2328.6"/>
        <n v="157"/>
        <n v="942.42"/>
        <n v="449.38799999999998"/>
        <n v="407.28"/>
        <n v="1234.29"/>
        <n v="429.6"/>
        <n v="906.66"/>
        <n v="1670.58"/>
        <n v="588.83199999999999"/>
        <n v="8222.68"/>
        <n v="2853.33"/>
        <n v="441.66"/>
        <n v="6627.5360000000001"/>
        <n v="290.58"/>
        <n v="2207.13"/>
        <n v="1076.94"/>
        <n v="176.06700000000001"/>
        <n v="103.94"/>
        <n v="170.49600000000001"/>
        <n v="645.53"/>
        <n v="262.35199999999998"/>
        <n v="1296"/>
        <n v="411.66"/>
        <n v="1182.78"/>
        <n v="225.54"/>
        <n v="1127.46"/>
        <n v="231.309"/>
        <n v="315.91199999999998"/>
        <n v="1930.35"/>
        <n v="3928.88"/>
        <n v="256.64999999999998"/>
        <n v="111.824"/>
        <n v="109.7"/>
        <n v="11676.24"/>
        <n v="289.64"/>
        <n v="3670.1550000000002"/>
        <n v="244.65"/>
        <n v="12041.43"/>
        <n v="250.74"/>
        <n v="485.67"/>
        <n v="349.75799999999998"/>
        <n v="2023.38"/>
        <n v="799.74"/>
        <n v="226.36"/>
        <n v="1329.6780000000001"/>
        <n v="2040.8579999999999"/>
        <n v="336.3"/>
        <n v="1004.004"/>
        <n v="138.648"/>
        <n v="2163.48"/>
        <n v="2625"/>
        <n v="179.35"/>
        <n v="197.66"/>
        <n v="13417.514999999999"/>
        <n v="154.251"/>
        <n v="152.15"/>
        <n v="530.17200000000003"/>
        <n v="169.9"/>
        <n v="85.01"/>
        <n v="4369.0200000000004"/>
        <n v="248.1"/>
        <n v="511.02"/>
        <n v="1364.4"/>
        <n v="1481.55"/>
        <n v="7091.0880000000006"/>
        <n v="446.95"/>
        <n v="67.688000000000002"/>
        <n v="86.39"/>
        <n v="167.346"/>
        <n v="33.354000000000013"/>
        <n v="2052.96"/>
        <n v="1900.89"/>
        <n v="120.14"/>
        <n v="1444.5809999999999"/>
        <n v="7062.84"/>
        <n v="6611.82"/>
        <n v="169.94"/>
        <n v="3511.23"/>
        <n v="875.4"/>
        <n v="269.61"/>
        <n v="1503.73"/>
        <n v="636.22"/>
        <n v="298.38"/>
        <n v="450.76"/>
        <n v="59.99"/>
        <n v="281.16899999999998"/>
        <n v="72"/>
        <n v="591.33000000000004"/>
        <n v="4804.41"/>
        <n v="596.52800000000002"/>
        <n v="1525.89"/>
        <n v="952.36200000000008"/>
        <n v="1134.3399999999999"/>
        <n v="591.16000000000008"/>
        <n v="3671.2"/>
        <n v="464.82"/>
        <n v="608.23"/>
        <n v="565.02900000000011"/>
        <n v="594.58000000000004"/>
        <n v="13725.75"/>
        <n v="886.88799999999992"/>
        <n v="3739.23"/>
        <n v="1844.43"/>
        <n v="1574.8"/>
        <n v="304.101"/>
        <n v="209.08799999999999"/>
        <n v="11627.16"/>
        <n v="208.92"/>
        <n v="188.16"/>
        <n v="8389.6"/>
        <n v="312.56099999999998"/>
        <n v="1504.68"/>
        <n v="4436.01"/>
        <n v="1749.27"/>
        <n v="178.19200000000001"/>
        <n v="348.7"/>
        <n v="1300.296"/>
        <n v="292.17599999999999"/>
        <n v="91.95"/>
        <n v="5866.0019999999986"/>
        <n v="960.04"/>
        <n v="600.73"/>
        <n v="1769.34"/>
        <n v="2318.46"/>
        <n v="7388.3340000000007"/>
        <n v="92.2"/>
        <n v="545.54999999999995"/>
        <n v="113.49"/>
        <n v="6133.2659999999996"/>
        <n v="1176.5999999999999"/>
        <n v="106.95"/>
        <n v="324.36"/>
        <n v="346.48800000000011"/>
        <n v="999.64800000000002"/>
        <n v="304.93"/>
        <n v="972.25599999999997"/>
        <n v="377.22"/>
        <n v="438.33"/>
        <n v="1569.4829999999999"/>
        <n v="1300.914"/>
        <n v="132.381"/>
        <n v="3652.88"/>
        <n v="1119.3119999999999"/>
        <n v="81.540000000000006"/>
        <n v="363.68"/>
        <n v="1030.04"/>
        <n v="135.76"/>
        <n v="1136.54"/>
        <n v="2280.79"/>
        <n v="271.52999999999997"/>
        <n v="499.47199999999998"/>
        <n v="116.136"/>
        <n v="396.94"/>
        <n v="1939.74"/>
        <n v="614.88"/>
        <n v="271.92"/>
        <n v="267.27999999999997"/>
        <n v="1490.76"/>
        <n v="1971.09"/>
        <n v="135.11000000000001"/>
        <n v="3078.84"/>
        <n v="427.9"/>
        <n v="79.968000000000004"/>
        <n v="78.88"/>
        <n v="8215.6080000000002"/>
        <n v="673.08"/>
        <n v="1977.69"/>
        <n v="9630.2250000000004"/>
        <n v="2019.5730000000001"/>
        <n v="740"/>
        <n v="1500.8879999999999"/>
        <n v="381.99"/>
        <n v="933.32"/>
        <n v="1390.008"/>
        <n v="757.05"/>
        <n v="132.5"/>
        <n v="127.62"/>
        <n v="4708.2"/>
        <n v="4661.22"/>
        <n v="49.374000000000002"/>
        <n v="2615.232"/>
        <n v="65.367999999999995"/>
        <n v="293.7"/>
        <n v="13340.58"/>
        <n v="600.04"/>
        <n v="2507.1"/>
        <n v="450.26100000000002"/>
        <n v="1091.21"/>
        <n v="537.14"/>
        <n v="1055.55"/>
        <n v="9099.1080000000002"/>
        <n v="267.89999999999998"/>
        <n v="2663.82"/>
        <n v="66.847999999999999"/>
        <n v="148.65"/>
        <n v="3491.73"/>
        <n v="1531.59"/>
        <n v="205.578"/>
        <n v="768.57600000000002"/>
        <n v="1219.6199999999999"/>
        <n v="1227.6880000000001"/>
        <n v="364.34"/>
        <n v="711.82"/>
        <n v="1995.3810000000001"/>
        <n v="598.61"/>
        <n v="81.849999999999994"/>
        <n v="107.71"/>
        <n v="13196.82"/>
        <n v="9557.7000000000007"/>
        <n v="312.09300000000002"/>
        <n v="1878.54"/>
        <n v="66.696000000000012"/>
        <n v="129.43799999999999"/>
        <n v="1746.42"/>
        <n v="5102.6400000000003"/>
        <n v="9529.2990000000009"/>
        <n v="3714.93"/>
        <n v="235.74"/>
        <n v="8210.82"/>
        <n v="84.384000000000015"/>
        <n v="106.24"/>
        <n v="4247.1000000000004"/>
        <n v="7453.4400000000014"/>
        <n v="8184.4560000000001"/>
        <n v="235.68299999999999"/>
        <n v="144.1"/>
        <n v="260.56"/>
        <n v="167.44"/>
        <n v="131.66999999999999"/>
        <n v="911.6880000000001"/>
        <n v="84.89"/>
        <n v="667.29"/>
        <n v="1717.9739999999999"/>
        <n v="901.82400000000007"/>
        <n v="4562.58"/>
        <n v="111.19199999999999"/>
        <n v="2685.99"/>
        <n v="346.56"/>
        <n v="196.11199999999999"/>
        <n v="293.83"/>
        <n v="424.08"/>
        <n v="394.98"/>
        <n v="3182.7"/>
        <n v="2901.616"/>
        <n v="405.86"/>
        <n v="934.61"/>
        <n v="2077.3000000000002"/>
        <n v="265.06799999999998"/>
        <n v="100.215"/>
        <n v="481.7"/>
        <n v="275.31"/>
        <n v="161.86000000000001"/>
        <n v="982.56"/>
        <n v="7951.06"/>
        <n v="70.34"/>
        <n v="2759.1"/>
        <n v="2067.44"/>
        <n v="1324.04"/>
        <n v="772.89600000000019"/>
        <n v="4758.6900000000014"/>
        <n v="578.76"/>
        <n v="762.61"/>
        <n v="3592.29"/>
        <n v="1206.8399999999999"/>
        <n v="394.97"/>
        <n v="2016.7919999999999"/>
        <n v="823.76099999999997"/>
        <n v="33.19"/>
        <n v="178.54"/>
        <n v="3381.4319999999998"/>
        <n v="1875.62"/>
        <n v="2316.87"/>
        <n v="623.322"/>
        <n v="947.26400000000001"/>
        <n v="256.76799999999997"/>
        <n v="6553.9500000000007"/>
        <n v="3402.33"/>
        <n v="199.62"/>
        <n v="1232.8"/>
        <n v="1472.79"/>
        <n v="168.04"/>
        <n v="677.91"/>
        <n v="1464.1"/>
        <n v="1822.905"/>
        <n v="637.87"/>
        <n v="1584.6569999999999"/>
        <n v="5649.2640000000001"/>
        <n v="149.202"/>
        <n v="296.10000000000002"/>
        <n v="1127.6479999999999"/>
        <n v="633.38"/>
        <n v="125.91"/>
        <n v="268.56"/>
        <n v="4607.99"/>
        <n v="432.54"/>
        <n v="1268.32"/>
        <n v="3935.12"/>
        <n v="127.32"/>
        <n v="1656.624"/>
        <n v="200.4"/>
        <n v="227.16"/>
        <n v="146.72"/>
        <n v="438.28800000000001"/>
        <n v="316.2"/>
        <n v="1426.35"/>
        <n v="70.84"/>
        <n v="121.72"/>
        <n v="727.02"/>
        <n v="2210.61"/>
        <n v="382.47"/>
        <n v="85.337999999999994"/>
        <n v="7942.44"/>
        <n v="498.66"/>
        <n v="66.069999999999993"/>
        <n v="386.43"/>
        <n v="326.49"/>
        <n v="1488.88"/>
        <n v="802.20600000000002"/>
        <n v="137.4"/>
        <n v="2216.9"/>
        <n v="1195.1099999999999"/>
        <n v="398.42"/>
        <n v="133.19999999999999"/>
        <n v="269.3"/>
        <n v="8385.8940000000002"/>
        <n v="250.93799999999999"/>
        <n v="137.36000000000001"/>
        <n v="3292.8240000000001"/>
        <n v="528.82000000000005"/>
        <n v="595.476"/>
        <n v="414.72"/>
        <n v="2860.944"/>
        <n v="1494.3689999999999"/>
        <n v="567.84"/>
        <n v="79.75"/>
        <n v="132.642"/>
        <n v="1893.93"/>
        <n v="1336.7070000000001"/>
        <n v="619.245"/>
        <n v="1413.96"/>
        <n v="396.91800000000001"/>
        <n v="296.613"/>
        <n v="251.226"/>
        <n v="608.79600000000005"/>
        <n v="390.39"/>
        <n v="1482.18"/>
        <n v="365.01299999999998"/>
        <n v="454.04"/>
        <n v="3029.4720000000002"/>
        <n v="568.34400000000005"/>
        <n v="329.13000000000011"/>
        <n v="510.97500000000002"/>
        <n v="1745.02"/>
        <n v="1661.9760000000001"/>
        <n v="116"/>
        <n v="545.60700000000008"/>
        <n v="177.14400000000001"/>
        <n v="5790.21"/>
        <n v="1200.6600000000001"/>
        <n v="364.30200000000002"/>
        <n v="431.63099999999997"/>
        <n v="104.3"/>
        <n v="7156.2000000000007"/>
        <n v="1548.72"/>
        <n v="619.98"/>
        <n v="3751.56"/>
        <n v="113.967"/>
        <n v="619.31999999999994"/>
        <n v="1512.32"/>
        <n v="1170.56"/>
        <n v="121.16"/>
        <n v="181.197"/>
        <n v="182.934"/>
        <n v="10303.98"/>
        <n v="396.39600000000002"/>
        <n v="7026.96"/>
        <n v="708.59999999999991"/>
        <n v="5239.3919999999998"/>
        <n v="317.89999999999998"/>
        <n v="82.22"/>
        <n v="9518.19"/>
        <n v="403.71"/>
        <n v="922.86"/>
        <n v="1168.29"/>
        <n v="257.66000000000003"/>
        <n v="1370.32"/>
        <n v="2790.9180000000001"/>
        <n v="7569.2"/>
        <n v="1274.48"/>
        <n v="3386.502"/>
        <n v="234.98"/>
        <n v="1408.3"/>
        <n v="4405.3500000000004"/>
        <n v="491.72"/>
        <n v="896.36"/>
        <n v="3463.98"/>
        <n v="1431.99"/>
        <n v="205.08"/>
        <n v="1178.048"/>
        <n v="374.02"/>
        <n v="300.54000000000002"/>
        <n v="198.18"/>
        <n v="115.38"/>
        <n v="431.67"/>
        <n v="894.90000000000009"/>
        <n v="57.58"/>
        <n v="714.7"/>
        <n v="3880.9"/>
        <n v="1317.88"/>
        <n v="1038.27"/>
        <n v="1154.52"/>
        <n v="2172.54"/>
        <n v="284.88"/>
        <n v="12789.75"/>
        <n v="110.59"/>
        <n v="54.2"/>
        <n v="743.42399999999998"/>
        <n v="125.19"/>
        <n v="616.11"/>
        <n v="4599.6000000000004"/>
        <n v="577.053"/>
        <n v="416.43"/>
        <n v="3724.11"/>
        <n v="681.85800000000006"/>
        <n v="217.32"/>
        <n v="158.72999999999999"/>
        <n v="74.180000000000007"/>
        <n v="1029.864"/>
        <n v="1635.84"/>
        <n v="609.048"/>
        <n v="2577"/>
        <n v="585.96"/>
        <n v="334.98"/>
        <n v="1362.21"/>
        <n v="694.02"/>
        <n v="1045.3399999999999"/>
        <n v="615.72"/>
        <n v="323.02"/>
        <n v="143.66"/>
        <n v="427.74"/>
        <n v="289.74599999999998"/>
        <n v="663.21"/>
        <n v="349.65"/>
        <n v="1627.29"/>
        <n v="178.8"/>
        <n v="2332.7280000000001"/>
        <n v="640.58000000000004"/>
        <n v="367.47"/>
        <n v="776.43200000000002"/>
        <n v="290.52"/>
        <n v="907.06"/>
        <n v="430.98"/>
        <n v="4705.2299999999996"/>
        <n v="2825.69"/>
        <n v="666.70400000000006"/>
        <n v="3103.5680000000002"/>
        <n v="1368.78"/>
        <n v="11118.096"/>
        <n v="170.06399999999999"/>
        <n v="309.52999999999997"/>
        <n v="167.7"/>
        <n v="1948.914"/>
        <n v="212.328"/>
        <n v="8146.0559999999996"/>
        <n v="132.75"/>
        <n v="1099.8599999999999"/>
        <n v="1095.72"/>
        <n v="326.86399999999998"/>
        <n v="90.8"/>
        <n v="134.39699999999999"/>
        <n v="9993.5999999999985"/>
        <n v="2324.511"/>
        <n v="232.864"/>
        <n v="1982.43"/>
        <n v="155.19"/>
        <n v="459.08800000000002"/>
        <n v="472.16"/>
        <n v="2209.65"/>
        <n v="471.97800000000001"/>
        <n v="1585.6079999999999"/>
        <n v="261.21600000000001"/>
        <n v="197.61600000000001"/>
        <n v="87.072000000000003"/>
        <n v="1371.08"/>
        <n v="936.87000000000012"/>
        <n v="347.3"/>
        <n v="42.607999999999997"/>
        <n v="10520.91"/>
        <n v="206.19200000000001"/>
        <n v="106.72199999999999"/>
        <n v="704.25"/>
        <n v="2258.2979999999998"/>
        <n v="655.19100000000003"/>
        <n v="584.11199999999997"/>
        <n v="68.352000000000004"/>
        <n v="2110.192"/>
        <n v="275.10000000000002"/>
        <n v="186.70500000000001"/>
        <n v="142.19"/>
        <n v="651.86400000000003"/>
        <n v="3503.6280000000002"/>
        <n v="574.27"/>
        <n v="690.75"/>
        <n v="8215.0380000000005"/>
        <n v="187.65600000000001"/>
        <n v="854.37000000000012"/>
        <n v="224.84"/>
        <n v="12095.91"/>
        <n v="435.21"/>
        <n v="261.87"/>
        <n v="1658.2139999999999"/>
        <n v="230"/>
        <n v="1487.49"/>
        <n v="225.45599999999999"/>
        <n v="98.04"/>
        <n v="816.30899999999997"/>
        <n v="72.191999999999993"/>
        <n v="154.88999999999999"/>
        <n v="1174.47"/>
        <n v="307.55700000000002"/>
        <n v="2149.11"/>
        <n v="1389.8520000000001"/>
        <n v="382.29"/>
        <n v="193.00800000000001"/>
        <n v="190.7"/>
        <n v="110.58"/>
        <n v="283.86"/>
        <n v="177.22800000000001"/>
        <n v="386.98"/>
        <n v="1320.91"/>
        <n v="4148.8109999999997"/>
        <n v="1180.76"/>
        <n v="5737.4"/>
        <n v="1877.5530000000001"/>
        <n v="652.66199999999992"/>
        <n v="1610.01"/>
        <n v="103.072"/>
        <n v="6336.6"/>
        <n v="228.51"/>
        <n v="115.66"/>
        <n v="1768.3"/>
        <n v="14210.28"/>
        <n v="3810.85"/>
        <n v="2628.92"/>
        <n v="8326.52"/>
        <n v="7757.48"/>
        <n v="780.048"/>
        <n v="607.73"/>
        <n v="11773.65"/>
        <n v="670.74"/>
        <n v="119.432"/>
        <n v="164.196"/>
        <n v="2203.6799999999998"/>
        <n v="1357.4159999999999"/>
        <n v="1533.78"/>
        <n v="220.86"/>
        <n v="311.98"/>
        <n v="3447.39"/>
        <n v="4210.9799999999996"/>
        <n v="3511.01"/>
        <n v="5270.1030000000001"/>
        <n v="2445.66"/>
        <n v="1389.192"/>
        <n v="199.03200000000001"/>
        <n v="238.3"/>
        <n v="536.88"/>
        <n v="1981.07"/>
        <n v="87.25"/>
        <n v="592.43999999999994"/>
        <n v="6885.7"/>
      </sharedItems>
    </cacheField>
    <cacheField name="custo_total" numFmtId="165">
      <sharedItems containsSemiMixedTypes="0" containsString="0" containsNumber="1" minValue="17.78" maxValue="8978.0999999999985"/>
    </cacheField>
    <cacheField name="lucro_liquido" numFmtId="165">
      <sharedItems containsSemiMixedTypes="0" containsString="0" containsNumber="1" minValue="-231.15399999999991" maxValue="6998.5" count="999">
        <n v="1685.150000000001"/>
        <n v="2315.4699999999998"/>
        <n v="136.67400000000001"/>
        <n v="73.36"/>
        <n v="92.455999999999989"/>
        <n v="141.38"/>
        <n v="-9.3300000000000196"/>
        <n v="2647.860000000001"/>
        <n v="264.15200000000021"/>
        <n v="33.488000000000028"/>
        <n v="308.00000000000011"/>
        <n v="126.328"/>
        <n v="16.486000000000001"/>
        <n v="24.372000000000011"/>
        <n v="1229.76"/>
        <n v="128.54"/>
        <n v="-6.6500000000000057"/>
        <n v="1786.5"/>
        <n v="866.25999999999954"/>
        <n v="186.39799999999991"/>
        <n v="-6.393999999999977"/>
        <n v="-20.278000000000009"/>
        <n v="271.7"/>
        <n v="733.35000000000014"/>
        <n v="1237.5700000000011"/>
        <n v="348.89"/>
        <n v="85.109999999999985"/>
        <n v="45.609000000000009"/>
        <n v="20.080000000000009"/>
        <n v="419.31000000000012"/>
        <n v="150.39400000000001"/>
        <n v="35.099999999999959"/>
        <n v="154.03"/>
        <n v="180.50200000000001"/>
        <n v="1700.07"/>
        <n v="131.63999999999999"/>
        <n v="827.75600000000009"/>
        <n v="354.14"/>
        <n v="1704"/>
        <n v="2270.6280000000002"/>
        <n v="112.59"/>
        <n v="8.3400000000000141"/>
        <n v="439.42700000000002"/>
        <n v="581.17000000000007"/>
        <n v="120.54"/>
        <n v="91.979999999999961"/>
        <n v="-48.815999999999939"/>
        <n v="99.866000000000014"/>
        <n v="34.778000000000013"/>
        <n v="18.11999999999998"/>
        <n v="148.16999999999999"/>
        <n v="94.82"/>
        <n v="423.62"/>
        <n v="216.55799999999991"/>
        <n v="22.789999999999988"/>
        <n v="51.48"/>
        <n v="175.11"/>
        <n v="37.67"/>
        <n v="633.7399999999999"/>
        <n v="30.27999999999999"/>
        <n v="99.800000000000011"/>
        <n v="516.91000000000008"/>
        <n v="273.04599999999999"/>
        <n v="458.3"/>
        <n v="100.28"/>
        <n v="6.1799999999999926"/>
        <n v="688.57999999999993"/>
        <n v="496.67600000000022"/>
        <n v="309.07799999999997"/>
        <n v="-12.18"/>
        <n v="258.33999999999997"/>
        <n v="2991.13"/>
        <n v="2084.6260000000002"/>
        <n v="527.23"/>
        <n v="2017.7800000000011"/>
        <n v="40.820000000000007"/>
        <n v="2554.920000000001"/>
        <n v="368.66200000000009"/>
        <n v="43.249999999999993"/>
        <n v="133.22"/>
        <n v="149.512"/>
        <n v="50.112000000000009"/>
        <n v="210.7"/>
        <n v="84.120000000000033"/>
        <n v="829.48999999999978"/>
        <n v="496.83"/>
        <n v="422.69900000000013"/>
        <n v="70.460000000000022"/>
        <n v="0.6720000000000681"/>
        <n v="194.36"/>
        <n v="526.98"/>
        <n v="187.03199999999981"/>
        <n v="-26.330000000000009"/>
        <n v="305.91000000000003"/>
        <n v="64.920000000000016"/>
        <n v="-10.02"/>
        <n v="271.471"/>
        <n v="183.97"/>
        <n v="189.03"/>
        <n v="66.38"/>
        <n v="28.096"/>
        <n v="32.040000000000077"/>
        <n v="2370.7399999999998"/>
        <n v="1406.18"/>
        <n v="601.67200000000014"/>
        <n v="51.446000000000133"/>
        <n v="-41.877000000000002"/>
        <n v="-31.009999999999991"/>
        <n v="91.841000000000008"/>
        <n v="7.455999999999996"/>
        <n v="232.24000000000009"/>
        <n v="748.06999999999994"/>
        <n v="230.536"/>
        <n v="782.74999999999989"/>
        <n v="76.220000000000013"/>
        <n v="94.78"/>
        <n v="-41.678000000000011"/>
        <n v="136.80000000000001"/>
        <n v="2003.95"/>
        <n v="135.44"/>
        <n v="23.22000000000001"/>
        <n v="668.13199999999983"/>
        <n v="81.320000000000007"/>
        <n v="170.46"/>
        <n v="493.92400000000021"/>
        <n v="34.074000000000048"/>
        <n v="10.41"/>
        <n v="18.948000000000011"/>
        <n v="684.04000000000042"/>
        <n v="36.97999999999999"/>
        <n v="1026.1600000000001"/>
        <n v="5261.5530000000008"/>
        <n v="379.07000000000011"/>
        <n v="20.800000000000011"/>
        <n v="155.76400000000001"/>
        <n v="261.03800000000041"/>
        <n v="290.74000000000018"/>
        <n v="3028.204000000002"/>
        <n v="-5.0059999999999967"/>
        <n v="1371.696000000001"/>
        <n v="466.39100000000008"/>
        <n v="159.91"/>
        <n v="199.20599999999999"/>
        <n v="1437.92"/>
        <n v="972.27"/>
        <n v="218.566"/>
        <n v="2384.9040000000009"/>
        <n v="2014.52"/>
        <n v="59.659000000000049"/>
        <n v="521.51"/>
        <n v="182.8599999999999"/>
        <n v="979.26"/>
        <n v="425.17000000000019"/>
        <n v="2.6799999999999931"/>
        <n v="196.82"/>
        <n v="-66.282000000000011"/>
        <n v="55.787000000000091"/>
        <n v="337.87600000000009"/>
        <n v="792.79000000000008"/>
        <n v="872.00000000000034"/>
        <n v="2404.29"/>
        <n v="204.15600000000001"/>
        <n v="16.159999999999989"/>
        <n v="1565.9259999999999"/>
        <n v="931.58999999999958"/>
        <n v="152.05199999999999"/>
        <n v="111.07600000000011"/>
        <n v="237.16000000000011"/>
        <n v="32.091999999999999"/>
        <n v="34.88000000000001"/>
        <n v="426.08499999999992"/>
        <n v="32.779999999999987"/>
        <n v="45.69"/>
        <n v="755.17000000000007"/>
        <n v="289.85000000000008"/>
        <n v="406.72"/>
        <n v="123.6440000000001"/>
        <n v="647.17000000000007"/>
        <n v="36.639999999999993"/>
        <n v="2945.5699999999988"/>
        <n v="85.839999999999989"/>
        <n v="293.58999999999997"/>
        <n v="426.42799999999988"/>
        <n v="131.36000000000001"/>
        <n v="8.9700000000000131"/>
        <n v="38.980000000000018"/>
        <n v="4511.1099999999997"/>
        <n v="303.60000000000002"/>
        <n v="110.98"/>
        <n v="753.22399999999993"/>
        <n v="178.43000000000009"/>
        <n v="207.34"/>
        <n v="4179.3000000000011"/>
        <n v="856.8180000000001"/>
        <n v="1133.9000000000001"/>
        <n v="69.89"/>
        <n v="1030.6179999999999"/>
        <n v="-15.52999999999999"/>
        <n v="389.8900000000001"/>
        <n v="1044.453"/>
        <n v="1023.408000000001"/>
        <n v="114.48"/>
        <n v="184.70999999999989"/>
        <n v="105.014"/>
        <n v="-16.479999999999979"/>
        <n v="300.52"/>
        <n v="-4.6899999999999977"/>
        <n v="43.72"/>
        <n v="1819.32"/>
        <n v="169.61"/>
        <n v="1356.51"/>
        <n v="67.176000000000016"/>
        <n v="42.410000000000018"/>
        <n v="-17.98"/>
        <n v="25.45"/>
        <n v="28.46999999999996"/>
        <n v="296.29000000000002"/>
        <n v="1876.29"/>
        <n v="102.72"/>
        <n v="706.71"/>
        <n v="540.62199999999996"/>
        <n v="-13.135999999999999"/>
        <n v="319.83"/>
        <n v="2735.47"/>
        <n v="218.52"/>
        <n v="19.500000000000011"/>
        <n v="2087.2399999999998"/>
        <n v="48.369999999999983"/>
        <n v="194.92999999999989"/>
        <n v="17.358999999999991"/>
        <n v="41.16"/>
        <n v="40.590000000000018"/>
        <n v="1307.4100000000001"/>
        <n v="86.188000000000017"/>
        <n v="500.91"/>
        <n v="252.03"/>
        <n v="233.51400000000001"/>
        <n v="41.439999999999991"/>
        <n v="549.70000000000005"/>
        <n v="492.45"/>
        <n v="508.54000000000008"/>
        <n v="-2.5200000000000031"/>
        <n v="1239.58"/>
        <n v="1731.950000000001"/>
        <n v="3320.6129999999998"/>
        <n v="-1.037999999999897"/>
        <n v="44.73999999999991"/>
        <n v="477.67800000000011"/>
        <n v="-21.017999999999891"/>
        <n v="1032.06"/>
        <n v="1153.02"/>
        <n v="23.310000000000009"/>
        <n v="113.34"/>
        <n v="141.38999999999999"/>
        <n v="-40.44300000000004"/>
        <n v="-14.7"/>
        <n v="2087.59"/>
        <n v="114.79"/>
        <n v="125.83"/>
        <n v="1023.67"/>
        <n v="61.970000000000013"/>
        <n v="6046.99"/>
        <n v="487.69800000000021"/>
        <n v="-15.6"/>
        <n v="312.11"/>
        <n v="70.598000000000013"/>
        <n v="753.60000000000014"/>
        <n v="62.130000000000017"/>
        <n v="89.122000000000014"/>
        <n v="362.33"/>
        <n v="5.2600000000000051"/>
        <n v="4033.35"/>
        <n v="191.03800000000021"/>
        <n v="58.01"/>
        <n v="24.26"/>
        <n v="711.77"/>
        <n v="223.27"/>
        <n v="196.16"/>
        <n v="407"/>
        <n v="2004.0250000000001"/>
        <n v="-93.679999999999808"/>
        <n v="44.63"/>
        <n v="1359.81"/>
        <n v="3902.8000000000011"/>
        <n v="379.9"/>
        <n v="290.55000000000013"/>
        <n v="300.68"/>
        <n v="199.5"/>
        <n v="49.898000000000003"/>
        <n v="109.619"/>
        <n v="122.16"/>
        <n v="394.20000000000022"/>
        <n v="29.110000000000021"/>
        <n v="4041.6"/>
        <n v="63.289999999999978"/>
        <n v="394.23000000000008"/>
        <n v="233.02"/>
        <n v="43.804000000000023"/>
        <n v="282.54000000000002"/>
        <n v="391.39"/>
        <n v="304.99999999999989"/>
        <n v="105.352"/>
        <n v="18.417999999999999"/>
        <n v="342.31400000000042"/>
        <n v="1208.567"/>
        <n v="1862.63"/>
        <n v="57.22399999999999"/>
        <n v="264.63000000000011"/>
        <n v="1570.59"/>
        <n v="77.100000000000023"/>
        <n v="193.69"/>
        <n v="877.82199999999966"/>
        <n v="430.38999999999987"/>
        <n v="187.98700000000011"/>
        <n v="14.88"/>
        <n v="-10.69"/>
        <n v="699.73800000000028"/>
        <n v="2.389999999999993"/>
        <n v="47.88"/>
        <n v="-36.355999999999987"/>
        <n v="148.26"/>
        <n v="1493.93"/>
        <n v="49.47"/>
        <n v="31.169999999999991"/>
        <n v="73.52899999999994"/>
        <n v="33.044000000000011"/>
        <n v="1931.44"/>
        <n v="39.719999999999978"/>
        <n v="464.8200000000005"/>
        <n v="184.82000000000011"/>
        <n v="1940.73"/>
        <n v="125.72"/>
        <n v="20.760000000000009"/>
        <n v="62.024000000000022"/>
        <n v="-10.589"/>
        <n v="1258.53"/>
        <n v="83.260000000000019"/>
        <n v="640.09000000000049"/>
        <n v="-3.3060000000000009"/>
        <n v="2290.2600000000002"/>
        <n v="94.72999999999999"/>
        <n v="-29.140000000000011"/>
        <n v="596.00700000000018"/>
        <n v="48.72999999999999"/>
        <n v="45.840000000000032"/>
        <n v="-21.06"/>
        <n v="447.80200000000019"/>
        <n v="33.222000000000008"/>
        <n v="180.55999999999989"/>
        <n v="39.594000000000008"/>
        <n v="75.978000000000222"/>
        <n v="15.03999999999999"/>
        <n v="156.214"/>
        <n v="187.69"/>
        <n v="63.689999999999991"/>
        <n v="69.939999999999969"/>
        <n v="385.04000000000008"/>
        <n v="116.72199999999999"/>
        <n v="757.9799999999999"/>
        <n v="911.44399999999996"/>
        <n v="0.147999999999989"/>
        <n v="307.56999999999988"/>
        <n v="122.3060000000001"/>
        <n v="79.439999999999984"/>
        <n v="147.47999999999999"/>
        <n v="-231.15399999999991"/>
        <n v="591.99999999999977"/>
        <n v="151.34"/>
        <n v="53.814000000000007"/>
        <n v="142.79300000000001"/>
        <n v="625.23000000000025"/>
        <n v="-8.7319999999999993"/>
        <n v="787.49400000000003"/>
        <n v="90.950000000000017"/>
        <n v="69.66"/>
        <n v="157.386"/>
        <n v="197.43"/>
        <n v="62.790000000000013"/>
        <n v="80.7"/>
        <n v="791.56999999999971"/>
        <n v="893.0200000000001"/>
        <n v="347.73000000000008"/>
        <n v="249.56000000000009"/>
        <n v="77.332999999999984"/>
        <n v="904.06000000000017"/>
        <n v="204.7"/>
        <n v="593.29"/>
        <n v="4507.829999999999"/>
        <n v="242.19"/>
        <n v="-32.091999999999977"/>
        <n v="-14.875999999999999"/>
        <n v="261.82000000000011"/>
        <n v="1891.92"/>
        <n v="-33.739999999999988"/>
        <n v="1209.03"/>
        <n v="-151.4880000000004"/>
        <n v="938.59999999999968"/>
        <n v="1213.05"/>
        <n v="4118.51"/>
        <n v="1581"/>
        <n v="923.80000000000007"/>
        <n v="204.62"/>
        <n v="51.45"/>
        <n v="5.6160000000000103"/>
        <n v="915.2"/>
        <n v="110.03"/>
        <n v="603.38"/>
        <n v="488.43600000000009"/>
        <n v="-20.38000000000001"/>
        <n v="178.45"/>
        <n v="427.79000000000008"/>
        <n v="1458.64"/>
        <n v="300.7399999999999"/>
        <n v="-17.79999999999999"/>
        <n v="240.87299999999999"/>
        <n v="329.44400000000002"/>
        <n v="212.54"/>
        <n v="1050.32"/>
        <n v="97.400000000000034"/>
        <n v="635.5200000000001"/>
        <n v="75.652000000000555"/>
        <n v="1093.98"/>
        <n v="1059.8"/>
        <n v="383.71000000000009"/>
        <n v="1482.58"/>
        <n v="23.070000000000011"/>
        <n v="923.28"/>
        <n v="-6.350000000000005"/>
        <n v="440.5000000000004"/>
        <n v="21.61"/>
        <n v="273.85000000000002"/>
        <n v="269.98799999999989"/>
        <n v="209.92"/>
        <n v="191.04"/>
        <n v="204.72"/>
        <n v="93.199999999999903"/>
        <n v="274.20999999999998"/>
        <n v="124.672"/>
        <n v="2957.5400000000009"/>
        <n v="1151.76"/>
        <n v="71.430000000000035"/>
        <n v="2513.9560000000001"/>
        <n v="118.31"/>
        <n v="1189.48"/>
        <n v="644.68000000000006"/>
        <n v="34.637000000000008"/>
        <n v="50.47"/>
        <n v="-67.23399999999998"/>
        <n v="217.6999999999999"/>
        <n v="89.622000000000043"/>
        <n v="703.28000000000009"/>
        <n v="246.04"/>
        <n v="299.10000000000002"/>
        <n v="90.340000000000018"/>
        <n v="398.97000000000008"/>
        <n v="55.099000000000011"/>
        <n v="145.30199999999999"/>
        <n v="750.13000000000022"/>
        <n v="1955.19"/>
        <n v="78.769999999999982"/>
        <n v="-16.665999999999979"/>
        <n v="7.8900000000000077"/>
        <n v="4453.5600000000004"/>
        <n v="34.950000000000038"/>
        <n v="1359.905"/>
        <n v="4927.38"/>
        <n v="34.320000000000007"/>
        <n v="223.42"/>
        <n v="201.89800000000011"/>
        <n v="526.65"/>
        <n v="128.22999999999999"/>
        <n v="14.960000000000029"/>
        <n v="842.32800000000009"/>
        <n v="1007.228"/>
        <n v="121.74"/>
        <n v="226.91399999999999"/>
        <n v="-14.692"/>
        <n v="1021.08"/>
        <n v="540.48000000000013"/>
        <n v="83.339999999999989"/>
        <n v="65"/>
        <n v="6183.9649999999992"/>
        <n v="53.431000000000012"/>
        <n v="76.260000000000019"/>
        <n v="132.69200000000001"/>
        <n v="76.47"/>
        <n v="-26.56"/>
        <n v="1841.27"/>
        <n v="108.44"/>
        <n v="265.67"/>
        <n v="696.69000000000017"/>
        <n v="872.33000000000015"/>
        <n v="1138.5880000000011"/>
        <n v="-1.7100000000000359"/>
        <n v="-21.902000000000001"/>
        <n v="-1.4399999999999979"/>
        <n v="70.416000000000011"/>
        <n v="-42.73599999999999"/>
        <n v="879.71"/>
        <n v="877.84000000000015"/>
        <n v="-4.9699999999999989"/>
        <n v="342.30099999999987"/>
        <n v="2925.39"/>
        <n v="2079.559999999999"/>
        <n v="9.8099999999999881"/>
        <n v="1139.32"/>
        <n v="369.15"/>
        <n v="24.270000000000021"/>
        <n v="896.58"/>
        <n v="226.3"/>
        <n v="52.539999999999992"/>
        <n v="84.569999999999965"/>
        <n v="-9.8099999999999987"/>
        <n v="154.71899999999999"/>
        <n v="-19.079999999999998"/>
        <n v="93.34000000000006"/>
        <n v="2527.5700000000002"/>
        <n v="-144.392"/>
        <n v="238.67999999999981"/>
        <n v="267.52200000000011"/>
        <n v="325.98"/>
        <n v="309.74000000000012"/>
        <n v="919.97999999999979"/>
        <n v="268.35000000000002"/>
        <n v="173.09"/>
        <n v="373.02900000000011"/>
        <n v="56.32000000000005"/>
        <n v="6722.76"/>
        <n v="-69.002000000000095"/>
        <n v="1411.75"/>
        <n v="634.11999999999966"/>
        <n v="675.28"/>
        <n v="114.651"/>
        <n v="85.098000000000013"/>
        <n v="2721.3"/>
        <n v="123.37"/>
        <n v="90.539999999999992"/>
        <n v="3117.8000000000011"/>
        <n v="-6.2389999999999439"/>
        <n v="822.40000000000032"/>
        <n v="2497.3000000000002"/>
        <n v="1268.8"/>
        <n v="40.342000000000013"/>
        <n v="87.85"/>
        <n v="586.04600000000005"/>
        <n v="137.096"/>
        <n v="2.9200000000000088"/>
        <n v="2518.0120000000002"/>
        <n v="243.07"/>
        <n v="162.31"/>
        <n v="1028.45"/>
        <n v="399.4899999999999"/>
        <n v="1444.3040000000001"/>
        <n v="-45.209999999999987"/>
        <n v="338.50999999999988"/>
        <n v="-8.1100000000000065"/>
        <n v="399.65599999999978"/>
        <n v="727.53"/>
        <n v="49.620000000000012"/>
        <n v="122.43"/>
        <n v="124.218"/>
        <n v="19.36800000000008"/>
        <n v="54.48"/>
        <n v="168.17599999999999"/>
        <n v="216.32"/>
        <n v="242.42"/>
        <n v="255.66300000000001"/>
        <n v="512.20399999999995"/>
        <n v="76.251000000000005"/>
        <n v="1888.78"/>
        <n v="483.31200000000013"/>
        <n v="6.8400000000000034"/>
        <n v="223.75"/>
        <n v="412.5"/>
        <n v="27.739999999999991"/>
        <n v="602.4"/>
        <n v="1249.8800000000001"/>
        <n v="31.379999999999981"/>
        <n v="59.722000000000023"/>
        <n v="-22.803999999999998"/>
        <n v="105.49"/>
        <n v="725.33000000000015"/>
        <n v="84.779999999999973"/>
        <n v="-25.619999999999958"/>
        <n v="176.2"/>
        <n v="676.47"/>
        <n v="713.83000000000015"/>
        <n v="20.61000000000001"/>
        <n v="1130.98"/>
        <n v="251.09"/>
        <n v="10.98800000000001"/>
        <n v="-9.5400000000000027"/>
        <n v="940.89800000000037"/>
        <n v="458.08"/>
        <n v="684.29"/>
        <n v="2413.1250000000009"/>
        <n v="575.96300000000019"/>
        <n v="115.08"/>
        <n v="73.09800000000007"/>
        <n v="251.38"/>
        <n v="232.1400000000001"/>
        <n v="114.47799999999989"/>
        <n v="404.73"/>
        <n v="31.04"/>
        <n v="11.96000000000001"/>
        <n v="1686.39"/>
        <n v="2666.2800000000011"/>
        <n v="-27.456"/>
        <n v="282.22200000000009"/>
        <n v="-9.6920000000000073"/>
        <n v="151.11000000000001"/>
        <n v="5491.3999999999978"/>
        <n v="96.089999999999947"/>
        <n v="1233.5899999999999"/>
        <n v="-64.218999999999966"/>
        <n v="378.4"/>
        <n v="333.50999999999988"/>
        <n v="224.22000000000011"/>
        <n v="2712.387999999999"/>
        <n v="47.059999999999981"/>
        <n v="544.13"/>
        <n v="-4.652000000000001"/>
        <n v="53.22"/>
        <n v="1051.5"/>
        <n v="446.26999999999992"/>
        <n v="18.968"/>
        <n v="7.5059999999999789"/>
        <n v="96.599999999999937"/>
        <n v="128.46799999999979"/>
        <n v="36.709999999999972"/>
        <n v="324.19000000000011"/>
        <n v="1202.951"/>
        <n v="223.61"/>
        <n v="15.53999999999999"/>
        <n v="15.509999999999989"/>
        <n v="4122.630000000001"/>
        <n v="4246.8200000000006"/>
        <n v="86.763000000000005"/>
        <n v="697.51"/>
        <n v="-2.363999999999987"/>
        <n v="9.6779999999999866"/>
        <n v="279.56000000000012"/>
        <n v="1299.5"/>
        <n v="2240.4790000000021"/>
        <n v="1308.78"/>
        <n v="126.12"/>
        <n v="2962.6599999999989"/>
        <n v="-33.785999999999987"/>
        <n v="-17.650000000000009"/>
        <n v="2016.65"/>
        <n v="4591.05"/>
        <n v="2464.0259999999998"/>
        <n v="128.733"/>
        <n v="-3.9200000000000021"/>
        <n v="0.64999999999999858"/>
        <n v="18.149999999999999"/>
        <n v="56.689999999999984"/>
        <n v="164.4680000000001"/>
        <n v="-38.580000000000013"/>
        <n v="265.24"/>
        <n v="587.8839999999999"/>
        <n v="-145.67599999999999"/>
        <n v="1955.49"/>
        <n v="23.652000000000019"/>
        <n v="1155.45"/>
        <n v="155.66999999999999"/>
        <n v="41.841999999999977"/>
        <n v="78.589999999999975"/>
        <n v="313.31000000000012"/>
        <n v="227.22"/>
        <n v="1424.09"/>
        <n v="966.84599999999989"/>
        <n v="236.05"/>
        <n v="237.76"/>
        <n v="774.99000000000024"/>
        <n v="54.867999999999981"/>
        <n v="12.375000000000011"/>
        <n v="308.81"/>
        <n v="124.24"/>
        <n v="-16.789999999999981"/>
        <n v="154.84"/>
        <n v="4140.5"/>
        <n v="-39.880000000000003"/>
        <n v="749.06"/>
        <n v="841.15000000000009"/>
        <n v="420.49"/>
        <n v="419.87600000000009"/>
        <n v="2214.1600000000012"/>
        <n v="396.07"/>
        <n v="44.950000000000053"/>
        <n v="1141.33"/>
        <n v="253.7399999999999"/>
        <n v="129.53"/>
        <n v="89.262000000000086"/>
        <n v="186.42099999999999"/>
        <n v="-19.64"/>
        <n v="64.02"/>
        <n v="767.10200000000032"/>
        <n v="1019.09"/>
        <n v="455.34999999999991"/>
        <n v="438.66199999999998"/>
        <n v="11.054000000000009"/>
        <n v="39.577999999999982"/>
        <n v="1982.98"/>
        <n v="1215.3599999999999"/>
        <n v="30.09"/>
        <n v="341.46999999999991"/>
        <n v="498.13"/>
        <n v="20.81999999999999"/>
        <n v="78.850000000000023"/>
        <n v="660.59999999999991"/>
        <n v="755.46500000000015"/>
        <n v="213.48"/>
        <n v="503.87700000000001"/>
        <n v="197.18400000000051"/>
        <n v="80.921999999999997"/>
        <n v="56.97000000000002"/>
        <n v="434.31799999999993"/>
        <n v="211.98"/>
        <n v="48.23"/>
        <n v="89.64"/>
        <n v="1698.89"/>
        <n v="274.31000000000012"/>
        <n v="560.16"/>
        <n v="2043.86"/>
        <n v="63.279999999999987"/>
        <n v="758.43399999999986"/>
        <n v="130.72"/>
        <n v="94.609999999999985"/>
        <n v="55.05"/>
        <n v="-50.851999999999947"/>
        <n v="0.33000000000001251"/>
        <n v="292.2399999999999"/>
        <n v="-21.72"/>
        <n v="42.820000000000007"/>
        <n v="255.23"/>
        <n v="862.58000000000015"/>
        <n v="164.57"/>
        <n v="-11.422000000000001"/>
        <n v="4554.03"/>
        <n v="248"/>
        <n v="-22.740000000000009"/>
        <n v="177.54"/>
        <n v="94.31"/>
        <n v="598.69000000000005"/>
        <n v="28.756"/>
        <n v="44.760000000000012"/>
        <n v="1277.1500000000001"/>
        <n v="628.41000000000008"/>
        <n v="176.68"/>
        <n v="50.489999999999988"/>
        <n v="102.69"/>
        <n v="3509.7040000000002"/>
        <n v="48.267999999999979"/>
        <n v="31.999999999999979"/>
        <n v="771.92399999999975"/>
        <n v="196.73"/>
        <n v="94.35599999999998"/>
        <n v="142.01"/>
        <n v="1074.9639999999999"/>
        <n v="612.70900000000006"/>
        <n v="317.87"/>
        <n v="-25.88"/>
        <n v="39.111999999999988"/>
        <n v="354.37999999999988"/>
        <n v="50.83700000000016"/>
        <n v="182.70500000000001"/>
        <n v="1063.72"/>
        <n v="93.328000000000031"/>
        <n v="154.51300000000001"/>
        <n v="77.606000000000009"/>
        <n v="83.756000000000029"/>
        <n v="286"/>
        <n v="411.27"/>
        <n v="233.173"/>
        <n v="121.07"/>
        <n v="356.66200000000032"/>
        <n v="36.024000000000058"/>
        <n v="65.490000000000052"/>
        <n v="195.41499999999999"/>
        <n v="293.64999999999998"/>
        <n v="587.88599999999985"/>
        <n v="44.809999999999988"/>
        <n v="57.257000000000097"/>
        <n v="106.70399999999999"/>
        <n v="2728.39"/>
        <n v="512.33000000000015"/>
        <n v="99.291999999999945"/>
        <n v="309.33100000000002"/>
        <n v="1.110000000000003"/>
        <n v="1185.5900000000011"/>
        <n v="484.17000000000041"/>
        <n v="245.82"/>
        <n v="1672.66"/>
        <n v="-10.282999999999999"/>
        <n v="443.6"/>
        <n v="358.51"/>
        <n v="313.42999999999989"/>
        <n v="-7.7400000000000091"/>
        <n v="63.866999999999997"/>
        <n v="15.733999999999989"/>
        <n v="5650.4400000000014"/>
        <n v="63.256000000000022"/>
        <n v="2111.7199999999998"/>
        <n v="367.32999999999993"/>
        <n v="1186.252"/>
        <n v="75.429999999999978"/>
        <n v="-7.3000000000000007"/>
        <n v="2650.1600000000021"/>
        <n v="64.949999999999946"/>
        <n v="477.64"/>
        <n v="149.5499999999999"/>
        <n v="106.49"/>
        <n v="687.14"/>
        <n v="190.96799999999999"/>
        <n v="2025.86"/>
        <n v="519.62"/>
        <n v="1475.0519999999999"/>
        <n v="58.619999999999983"/>
        <n v="741.54"/>
        <n v="2137.09"/>
        <n v="250.94"/>
        <n v="72.410000000000039"/>
        <n v="2448.2399999999998"/>
        <n v="264.44999999999987"/>
        <n v="57.370000000000019"/>
        <n v="92.18799999999996"/>
        <n v="196.44"/>
        <n v="108.8"/>
        <n v="5.9099999999999966"/>
        <n v="52.31"/>
        <n v="62.240000000000023"/>
        <n v="475.85"/>
        <n v="-14.13"/>
        <n v="299.45999999999998"/>
        <n v="2135.110000000001"/>
        <n v="383.28000000000009"/>
        <n v="213.4499999999999"/>
        <n v="285.77"/>
        <n v="697.28000000000009"/>
        <n v="103.42"/>
        <n v="4841.5899999999992"/>
        <n v="37.850000000000009"/>
        <n v="-7.6599999999999966"/>
        <n v="387.82400000000001"/>
        <n v="1.480000000000004"/>
        <n v="251.52"/>
        <n v="2493.9299999999998"/>
        <n v="157.21299999999999"/>
        <n v="237.77"/>
        <n v="1333.69"/>
        <n v="153.01800000000009"/>
        <n v="66.400000000000006"/>
        <n v="1.209999999999994"/>
        <n v="2.47000000000001"/>
        <n v="154.364"/>
        <n v="463.93999999999983"/>
        <n v="128.40799999999999"/>
        <n v="1366.67"/>
        <n v="428.74000000000012"/>
        <n v="109.71"/>
        <n v="131.3000000000001"/>
        <n v="210.72"/>
        <n v="83.829999999999913"/>
        <n v="-25.84999999999998"/>
        <n v="66.519999999999982"/>
        <n v="36.33"/>
        <n v="182.51"/>
        <n v="184.35599999999999"/>
        <n v="566.16"/>
        <n v="140.07"/>
        <n v="476.56000000000012"/>
        <n v="-9.86"/>
        <n v="453.03800000000018"/>
        <n v="267.48000000000008"/>
        <n v="97.950000000000017"/>
        <n v="-52.967999999999947"/>
        <n v="112.48"/>
        <n v="155.41"/>
        <n v="175.37"/>
        <n v="1897.33"/>
        <n v="651.27"/>
        <n v="-188.2759999999999"/>
        <n v="888.9880000000004"/>
        <n v="782.12"/>
        <n v="3662.5059999999989"/>
        <n v="-35.675999999999974"/>
        <n v="171.44"/>
        <n v="-5.8300000000000054"/>
        <n v="598.82400000000007"/>
        <n v="132.13800000000001"/>
        <n v="1481.576"/>
        <n v="78.150000000000006"/>
        <n v="185.60000000000011"/>
        <n v="368.04000000000008"/>
        <n v="8.0940000000000403"/>
        <n v="-21.73"/>
        <n v="2.177000000000024"/>
        <n v="3566.7699999999982"/>
        <n v="784.73099999999988"/>
        <n v="143.614"/>
        <n v="939.18999999999983"/>
        <n v="21.56999999999999"/>
        <n v="232.69800000000001"/>
        <n v="-55.549999999999983"/>
        <n v="1118.5999999999999"/>
        <n v="257.53800000000001"/>
        <n v="408.88799999999998"/>
        <n v="59.985999999999997"/>
        <n v="37.686"/>
        <n v="-5.2679999999999936"/>
        <n v="488.16"/>
        <n v="272.43000000000012"/>
        <n v="124.41"/>
        <n v="-19.001999999999999"/>
        <n v="3997.41"/>
        <n v="65.722000000000008"/>
        <n v="20.111999999999991"/>
        <n v="321.08999999999997"/>
        <n v="274.63799999999981"/>
        <n v="76.569999999999979"/>
        <n v="-31.359000000000009"/>
        <n v="257.24200000000002"/>
        <n v="-13.888"/>
        <n v="68.902000000000115"/>
        <n v="123.66"/>
        <n v="25.035000000000021"/>
        <n v="66.610000000000014"/>
        <n v="39.094000000000051"/>
        <n v="1092.4680000000001"/>
        <n v="150.13999999999999"/>
        <n v="132.5"/>
        <n v="3146.438000000001"/>
        <n v="-19.094000000000008"/>
        <n v="103.3400000000001"/>
        <n v="15.68000000000001"/>
        <n v="3622.62"/>
        <n v="105.58"/>
        <n v="36.009999999999991"/>
        <n v="233.11400000000009"/>
        <n v="94.080000000000013"/>
        <n v="552.23"/>
        <n v="94.51600000000002"/>
        <n v="22.640000000000011"/>
        <n v="101.259"/>
        <n v="-20.847999999999999"/>
        <n v="71.449999999999989"/>
        <n v="238.0500000000001"/>
        <n v="203.77699999999999"/>
        <n v="340.77"/>
        <n v="713.92200000000003"/>
        <n v="123.41"/>
        <n v="-34.722000000000008"/>
        <n v="79.449999999999974"/>
        <n v="33.380000000000003"/>
        <n v="220.44"/>
        <n v="71.417999999999978"/>
        <n v="239.64"/>
        <n v="454.44000000000011"/>
        <n v="1465.1210000000001"/>
        <n v="518.85"/>
        <n v="1059.42"/>
        <n v="508.47300000000013"/>
        <n v="192.58199999999991"/>
        <n v="758.87999999999977"/>
        <n v="30.961999999999989"/>
        <n v="1619.09"/>
        <n v="85.85"/>
        <n v="9.0899999999999963"/>
        <n v="871.81"/>
        <n v="6998.5"/>
        <n v="1242.73"/>
        <n v="1464.48"/>
        <n v="3182.77"/>
        <n v="2622.5499999999988"/>
        <n v="223.41800000000001"/>
        <n v="200.61"/>
        <n v="3429.95"/>
        <n v="312.70999999999998"/>
        <n v="-44.638000000000012"/>
        <n v="71.676000000000002"/>
        <n v="536.54999999999984"/>
        <n v="129.11600000000041"/>
        <n v="657.90000000000009"/>
        <n v="132.16999999999999"/>
        <n v="79.490000000000038"/>
        <n v="1682.57"/>
        <n v="1749.89"/>
        <n v="1702.18"/>
        <n v="2294.5129999999999"/>
        <n v="342.99"/>
        <n v="-79.267999999999844"/>
        <n v="104.392"/>
        <n v="116.51"/>
        <n v="335.01"/>
        <n v="1252.1099999999999"/>
        <n v="20.94"/>
        <n v="-20.13"/>
        <n v="2356.0300000000002"/>
      </sharedItems>
    </cacheField>
    <cacheField name="margem_lucro_pct" numFmtId="10">
      <sharedItems containsSemiMixedTypes="0" containsString="0" containsNumber="1" minValue="-1.281285602926185" maxValue="0.85366625955579667" count="1000">
        <n v="0.2071585660740124"/>
        <n v="0.56729607824401762"/>
        <n v="0.37160475701071788"/>
        <n v="0.36964627632772351"/>
        <n v="0.21759677662298529"/>
        <n v="0.34043680319776543"/>
        <n v="-3.6878928020870463E-2"/>
        <n v="0.22974425717446481"/>
        <n v="0.1093293688372063"/>
        <n v="0.1199049010340581"/>
        <n v="0.56221820637789099"/>
        <n v="0.52295005961054442"/>
        <n v="0.14373648601520539"/>
        <n v="0.1344498874619357"/>
        <n v="0.17679685096423409"/>
        <n v="0.6735485223223644"/>
        <n v="-1.902391577983753E-2"/>
        <n v="0.25947712418300661"/>
        <n v="0.1612858781297942"/>
        <n v="0.30496655802934508"/>
        <n v="-2.163087457205096E-2"/>
        <n v="-0.31345452297038301"/>
        <n v="0.31637904934907662"/>
        <n v="0.31784316529924977"/>
        <n v="0.27595010658318408"/>
        <n v="0.57861916844950834"/>
        <n v="0.39991542148294329"/>
        <n v="0.31415700617857961"/>
        <n v="0.13417975275643171"/>
        <n v="0.55703012912482075"/>
        <n v="0.54148424448412935"/>
        <n v="0.12989896746974561"/>
        <n v="0.57637329741056731"/>
        <n v="0.58869842015315776"/>
        <n v="0.42947654017840231"/>
        <n v="0.20861792998526171"/>
        <n v="0.23130359553977811"/>
        <n v="0.51758206424834119"/>
        <n v="0.45357268342543211"/>
        <n v="0.47765206591542458"/>
        <n v="0.26420894541699907"/>
        <n v="5.0426265191365942E-2"/>
        <n v="0.35950330397106478"/>
        <n v="0.38971480684248999"/>
        <n v="0.36936936936936943"/>
        <n v="0.29030425451331893"/>
        <n v="-4.3341762081995569E-2"/>
        <n v="0.57948426329960079"/>
        <n v="0.16079486610445329"/>
        <n v="5.6809631301730577E-2"/>
        <n v="0.33347587324450839"/>
        <n v="0.33189821134796449"/>
        <n v="0.48678525464239752"/>
        <n v="0.33171274171016829"/>
        <n v="0.20120067096318531"/>
        <n v="0.26023657870791628"/>
        <n v="0.32264067509304639"/>
        <n v="9.9332858687340139E-2"/>
        <n v="0.61921930724510232"/>
        <n v="0.21774773479073781"/>
        <n v="0.62053099546104584"/>
        <n v="0.80776022377447543"/>
        <n v="0.47085339440175478"/>
        <n v="0.5508214848022307"/>
        <n v="0.25132832080200501"/>
        <n v="6.6673859100226482E-2"/>
        <n v="0.52271278049372971"/>
        <n v="0.44498000315362463"/>
        <n v="0.2005478961411086"/>
        <n v="-0.1518892630003742"/>
        <n v="0.64187040349831048"/>
        <n v="0.32928904839490952"/>
        <n v="0.47177616100388442"/>
        <n v="0.61367181134622995"/>
        <n v="0.40999788679736021"/>
        <n v="0.1169661021805783"/>
        <n v="0.38727925906837862"/>
        <n v="0.42624220729970219"/>
        <n v="0.19765103738232331"/>
        <n v="0.12872741327664511"/>
        <n v="0.28747221645401189"/>
        <n v="0.1174981007850089"/>
        <n v="0.4937664041994751"/>
        <n v="0.15467784642541929"/>
        <n v="0.35487873226119732"/>
        <n v="0.1516227969787137"/>
        <n v="0.26428614748414869"/>
        <n v="0.29417167668670691"/>
        <n v="6.920757328588372E-4"/>
        <n v="0.512093586973705"/>
        <n v="0.3660295057372267"/>
        <n v="5.9729595773273261E-2"/>
        <n v="-0.22485055508112731"/>
        <n v="0.50951032644903405"/>
        <n v="0.54271860892827295"/>
        <n v="-0.16633466135458169"/>
        <n v="0.48123684877621598"/>
        <n v="0.47996347508478998"/>
        <n v="0.67428836412927151"/>
        <n v="0.37187675070028009"/>
        <n v="0.18655299257665689"/>
        <n v="3.1919980871921647E-2"/>
        <n v="0.45365634298726532"/>
        <n v="0.65701363385756861"/>
        <n v="0.34075705162621789"/>
        <n v="2.172114051398457E-2"/>
        <n v="-0.98643205427178293"/>
        <n v="-0.34838782159307929"/>
        <n v="0.26301078779235432"/>
        <n v="3.6796857264122053E-2"/>
        <n v="0.32448896899582241"/>
        <n v="0.40538768343701898"/>
        <n v="0.42165871645547393"/>
        <n v="0.56892516571694374"/>
        <n v="0.30972408468446511"/>
        <n v="0.29123647984267448"/>
        <n v="-0.30264610200999198"/>
        <n v="0.71469620187033078"/>
        <n v="0.50753726844933866"/>
        <n v="0.49200813716942737"/>
        <n v="0.1101518026565465"/>
        <n v="0.25468248740561827"/>
        <n v="0.4874423065395912"/>
        <n v="0.30130448615972011"/>
        <n v="0.46314174693191718"/>
        <n v="0.1306598564329102"/>
        <n v="7.967853042479911E-2"/>
        <n v="8.2494514297655974E-2"/>
        <n v="0.18926980437730009"/>
        <n v="0.30739817123857022"/>
        <n v="0.31839548730805378"/>
        <n v="0.43593747320210852"/>
        <n v="0.33438599895909599"/>
        <n v="8.4020035546938154E-2"/>
        <n v="0.4405788247007445"/>
        <n v="8.2166797610773792E-2"/>
        <n v="0.21306657872558729"/>
        <n v="0.29365188343465021"/>
        <n v="-9.2252690549904107E-2"/>
        <n v="0.13988610421213729"/>
        <n v="0.31722293979653537"/>
        <n v="0.26392143918138311"/>
        <n v="0.20053635820030069"/>
        <n v="0.28928266782547118"/>
        <n v="0.13988329031534061"/>
        <n v="0.28583572220711012"/>
        <n v="0.39222465954022517"/>
        <n v="0.29540928700681279"/>
        <n v="0.14094486142709661"/>
        <n v="0.29528571105021179"/>
        <n v="0.1482039810672372"/>
        <n v="0.56642604289581455"/>
        <n v="0.23692026502170449"/>
        <n v="2.0044876589379149E-2"/>
        <n v="0.40625838545214349"/>
        <n v="-0.16904878496664019"/>
        <n v="9.9602390300251711E-2"/>
        <n v="0.53684284116331105"/>
        <n v="0.35230100607913539"/>
        <n v="0.23987148170154721"/>
        <n v="0.39371990960600012"/>
        <n v="0.53940172159604316"/>
        <n v="0.14914628518689421"/>
        <n v="0.50117714985072792"/>
        <n v="0.2310834945676439"/>
        <n v="0.40307291003944529"/>
        <n v="0.31691089199306138"/>
        <n v="0.24821032360698289"/>
        <n v="0.16760675190106131"/>
        <n v="0.13680040789112449"/>
        <n v="0.32073966178501928"/>
        <n v="0.22409078479628111"/>
        <n v="0.35723221266614552"/>
        <n v="0.56880630291344036"/>
        <n v="0.44307377174477991"/>
        <n v="0.53467949729189668"/>
        <n v="0.23299865828471511"/>
        <n v="0.186792316684225"/>
        <n v="0.1206692135423528"/>
        <n v="0.29571591065385228"/>
        <n v="0.32154629907102178"/>
        <n v="0.42993541962599041"/>
        <n v="0.28732755751227318"/>
        <n v="0.60978553523349732"/>
        <n v="2.2423878806059731E-2"/>
        <n v="0.2400837644740085"/>
        <n v="0.36244732349101128"/>
        <n v="0.56421788176699061"/>
        <n v="0.23570139110119989"/>
        <n v="0.42304927254917818"/>
        <n v="0.16704113538916671"/>
        <n v="0.53037628219885913"/>
        <n v="0.3446910745523421"/>
        <n v="0.37642342000379581"/>
        <n v="0.39187834802142729"/>
        <n v="0.32253449628501552"/>
        <n v="0.28869191178159531"/>
        <n v="-0.144116555308092"/>
        <n v="0.1221379545831885"/>
        <n v="0.4384436460171196"/>
        <n v="0.18776998375143669"/>
        <n v="0.24715025906735749"/>
        <n v="0.1682148516474509"/>
        <n v="0.33647117627457518"/>
        <n v="-0.1005736604418405"/>
        <n v="0.4013354700854701"/>
        <n v="-3.177506775067749E-2"/>
        <n v="0.25937351684859988"/>
        <n v="0.52074156126295545"/>
        <n v="0.43516522988505729"/>
        <n v="0.62790051796203461"/>
        <n v="0.18546864128814239"/>
        <n v="0.2347763507528787"/>
        <n v="-0.1322739645405723"/>
        <n v="0.21737273659036549"/>
        <n v="8.0037108880829794E-2"/>
        <n v="0.46052099847679451"/>
        <n v="0.4825749470175511"/>
        <n v="0.30244678031975958"/>
        <n v="0.45150841415264309"/>
        <n v="0.35485480163465488"/>
        <n v="-0.1680354081919819"/>
        <n v="0.40872843450479229"/>
        <n v="0.31242947274164301"/>
        <n v="0.2262627099339394"/>
        <n v="0.21657041314971129"/>
        <n v="0.55978587366975618"/>
        <n v="0.231623808839726"/>
        <n v="0.35040445802624481"/>
        <n v="8.8350408949556911E-2"/>
        <n v="0.33477023180154541"/>
        <n v="0.2014592019058965"/>
        <n v="0.26423853641184852"/>
        <n v="0.22517033816828999"/>
        <n v="0.43735375266301119"/>
        <n v="0.27670062799174389"/>
        <n v="0.10961122501858819"/>
        <n v="0.37086092715231778"/>
        <n v="0.30326602670197511"/>
        <n v="0.40952523513709049"/>
        <n v="0.49914117173620731"/>
        <n v="-2.6041128448899491E-2"/>
        <n v="0.34577523131553473"/>
        <n v="0.31831113790327631"/>
        <n v="0.28378971884621801"/>
        <n v="-1.0547365597296881E-3"/>
        <n v="3.880244922030833E-2"/>
        <n v="0.22885541152752339"/>
        <n v="-2.1660181047702159E-2"/>
        <n v="0.47529047678258102"/>
        <n v="0.34007172941023789"/>
        <n v="0.2299723756906078"/>
        <n v="0.2471380911885917"/>
        <n v="0.50259490971136078"/>
        <n v="-4.8510430048326961E-2"/>
        <n v="-0.23340743093045421"/>
        <n v="0.48222040507077663"/>
        <n v="0.3460865894838398"/>
        <n v="0.20257912869884401"/>
        <n v="0.54512873765210224"/>
        <n v="0.43668522302868018"/>
        <n v="0.41559468901136137"/>
        <n v="0.21402203334491879"/>
        <n v="-0.32766225582860747"/>
        <n v="0.35488015645608773"/>
        <n v="0.2098957032597191"/>
        <n v="0.49696322234751822"/>
        <n v="0.1616916070266754"/>
        <n v="0.40653766501537258"/>
        <n v="0.78846237541889719"/>
        <n v="6.4185478950579689E-2"/>
        <n v="0.44301496432462828"/>
        <n v="0.13624084301330491"/>
        <n v="0.39095565440086272"/>
        <n v="0.1122680364662872"/>
        <n v="0.46454118261323579"/>
        <n v="0.35355502771179731"/>
        <n v="0.47443525371257189"/>
        <n v="0.71956437183975108"/>
        <n v="0.56398425704303146"/>
        <n v="-6.6640109264739206E-2"/>
        <n v="0.110832422767458"/>
        <n v="0.37527010804321731"/>
        <n v="0.3405700543037678"/>
        <n v="0.27574543448596228"/>
        <n v="0.6054007876148606"/>
        <n v="0.33158359064843412"/>
        <n v="0.57535905866066794"/>
        <n v="0.3416547984224364"/>
        <n v="0.69436684846296615"/>
        <n v="0.31879746339935811"/>
        <n v="0.2126592111864572"/>
        <n v="0.15189939469839289"/>
        <n v="0.41798095836944399"/>
        <n v="0.31223482979773048"/>
        <n v="0.53259929748716572"/>
        <n v="0.48470098803952161"/>
        <n v="0.14845089706310971"/>
        <n v="0.43043219938757787"/>
        <n v="0.2834105720492397"/>
        <n v="0.26507448158384173"/>
        <n v="0.49002753590831288"/>
        <n v="0.25832421666806921"/>
        <n v="0.17080820963592361"/>
        <n v="0.6340100103502887"/>
        <n v="0.43096483109671452"/>
        <n v="0.35697175366803069"/>
        <n v="0.47901167526472987"/>
        <n v="0.43487253607117038"/>
        <n v="0.21696918531025761"/>
        <n v="0.27108846869795239"/>
        <n v="0.35413726690985248"/>
        <n v="0.44448001652380448"/>
        <n v="0.36882108389886548"/>
        <n v="9.2907092907092925E-2"/>
        <n v="-0.1113541666666667"/>
        <n v="0.37459849419262009"/>
        <n v="1.6083445491251638E-2"/>
        <n v="0.39088905216752379"/>
        <n v="-0.20426555195972659"/>
        <n v="0.43277482631794029"/>
        <n v="0.61853284091285488"/>
        <n v="0.2064518821467323"/>
        <n v="0.20667020289086321"/>
        <n v="0.29936202003916612"/>
        <n v="0.13565194545021639"/>
        <n v="0.44332942361941569"/>
        <n v="0.1825871104164751"/>
        <n v="7.1622721053215557E-2"/>
        <n v="0.33515277903708413"/>
        <n v="0.6550987341772152"/>
        <n v="0.29953302201467652"/>
        <n v="0.16069355213251801"/>
        <n v="0.33128231423321802"/>
        <n v="-0.149138744524725"/>
        <n v="0.46908790016884522"/>
        <n v="0.24674016121384551"/>
        <n v="0.13647217851462401"/>
        <n v="-4.5223243598161537E-2"/>
        <n v="0.54906764992160495"/>
        <n v="0.35620816725577192"/>
        <n v="-0.38817104036232858"/>
        <n v="0.39228613910066168"/>
        <n v="0.41268631436314362"/>
        <n v="3.2514097244387717E-2"/>
        <n v="-0.51203501094091886"/>
        <n v="0.37463189527085827"/>
        <n v="0.34508475984710002"/>
        <n v="0.35133189344852411"/>
        <n v="0.23318845188875939"/>
        <n v="7.0004643757463375E-2"/>
        <n v="0.1430745814307457"/>
        <n v="0.67454573718391597"/>
        <n v="0.60455453198479669"/>
        <n v="0.25504565112926469"/>
        <n v="0.47043788255868679"/>
        <n v="0.28087068160597578"/>
        <n v="0.55892775053631627"/>
        <n v="0.2208682273545815"/>
        <n v="0.45857802393305508"/>
        <n v="1.195399327991641E-3"/>
        <n v="0.1855894669514741"/>
        <n v="0.2107648510415375"/>
        <n v="0.61873977724121809"/>
        <n v="0.43481337343003718"/>
        <n v="-0.11706987504659409"/>
        <n v="0.17205601120689151"/>
        <n v="0.47412280701754389"/>
        <n v="0.33419862877583473"/>
        <n v="0.45244500210707772"/>
        <n v="0.35974315157164322"/>
        <n v="-5.6332576383154413E-2"/>
        <n v="0.56510975053174539"/>
        <n v="0.3384311974399048"/>
        <n v="0.32281384679549557"/>
        <n v="0.1475840572534545"/>
        <n v="0.51530811995928272"/>
        <n v="0.50575916230366502"/>
        <n v="0.21667919664912469"/>
        <n v="0.16184943914876559"/>
        <n v="0.66224684271804346"/>
        <n v="0.41278490028490028"/>
        <n v="0.39724937123937482"/>
        <n v="0.37347570546162268"/>
        <n v="0.36401924664291041"/>
        <n v="0.34011231847938073"/>
        <n v="0.51458879039672489"/>
        <n v="0.63316042963268837"/>
        <n v="0.36997036448626691"/>
        <n v="-0.27176343066187902"/>
        <n v="-0.22835564288345811"/>
        <n v="0.557443365695793"/>
        <n v="0.5214055394791236"/>
        <n v="-0.24264653002517081"/>
        <n v="0.50108586633068364"/>
        <n v="-5.301617698936667E-2"/>
        <n v="0.33992713260272772"/>
        <n v="0.46615249821309163"/>
        <n v="0.46012141768667358"/>
        <n v="0.36140694971162879"/>
        <n v="0.76843094685532243"/>
        <n v="0.41624964400504499"/>
        <n v="0.21432141964508869"/>
        <n v="3.0759793182017409E-2"/>
        <n v="0.50375948126864611"/>
        <n v="0.47718796079451831"/>
        <n v="0.44495081338583842"/>
        <n v="0.56197879273209261"/>
        <n v="-0.2186460680184531"/>
        <n v="0.2889457407017601"/>
        <n v="0.38258388781569719"/>
        <n v="0.41050522334293948"/>
        <n v="0.5648335962737584"/>
        <n v="-0.1767451097209809"/>
        <n v="0.64933563012025786"/>
        <n v="0.5865917410936855"/>
        <n v="0.55396564756170663"/>
        <n v="0.40169655525851822"/>
        <n v="0.32414802981895641"/>
        <n v="0.41095677814852177"/>
        <n v="2.9601144416898519E-2"/>
        <n v="0.48631059545242389"/>
        <n v="0.52229023132952868"/>
        <n v="0.72958378491434228"/>
        <n v="0.40373623081845789"/>
        <n v="0.1075975933958305"/>
        <n v="0.56495985901703538"/>
        <n v="-4.9640400250156383E-2"/>
        <n v="0.18916945804345969"/>
        <n v="0.1376433121019108"/>
        <n v="0.29058169393688588"/>
        <n v="0.60079040828860575"/>
        <n v="0.51541936751129447"/>
        <n v="0.15477724035680429"/>
        <n v="0.47653631284916198"/>
        <n v="0.1027948734917167"/>
        <n v="0.16414059787618671"/>
        <n v="0.2117276234987229"/>
        <n v="0.35968078534005948"/>
        <n v="0.40365467716667902"/>
        <n v="0.16173074310555641"/>
        <n v="0.37931985582575489"/>
        <n v="0.40715121481175581"/>
        <n v="0.53892611672171564"/>
        <n v="0.59862202165394551"/>
        <n v="0.19672624625852661"/>
        <n v="0.48556859726765439"/>
        <n v="-0.39434356231231221"/>
        <n v="0.33724226604495522"/>
        <n v="0.34160974568518637"/>
        <n v="0.54265432098765443"/>
        <n v="0.59767769518534719"/>
        <n v="0.2528788109369452"/>
        <n v="0.40054979161124421"/>
        <n v="0.35386621254856049"/>
        <n v="0.23820517143734141"/>
        <n v="0.45994454151789099"/>
        <n v="0.38859792265651322"/>
        <n v="0.49764563946977258"/>
        <n v="0.30691603350866942"/>
        <n v="-0.14903777364429799"/>
        <n v="7.1923427529626327E-2"/>
        <n v="0.38142073133131899"/>
        <n v="0.1206670349399255"/>
        <n v="0.3705306724102933"/>
        <n v="0.4632740649908032"/>
        <n v="0.40920222930333028"/>
        <n v="0.13687485044268971"/>
        <n v="0.46002429633290087"/>
        <n v="0.57725055609878839"/>
        <n v="0.26028229991400531"/>
        <n v="0.16033961037337141"/>
        <n v="6.6089415091005591E-2"/>
        <n v="0.63348269280231762"/>
        <n v="0.49353164208386863"/>
        <n v="0.36199821587867981"/>
        <n v="0.22600905972486171"/>
        <n v="-0.10596618775604411"/>
        <n v="0.47196183925897173"/>
        <n v="0.20589714285714289"/>
        <n v="0.46467800390298297"/>
        <n v="0.32884751593645661"/>
        <n v="0.4608875041317263"/>
        <n v="0.34638997478136291"/>
        <n v="0.50121590535655614"/>
        <n v="0.2502810408697555"/>
        <n v="0.45008828722778099"/>
        <n v="-0.31243383131396307"/>
        <n v="0.4214377594975533"/>
        <n v="0.43708182184602989"/>
        <n v="0.51988180501741621"/>
        <n v="0.51062005277044864"/>
        <n v="0.58879551820728293"/>
        <n v="0.16056605135911459"/>
        <n v="-3.8259313122274E-3"/>
        <n v="-0.32357286372769178"/>
        <n v="-1.666859590230348E-2"/>
        <n v="0.42078089706356903"/>
        <n v="-1.281285602926185"/>
        <n v="0.42850810536980749"/>
        <n v="0.46180473357216889"/>
        <n v="-4.1368403529215912E-2"/>
        <n v="0.23695521400323"/>
        <n v="0.41419457328779929"/>
        <n v="0.31452156894773292"/>
        <n v="5.7726256325761963E-2"/>
        <n v="0.32447888631619121"/>
        <n v="0.42169294037011651"/>
        <n v="9.0018916212306746E-2"/>
        <n v="0.59623735644031839"/>
        <n v="0.35569457106032498"/>
        <n v="0.1760841879482539"/>
        <n v="0.18761646996184209"/>
        <n v="-0.1635272545424237"/>
        <n v="0.5502704778976345"/>
        <n v="-0.26500000000000001"/>
        <n v="0.1578475639659751"/>
        <n v="0.52609373471456433"/>
        <n v="-0.24205401925810691"/>
        <n v="0.15642018756266821"/>
        <n v="0.28090368998343068"/>
        <n v="0.28737415589682103"/>
        <n v="0.52395290615061918"/>
        <n v="0.25059381128786218"/>
        <n v="0.57732025300116163"/>
        <n v="0.28457984643966933"/>
        <n v="0.66019443249815501"/>
        <n v="9.4722325002522867E-2"/>
        <n v="0.48979181465493687"/>
        <n v="-7.7802383164503414E-2"/>
        <n v="0.37755099311890422"/>
        <n v="0.3438026924307237"/>
        <n v="0.4288036576073152"/>
        <n v="0.37701618870046461"/>
        <n v="0.40699609733700642"/>
        <n v="0.23404683516869129"/>
        <n v="0.59051311506796866"/>
        <n v="0.48118622448979592"/>
        <n v="0.37162677600839139"/>
        <n v="-1.9960903631610929E-2"/>
        <n v="0.54656139511391133"/>
        <n v="0.5629608589701105"/>
        <n v="0.72533113813190642"/>
        <n v="0.22639624674508399"/>
        <n v="0.25193576139948382"/>
        <n v="0.45070199400751831"/>
        <n v="0.46922402935217128"/>
        <n v="3.1756389342033807E-2"/>
        <n v="0.42925522357476181"/>
        <n v="0.25318736719303359"/>
        <n v="0.27018793800875612"/>
        <n v="0.58126193948025828"/>
        <n v="0.17230834260673031"/>
        <n v="0.19548439472281581"/>
        <n v="-0.49034707158351398"/>
        <n v="0.62049308037760054"/>
        <n v="-7.1460040532205546E-2"/>
        <n v="6.5162019713477265E-2"/>
        <n v="0.61833248342682312"/>
        <n v="0.46395511921458638"/>
        <n v="0.37745098039215691"/>
        <n v="0.3585059222830228"/>
        <n v="1.9374819936617771E-2"/>
        <n v="0.1786639556619552"/>
        <n v="0.17297501892505679"/>
        <n v="0.57345845925454642"/>
        <n v="0.55305363538886232"/>
        <n v="0.16289631681260641"/>
        <n v="0.39372625707771608"/>
        <n v="0.57599655539692252"/>
        <n v="0.51706598629026956"/>
        <n v="0.43179381620138091"/>
        <n v="8.3885209713024322E-2"/>
        <n v="0.61523867135943688"/>
        <n v="0.4004698846646732"/>
        <n v="0.20433117265763101"/>
        <n v="0.53002973938444753"/>
        <n v="0.54800310418758413"/>
        <n v="0.1155673406253452"/>
        <n v="0.1195702662011084"/>
        <n v="-0.1963559964179927"/>
        <n v="0.26575804907542699"/>
        <n v="0.37393155783764842"/>
        <n v="0.13788056206088989"/>
        <n v="-9.4218887908208149E-2"/>
        <n v="0.65923376234660269"/>
        <n v="0.45377525557433801"/>
        <n v="0.36214987646429142"/>
        <n v="0.152542372881356"/>
        <n v="0.36733964739967012"/>
        <n v="0.58679598036924507"/>
        <n v="0.13740496198479399"/>
        <n v="-0.1209432048681542"/>
        <n v="0.1145256687027911"/>
        <n v="0.68057288880965117"/>
        <n v="0.34600468223027869"/>
        <n v="0.2505782575173478"/>
        <n v="0.28519048333484359"/>
        <n v="0.1555135135135135"/>
        <n v="4.8703167724707022E-2"/>
        <n v="0.65808005445168727"/>
        <n v="0.24872498178545421"/>
        <n v="8.2357799379571855E-2"/>
        <n v="0.53461462254804837"/>
        <n v="0.2342641509433962"/>
        <n v="9.3715718539413947E-2"/>
        <n v="0.35818147062571681"/>
        <n v="0.57201333556450895"/>
        <n v="-0.55608214849921012"/>
        <n v="0.10791470890536679"/>
        <n v="-0.1482682658181374"/>
        <n v="0.51450459652706848"/>
        <n v="0.41163127840018943"/>
        <n v="0.16013932404506359"/>
        <n v="0.49203861034661572"/>
        <n v="-0.14262616571277539"/>
        <n v="0.34677101566151342"/>
        <n v="0.62089957925308104"/>
        <n v="0.2124200653687652"/>
        <n v="0.29809383513197107"/>
        <n v="0.17566256065696151"/>
        <n v="0.20426680481413911"/>
        <n v="-6.9590713259933004E-2"/>
        <n v="0.35802219979818362"/>
        <n v="0.3011401225180641"/>
        <n v="0.29137693508053708"/>
        <n v="9.2266682232534619E-2"/>
        <n v="9.7661129153134869E-3"/>
        <n v="7.9204998278152153E-2"/>
        <n v="0.1046422218022819"/>
        <n v="0.1007575341713783"/>
        <n v="0.45543817257171759"/>
        <n v="0.60286782323776766"/>
        <n v="0.37354872120412291"/>
        <n v="0.1898594990836896"/>
        <n v="0.14399777179463369"/>
        <n v="0.31239571351280088"/>
        <n v="0.44433493413687403"/>
        <n v="0.27800367198238979"/>
        <n v="0.37130431079455323"/>
        <n v="-3.5444404462036498E-2"/>
        <n v="7.4769387660501452E-2"/>
        <n v="0.16007604127300429"/>
        <n v="0.25467209130959673"/>
        <n v="0.23511477601867689"/>
        <n v="0.35230273517939781"/>
        <n v="0.53499618223466527"/>
        <n v="0.36082388847886071"/>
        <n v="-0.40038395904436841"/>
        <n v="-0.1661332831325302"/>
        <n v="0.47482988392079312"/>
        <n v="0.61596390391550748"/>
        <n v="0.30106167105058668"/>
        <n v="0.54621249729509558"/>
        <n v="-2.720333102012493E-2"/>
        <n v="2.494626957322684E-3"/>
        <n v="0.1083970377448638"/>
        <n v="0.4305460621250094"/>
        <n v="0.18039943489439381"/>
        <n v="-0.4544704912239369"/>
        <n v="0.39748834839425129"/>
        <n v="0.34219609842756638"/>
        <n v="-0.16153484493648429"/>
        <n v="0.4285930328892863"/>
        <n v="0.2127131448305635"/>
        <n v="0.43017658293590078"/>
        <n v="0.44918628808864269"/>
        <n v="0.21335767316635379"/>
        <n v="0.26746758329646392"/>
        <n v="0.73879928315412191"/>
        <n v="0.57526963390551422"/>
        <n v="0.44744713607942938"/>
        <n v="0.33320949429559249"/>
        <n v="0.58160449416054794"/>
        <n v="0.25439488128738191"/>
        <n v="0.37307562701583802"/>
        <n v="0.20699594066428231"/>
        <n v="0.1234845083071397"/>
        <n v="0.64108366203030931"/>
        <n v="0.45127311031201178"/>
        <n v="-0.1037316199184479"/>
        <n v="0.15758834066113009"/>
        <n v="0.52074817697262998"/>
        <n v="-0.56696047767984081"/>
        <n v="0.27148707912000292"/>
        <n v="0.40685582169252799"/>
        <n v="0.31758103984773878"/>
        <n v="0.54325032087111336"/>
        <n v="0.46528771573689409"/>
        <n v="0.68434238717257589"/>
        <n v="5.8942316518272829E-2"/>
        <n v="0.31771655406439903"/>
        <n v="0.21025156607338161"/>
        <n v="0.32794895814872022"/>
        <n v="4.4259398093606121E-2"/>
        <n v="0.2263047170235056"/>
        <n v="-0.59174450135583012"/>
        <n v="0.35857510921922259"/>
        <n v="0.2268571421811825"/>
        <n v="0.54333500389204625"/>
        <n v="0.19653670685019009"/>
        <n v="0.70374862430653817"/>
        <n v="1.1669397338017711E-2"/>
        <n v="0.1541391450648055"/>
        <n v="0.30256257676668269"/>
        <n v="0.35721402685806491"/>
        <n v="0.15073639915840101"/>
        <n v="0.27698734587929907"/>
        <n v="0.33822201400063823"/>
        <n v="0.1238990716496072"/>
        <n v="0.1163133749317756"/>
        <n v="0.45119868861416568"/>
        <n v="0.41442916663238077"/>
        <n v="0.33467634470973712"/>
        <n v="0.31797228043671272"/>
        <n v="3.4904369843576158E-2"/>
        <n v="0.54236538384203958"/>
        <n v="0.1924012158054712"/>
        <n v="0.38515387780583998"/>
        <n v="0.33468060248192238"/>
        <n v="0.38305138591057108"/>
        <n v="0.33378016085790879"/>
        <n v="0.3686835257889014"/>
        <n v="0.63418412169972727"/>
        <n v="0.44165510281317022"/>
        <n v="0.519389497651914"/>
        <n v="0.49701539428212382"/>
        <n v="0.45781903437352112"/>
        <n v="0.65229540918163675"/>
        <n v="0.41649057932734629"/>
        <n v="0.37520447110141769"/>
        <n v="-0.1160241667579307"/>
        <n v="1.0436432637571549E-3"/>
        <n v="0.20488659866091771"/>
        <n v="-0.30660643704121959"/>
        <n v="0.35179099572790012"/>
        <n v="0.35106324447745579"/>
        <n v="0.39019999004799583"/>
        <n v="0.43028211362982721"/>
        <n v="-0.13384424289296681"/>
        <n v="0.57337921344070586"/>
        <n v="0.49733285204347649"/>
        <n v="-0.3441804147116696"/>
        <n v="0.45943637916310848"/>
        <n v="0.28886030200006119"/>
        <n v="0.40210762452313148"/>
        <n v="3.5846154229711567E-2"/>
        <n v="0.32576419213973812"/>
        <n v="0.57609725292074521"/>
        <n v="0.52581770715666343"/>
        <n v="0.4434516339541188"/>
        <n v="0.37905405405405401"/>
        <n v="0.38132194578536949"/>
        <n v="0.41852472735763169"/>
        <n v="0.1923503016681411"/>
        <n v="0.23296447291787989"/>
        <n v="0.23442613392030659"/>
        <n v="0.37201694338338193"/>
        <n v="0.15845474880599719"/>
        <n v="0.34242380401234579"/>
        <n v="0.37573751880498191"/>
        <n v="0.41001185115590588"/>
        <n v="0.55978796844181455"/>
        <n v="-0.32451410658307211"/>
        <n v="0.2948688952217246"/>
        <n v="0.18711356808329771"/>
        <n v="3.8031520744635998E-2"/>
        <n v="0.29504477226299769"/>
        <n v="0.75229850915160257"/>
        <n v="0.23513168966889891"/>
        <n v="0.52092457174837237"/>
        <n v="0.30890910972590419"/>
        <n v="0.13757646239462809"/>
        <n v="0.73260073260073266"/>
        <n v="0.27747641986803218"/>
        <n v="0.63880738494245415"/>
        <n v="0.26665051537309492"/>
        <n v="0.1177307464799147"/>
        <n v="6.3384147628900919E-2"/>
        <n v="0.198979126788807"/>
        <n v="0.38243553989921242"/>
        <n v="0.168278873594572"/>
        <n v="0.35372712963364078"/>
        <n v="0.38629310344827578"/>
        <n v="0.10494183542366591"/>
        <n v="0.60235740414577976"/>
        <n v="0.47120743461808812"/>
        <n v="0.42670697782886091"/>
        <n v="0.27255408973873307"/>
        <n v="0.71665612525513689"/>
        <n v="1.0642377756471739E-2"/>
        <n v="0.16567312260697031"/>
        <n v="0.31262591042925791"/>
        <n v="0.39649666118261878"/>
        <n v="0.44585719007559532"/>
        <n v="-9.0227872980775142E-2"/>
        <n v="0.71626945682361298"/>
        <n v="0.23705961701227249"/>
        <n v="0.26776072990705302"/>
        <n v="-6.3882469461868679E-2"/>
        <n v="0.35247272305832877"/>
        <n v="8.6009161774191711E-2"/>
        <n v="0.54837451159648998"/>
        <n v="0.15957779594143229"/>
        <n v="0.30051686646857251"/>
        <n v="0.51838837143663563"/>
        <n v="0.2264102399667747"/>
        <n v="0.23727587291601129"/>
        <n v="-8.8786183410362457E-2"/>
        <n v="0.27843108826363011"/>
        <n v="0.16088281191944701"/>
        <n v="0.51756496109919159"/>
        <n v="0.12800760085252799"/>
        <n v="0.4132965924086005"/>
        <n v="0.50144491797536339"/>
        <n v="6.8424797862208772E-2"/>
        <n v="0.26764519367964912"/>
        <n v="0.40771138032766302"/>
        <n v="0.43556802860296551"/>
        <n v="0.2494680398331772"/>
        <n v="0.52654974082226802"/>
        <n v="0.48511242012552919"/>
        <n v="0.51033108273000893"/>
        <n v="8.0782274978803206E-2"/>
        <n v="0.70677082431191862"/>
        <n v="0.18467307732595889"/>
        <n v="0.27974448995513951"/>
        <n v="7.8254875862443604E-2"/>
        <n v="0.52521255547831658"/>
        <n v="0.36201503959539499"/>
        <n v="2.9821374508022989E-2"/>
        <n v="0.45337146819206098"/>
        <n v="0.14418421479370819"/>
        <n v="0.53173538942898646"/>
        <n v="-0.2453977075373393"/>
        <n v="0.41900097943192949"/>
        <n v="0.55015846839650606"/>
        <n v="0.29083072813913258"/>
        <n v="0.20558236296916979"/>
        <n v="0.24752278002979591"/>
        <n v="0.32095151297559538"/>
        <n v="0.36303004773939901"/>
        <n v="0.37855235637913159"/>
        <n v="0.34225517677909401"/>
        <n v="-0.14132841328413279"/>
        <n v="0.52167269283746553"/>
        <n v="1.182203051361933E-2"/>
        <n v="0.40823878852802259"/>
        <n v="0.54220584398643368"/>
        <n v="0.27244117957969199"/>
        <n v="0.57097231227337131"/>
        <n v="0.35812314888657948"/>
        <n v="0.22441329426361509"/>
        <n v="0.30554021719123869"/>
        <n v="7.6230076230075841E-3"/>
        <n v="3.3297384739822182E-2"/>
        <n v="0.1498877521692184"/>
        <n v="0.2836096439749608"/>
        <n v="0.21083395725788451"/>
        <n v="0.5303337213814513"/>
        <n v="0.73168816984094487"/>
        <n v="0.32751209027404621"/>
        <n v="9.6387487979092842E-2"/>
        <n v="0.30362237399498571"/>
        <n v="8.0194003864771199E-2"/>
        <n v="-4.198336906386016E-2"/>
        <n v="0.20593152126803291"/>
        <n v="0.25288876513991371"/>
        <n v="0.42668443446953752"/>
        <n v="0.6362676275082314"/>
        <n v="0.85366625955579667"/>
        <n v="0.4006006006006006"/>
        <n v="0.29285499204198401"/>
        <n v="-5.5145413870246081E-2"/>
        <n v="0.1942095263571236"/>
        <n v="0.41755908707733619"/>
        <n v="0.26655237162217332"/>
        <n v="-6.8219753951408418E-2"/>
        <n v="0.38716783698196328"/>
        <n v="0.17133375961898881"/>
        <n v="0.40690983340294212"/>
        <n v="0.40323852394038129"/>
        <n v="0.23048175843776211"/>
        <n v="-0.28239818570160058"/>
        <n v="0.28644063864558478"/>
        <n v="0.57139934832478556"/>
        <n v="0.32941845438283668"/>
        <n v="-0.20977984758679061"/>
        <n v="0.55387199948308719"/>
        <n v="-3.476446034585573E-2"/>
        <n v="0.30726035114940942"/>
        <n v="0.62232960325534081"/>
        <n v="0.18187648108483409"/>
        <n v="0.58870056497175149"/>
        <n v="0.16874874984088889"/>
        <n v="0.33588873069762348"/>
        <n v="2.4762592393166701E-2"/>
        <n v="-0.23931718061674009"/>
        <n v="1.6198278235377461E-2"/>
        <n v="0.35690541946845972"/>
        <n v="0.33758971241693408"/>
        <n v="0.61672907791672393"/>
        <n v="0.47375695484834263"/>
        <n v="0.13899091436303879"/>
        <n v="0.50687014254347751"/>
        <n v="-0.1176507963402236"/>
        <n v="0.50623401896227904"/>
        <n v="0.54565678908762694"/>
        <n v="0.25787458186386553"/>
        <n v="0.22964136959451181"/>
        <n v="0.19070318192858879"/>
        <n v="-6.0501653803748549E-2"/>
        <n v="0.35604049362546308"/>
        <n v="0.29078740913894152"/>
        <n v="0.35822055859487473"/>
        <n v="-0.4459725873075478"/>
        <n v="0.37994907284636031"/>
        <n v="0.31874175525723603"/>
        <n v="0.18845224040029229"/>
        <n v="0.45593184238551648"/>
        <n v="0.12161282523387069"/>
        <n v="0.19141542922853849"/>
        <n v="-4.7862379061983457E-2"/>
        <n v="0.44039841674199459"/>
        <n v="-0.20318352059925091"/>
        <n v="3.26520051256E-2"/>
        <n v="0.44950926935659757"/>
        <n v="0.13408853539005389"/>
        <n v="0.46845769744707788"/>
        <n v="5.9972632328215779E-2"/>
        <n v="0.3118105004298401"/>
        <n v="0.26144496491197522"/>
        <n v="0.1918204849800941"/>
        <n v="0.3830095490732971"/>
        <n v="-0.1017500106577994"/>
        <n v="0.1209546215339959"/>
        <n v="6.9738480697384836E-2"/>
        <n v="0.2994913156595907"/>
        <n v="0.24259552859539071"/>
        <n v="0.13751097872990409"/>
        <n v="0.1405813724887138"/>
        <n v="0.40904347826086962"/>
        <n v="0.37124955461885462"/>
        <n v="0.4192214888936201"/>
        <n v="0.23092615259077931"/>
        <n v="0.1240449388650621"/>
        <n v="-0.28878546099290792"/>
        <n v="0.46129511266059781"/>
        <n v="0.20268716953178889"/>
        <n v="0.66256661366836067"/>
        <n v="0.15856331225484041"/>
        <n v="0.51366764231011641"/>
        <n v="0.32281775615370528"/>
        <n v="-0.1798992787863716"/>
        <n v="0.41662296801258508"/>
        <n v="0.30186290468439142"/>
        <n v="0.77658000422743612"/>
        <n v="0.40297244227774393"/>
        <n v="0.61925680913742309"/>
        <n v="0.3440355512487604"/>
        <n v="0.35314238223915229"/>
        <n v="0.4394203733188794"/>
        <n v="0.18465158434133919"/>
        <n v="0.27081685576918468"/>
        <n v="0.29507156843818078"/>
        <n v="0.47135110962043708"/>
        <n v="0.30039195901893812"/>
        <n v="0.25551399804311459"/>
        <n v="0.37569471795545051"/>
        <n v="7.8592426076430882E-2"/>
        <n v="0.49302154611774018"/>
        <n v="0.49249557362697988"/>
        <n v="0.32610310035818779"/>
        <n v="0.55706525873742829"/>
        <n v="0.38224492344941219"/>
        <n v="0.33806725895522771"/>
        <n v="0.28641570775131792"/>
        <n v="0.33009724713277278"/>
        <n v="0.29132427072318262"/>
        <n v="0.46621641768792682"/>
        <n v="-0.37375242815995718"/>
        <n v="0.43652707739530799"/>
        <n v="0.2434790895229797"/>
        <n v="9.5118961320627082E-2"/>
        <n v="0.42894026522708611"/>
        <n v="0.59843339672190532"/>
        <n v="0.25479197384447733"/>
        <n v="0.48807068535906872"/>
        <n v="0.41555409904582791"/>
        <n v="0.48481206262585408"/>
        <n v="0.43538295171840091"/>
        <n v="0.1402443512180761"/>
        <n v="-5.706050711492712E-2"/>
        <n v="0.5244985730937739"/>
        <n v="0.48892152748636181"/>
        <n v="0.62399418864550737"/>
        <n v="0.63203723240471055"/>
        <n v="0.24"/>
        <n v="-3.3978124367024513E-2"/>
        <n v="0.34216274307623051"/>
      </sharedItems>
    </cacheField>
    <cacheField name="dias_atraso" numFmtId="0">
      <sharedItems containsString="0" containsBlank="1" containsNumber="1" containsInteger="1" minValue="-8" maxValue="5" count="15">
        <n v="-3"/>
        <n v="-4"/>
        <n v="-2"/>
        <m/>
        <n v="0"/>
        <n v="-5"/>
        <n v="-1"/>
        <n v="4"/>
        <n v="1"/>
        <n v="-7"/>
        <n v="5"/>
        <n v="3"/>
        <n v="-6"/>
        <n v="-8"/>
        <n v="2"/>
      </sharedItems>
    </cacheField>
    <cacheField name="status_entrega" numFmtId="0">
      <sharedItems count="3">
        <s v="No Prazo"/>
        <s v="Em Trânsito / Pendente"/>
        <s v="Atrasado"/>
      </sharedItems>
    </cacheField>
    <cacheField name="Meses (data_compra)" numFmtId="0" databaseField="0">
      <fieldGroup base="2">
        <rangePr groupBy="months" startDate="2025-03-26T17:58:15" endDate="2026-03-26T17:35:26"/>
        <groupItems count="14">
          <s v="&lt;26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03/2026"/>
        </groupItems>
      </fieldGroup>
    </cacheField>
    <cacheField name="Trimestres (data_compra)" numFmtId="0" databaseField="0">
      <fieldGroup base="2">
        <rangePr groupBy="quarters" startDate="2025-03-26T17:58:15" endDate="2026-03-26T17:35:26"/>
        <groupItems count="6">
          <s v="&lt;26/03/2025"/>
          <s v="Trim1"/>
          <s v="Trim2"/>
          <s v="Trim3"/>
          <s v="Trim4"/>
          <s v="&gt;26/03/2026"/>
        </groupItems>
      </fieldGroup>
    </cacheField>
    <cacheField name="Anos (data_compra)" numFmtId="0" databaseField="0">
      <fieldGroup base="2">
        <rangePr groupBy="years" startDate="2025-03-26T17:58:15" endDate="2026-03-26T17:35:26"/>
        <groupItems count="4">
          <s v="&lt;26/03/2025"/>
          <s v="2025"/>
          <s v="2026"/>
          <s v="&gt;26/03/2026"/>
        </groupItems>
      </fieldGroup>
    </cacheField>
  </cacheFields>
  <extLst>
    <ext xmlns:x14="http://schemas.microsoft.com/office/spreadsheetml/2009/9/main" uri="{725AE2AE-9491-48be-B2B4-4EB974FC3084}">
      <x14:pivotCacheDefinition pivotCacheId="579341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85"/>
    <x v="0"/>
    <x v="0"/>
    <x v="0"/>
    <x v="0"/>
    <n v="2484"/>
    <n v="3"/>
    <n v="2110.4899999999998"/>
    <n v="2711.53"/>
    <m/>
    <n v="0"/>
    <x v="0"/>
    <x v="0"/>
    <x v="0"/>
    <d v="2025-03-28T00:00:00"/>
    <d v="2025-04-05T00:00:00"/>
    <d v="2025-04-02T00:00:00"/>
    <x v="0"/>
    <x v="0"/>
    <s v="Excelente atendimento e entrega."/>
    <x v="0"/>
    <n v="6331.4699999999993"/>
    <x v="0"/>
    <x v="0"/>
    <x v="0"/>
    <x v="0"/>
  </r>
  <r>
    <x v="1"/>
    <n v="25"/>
    <x v="1"/>
    <x v="1"/>
    <x v="1"/>
    <x v="0"/>
    <n v="2347"/>
    <n v="3"/>
    <n v="538.74"/>
    <n v="1360.53"/>
    <m/>
    <n v="0"/>
    <x v="1"/>
    <x v="1"/>
    <x v="1"/>
    <d v="2025-03-27T00:00:00"/>
    <d v="2025-04-02T00:00:00"/>
    <d v="2025-03-29T00:00:00"/>
    <x v="0"/>
    <x v="0"/>
    <s v="Muito bom, sem reclamações."/>
    <x v="1"/>
    <n v="1616.22"/>
    <x v="1"/>
    <x v="1"/>
    <x v="1"/>
    <x v="0"/>
  </r>
  <r>
    <x v="2"/>
    <n v="153"/>
    <x v="2"/>
    <x v="2"/>
    <x v="2"/>
    <x v="1"/>
    <n v="0"/>
    <n v="3"/>
    <n v="67.52"/>
    <n v="136.22"/>
    <s v="PROMO10"/>
    <n v="0.1"/>
    <x v="0"/>
    <x v="2"/>
    <x v="2"/>
    <d v="2025-03-28T00:00:00"/>
    <d v="2025-04-04T00:00:00"/>
    <d v="2025-04-02T00:00:00"/>
    <x v="0"/>
    <x v="0"/>
    <s v="Superou minhas expectativas!"/>
    <x v="2"/>
    <n v="202.56"/>
    <x v="2"/>
    <x v="2"/>
    <x v="2"/>
    <x v="0"/>
  </r>
  <r>
    <x v="3"/>
    <n v="47"/>
    <x v="3"/>
    <x v="3"/>
    <x v="3"/>
    <x v="2"/>
    <n v="606"/>
    <n v="1"/>
    <n v="99.76"/>
    <n v="198.46"/>
    <m/>
    <n v="0"/>
    <x v="1"/>
    <x v="3"/>
    <x v="3"/>
    <d v="2025-03-29T00:00:00"/>
    <d v="2025-04-08T00:00:00"/>
    <m/>
    <x v="1"/>
    <x v="1"/>
    <s v="Chegou com pequeno atraso, mas o produto é bom."/>
    <x v="3"/>
    <n v="99.76"/>
    <x v="3"/>
    <x v="3"/>
    <x v="3"/>
    <x v="1"/>
  </r>
  <r>
    <x v="4"/>
    <n v="49"/>
    <x v="4"/>
    <x v="4"/>
    <x v="4"/>
    <x v="0"/>
    <n v="4172"/>
    <n v="1"/>
    <n v="202.61"/>
    <n v="531.12"/>
    <s v="OFF20"/>
    <n v="0.2"/>
    <x v="2"/>
    <x v="4"/>
    <x v="4"/>
    <d v="2025-03-28T00:00:00"/>
    <d v="2025-04-04T00:00:00"/>
    <m/>
    <x v="2"/>
    <x v="2"/>
    <s v="Suporte ruim, difícil contato."/>
    <x v="4"/>
    <n v="202.61"/>
    <x v="4"/>
    <x v="4"/>
    <x v="3"/>
    <x v="1"/>
  </r>
  <r>
    <x v="5"/>
    <n v="3"/>
    <x v="5"/>
    <x v="5"/>
    <x v="5"/>
    <x v="2"/>
    <n v="219"/>
    <n v="3"/>
    <n v="75.680000000000007"/>
    <n v="138.43"/>
    <m/>
    <n v="0"/>
    <x v="1"/>
    <x v="5"/>
    <x v="5"/>
    <d v="2025-03-29T00:00:00"/>
    <d v="2025-04-06T00:00:00"/>
    <d v="2025-04-06T00:00:00"/>
    <x v="0"/>
    <x v="0"/>
    <s v="Entrega no prazo e produto conforme descrito."/>
    <x v="5"/>
    <n v="227.04"/>
    <x v="5"/>
    <x v="5"/>
    <x v="4"/>
    <x v="0"/>
  </r>
  <r>
    <x v="6"/>
    <n v="68"/>
    <x v="6"/>
    <x v="6"/>
    <x v="6"/>
    <x v="2"/>
    <n v="339"/>
    <n v="3"/>
    <n v="70.760000000000005"/>
    <n v="84.33"/>
    <m/>
    <n v="0"/>
    <x v="0"/>
    <x v="6"/>
    <x v="2"/>
    <d v="2025-03-30T00:00:00"/>
    <d v="2025-04-09T00:00:00"/>
    <d v="2025-04-09T00:00:00"/>
    <x v="0"/>
    <x v="3"/>
    <s v="Muito bom, sem reclamações."/>
    <x v="6"/>
    <n v="212.28"/>
    <x v="6"/>
    <x v="6"/>
    <x v="4"/>
    <x v="0"/>
  </r>
  <r>
    <x v="7"/>
    <n v="34"/>
    <x v="7"/>
    <x v="7"/>
    <x v="7"/>
    <x v="0"/>
    <n v="2915"/>
    <n v="3"/>
    <n v="2932.88"/>
    <n v="3841.75"/>
    <m/>
    <n v="0"/>
    <x v="3"/>
    <x v="7"/>
    <x v="4"/>
    <d v="2025-03-31T00:00:00"/>
    <d v="2025-04-09T00:00:00"/>
    <m/>
    <x v="1"/>
    <x v="3"/>
    <s v="Produto de qualidade, entrega pontual."/>
    <x v="7"/>
    <n v="8798.64"/>
    <x v="7"/>
    <x v="7"/>
    <x v="3"/>
    <x v="1"/>
  </r>
  <r>
    <x v="8"/>
    <n v="99"/>
    <x v="8"/>
    <x v="0"/>
    <x v="0"/>
    <x v="0"/>
    <n v="2260"/>
    <n v="1"/>
    <n v="2064.14"/>
    <n v="3020.14"/>
    <s v="OFF20"/>
    <n v="0.2"/>
    <x v="1"/>
    <x v="8"/>
    <x v="1"/>
    <d v="2025-03-31T00:00:00"/>
    <d v="2025-04-06T00:00:00"/>
    <d v="2025-04-06T00:00:00"/>
    <x v="0"/>
    <x v="3"/>
    <s v="Chegou antes do prazo, excelente!"/>
    <x v="8"/>
    <n v="2064.14"/>
    <x v="8"/>
    <x v="8"/>
    <x v="4"/>
    <x v="0"/>
  </r>
  <r>
    <x v="9"/>
    <n v="70"/>
    <x v="9"/>
    <x v="8"/>
    <x v="8"/>
    <x v="1"/>
    <n v="0"/>
    <n v="3"/>
    <n v="75.849999999999994"/>
    <n v="116.37"/>
    <s v="OFF20"/>
    <n v="0.2"/>
    <x v="0"/>
    <x v="9"/>
    <x v="6"/>
    <d v="2025-03-30T00:00:00"/>
    <d v="2025-04-06T00:00:00"/>
    <d v="2025-04-04T00:00:00"/>
    <x v="0"/>
    <x v="0"/>
    <s v="Frete rápido, adorei!"/>
    <x v="9"/>
    <n v="227.55"/>
    <x v="9"/>
    <x v="9"/>
    <x v="2"/>
    <x v="0"/>
  </r>
  <r>
    <x v="10"/>
    <n v="62"/>
    <x v="10"/>
    <x v="9"/>
    <x v="9"/>
    <x v="1"/>
    <n v="0"/>
    <n v="3"/>
    <n v="74.739999999999995"/>
    <n v="182.61"/>
    <m/>
    <n v="0"/>
    <x v="2"/>
    <x v="10"/>
    <x v="2"/>
    <d v="2025-03-30T00:00:00"/>
    <d v="2025-04-07T00:00:00"/>
    <d v="2025-04-05T00:00:00"/>
    <x v="0"/>
    <x v="3"/>
    <s v="Entrega no prazo e produto conforme descrito."/>
    <x v="10"/>
    <n v="224.22"/>
    <x v="10"/>
    <x v="10"/>
    <x v="2"/>
    <x v="0"/>
  </r>
  <r>
    <x v="11"/>
    <n v="85"/>
    <x v="11"/>
    <x v="10"/>
    <x v="10"/>
    <x v="2"/>
    <n v="264"/>
    <n v="2"/>
    <n v="47.12"/>
    <n v="150.97999999999999"/>
    <s v="OFF20"/>
    <n v="0.2"/>
    <x v="0"/>
    <x v="11"/>
    <x v="2"/>
    <d v="2025-03-31T00:00:00"/>
    <d v="2025-04-09T00:00:00"/>
    <d v="2025-04-04T00:00:00"/>
    <x v="0"/>
    <x v="0"/>
    <s v="Muito bom, sem reclamações."/>
    <x v="11"/>
    <n v="94.24"/>
    <x v="11"/>
    <x v="11"/>
    <x v="5"/>
    <x v="0"/>
  </r>
  <r>
    <x v="12"/>
    <n v="94"/>
    <x v="12"/>
    <x v="11"/>
    <x v="11"/>
    <x v="2"/>
    <n v="253"/>
    <n v="3"/>
    <n v="25.86"/>
    <n v="42.48"/>
    <s v="PROMO10"/>
    <n v="0.1"/>
    <x v="3"/>
    <x v="12"/>
    <x v="2"/>
    <d v="2025-03-31T00:00:00"/>
    <d v="2025-04-06T00:00:00"/>
    <d v="2025-04-04T00:00:00"/>
    <x v="0"/>
    <x v="3"/>
    <s v="Produto de qualidade, entrega pontual."/>
    <x v="12"/>
    <n v="77.58"/>
    <x v="12"/>
    <x v="12"/>
    <x v="2"/>
    <x v="0"/>
  </r>
  <r>
    <x v="13"/>
    <n v="57"/>
    <x v="13"/>
    <x v="12"/>
    <x v="12"/>
    <x v="2"/>
    <n v="314"/>
    <n v="3"/>
    <n v="35.06"/>
    <n v="75.53"/>
    <s v="OFF20"/>
    <n v="0.2"/>
    <x v="0"/>
    <x v="13"/>
    <x v="7"/>
    <d v="2025-04-02T00:00:00"/>
    <d v="2025-04-11T00:00:00"/>
    <d v="2025-04-10T00:00:00"/>
    <x v="0"/>
    <x v="3"/>
    <s v="Chegou antes do prazo, excelente!"/>
    <x v="13"/>
    <n v="105.18"/>
    <x v="13"/>
    <x v="13"/>
    <x v="6"/>
    <x v="0"/>
  </r>
  <r>
    <x v="14"/>
    <n v="131"/>
    <x v="14"/>
    <x v="7"/>
    <x v="7"/>
    <x v="0"/>
    <n v="2401"/>
    <n v="2"/>
    <n v="2801.89"/>
    <n v="3477.89"/>
    <m/>
    <n v="0"/>
    <x v="3"/>
    <x v="14"/>
    <x v="8"/>
    <d v="2025-04-01T00:00:00"/>
    <d v="2025-04-10T00:00:00"/>
    <d v="2025-04-07T00:00:00"/>
    <x v="0"/>
    <x v="0"/>
    <s v="Muito bom, sem reclamações."/>
    <x v="14"/>
    <n v="5603.78"/>
    <x v="14"/>
    <x v="14"/>
    <x v="0"/>
    <x v="0"/>
  </r>
  <r>
    <x v="15"/>
    <n v="185"/>
    <x v="15"/>
    <x v="8"/>
    <x v="8"/>
    <x v="1"/>
    <n v="0"/>
    <n v="1"/>
    <n v="39.909999999999997"/>
    <n v="190.84"/>
    <m/>
    <n v="0"/>
    <x v="3"/>
    <x v="15"/>
    <x v="9"/>
    <d v="2025-04-01T00:00:00"/>
    <d v="2025-04-11T00:00:00"/>
    <d v="2025-04-15T00:00:00"/>
    <x v="0"/>
    <x v="4"/>
    <s v="Nunca mais compro aqui."/>
    <x v="15"/>
    <n v="39.909999999999997"/>
    <x v="15"/>
    <x v="15"/>
    <x v="7"/>
    <x v="2"/>
  </r>
  <r>
    <x v="16"/>
    <n v="34"/>
    <x v="16"/>
    <x v="13"/>
    <x v="13"/>
    <x v="0"/>
    <n v="2043"/>
    <n v="1"/>
    <n v="235.46"/>
    <n v="436.95"/>
    <s v="OFF20"/>
    <n v="0.2"/>
    <x v="3"/>
    <x v="16"/>
    <x v="2"/>
    <d v="2025-04-02T00:00:00"/>
    <d v="2025-04-11T00:00:00"/>
    <d v="2025-04-07T00:00:00"/>
    <x v="0"/>
    <x v="0"/>
    <s v="Superou minhas expectativas!"/>
    <x v="16"/>
    <n v="235.46"/>
    <x v="16"/>
    <x v="16"/>
    <x v="1"/>
    <x v="0"/>
  </r>
  <r>
    <x v="17"/>
    <n v="37"/>
    <x v="17"/>
    <x v="0"/>
    <x v="0"/>
    <x v="0"/>
    <n v="2443"/>
    <n v="2"/>
    <n v="2498.58"/>
    <n v="3442.5"/>
    <m/>
    <n v="0"/>
    <x v="1"/>
    <x v="17"/>
    <x v="1"/>
    <d v="2025-04-03T00:00:00"/>
    <d v="2025-04-11T00:00:00"/>
    <d v="2025-04-12T00:00:00"/>
    <x v="0"/>
    <x v="2"/>
    <s v="Frete caro e entrega lenta."/>
    <x v="17"/>
    <n v="4997.16"/>
    <x v="17"/>
    <x v="17"/>
    <x v="8"/>
    <x v="2"/>
  </r>
  <r>
    <x v="18"/>
    <n v="100"/>
    <x v="18"/>
    <x v="14"/>
    <x v="14"/>
    <x v="0"/>
    <n v="2006"/>
    <n v="3"/>
    <n v="1467.91"/>
    <n v="1790.32"/>
    <m/>
    <n v="0"/>
    <x v="1"/>
    <x v="18"/>
    <x v="8"/>
    <d v="2025-04-03T00:00:00"/>
    <d v="2025-04-13T00:00:00"/>
    <d v="2025-04-13T00:00:00"/>
    <x v="0"/>
    <x v="3"/>
    <s v="Parabéns pela agilidade!"/>
    <x v="18"/>
    <n v="4403.7299999999996"/>
    <x v="18"/>
    <x v="18"/>
    <x v="4"/>
    <x v="0"/>
  </r>
  <r>
    <x v="19"/>
    <n v="135"/>
    <x v="19"/>
    <x v="15"/>
    <x v="15"/>
    <x v="3"/>
    <n v="0"/>
    <n v="1"/>
    <n v="405.6"/>
    <n v="679.12"/>
    <s v="PROMO10"/>
    <n v="0.1"/>
    <x v="3"/>
    <x v="19"/>
    <x v="2"/>
    <d v="2025-04-04T00:00:00"/>
    <d v="2025-04-11T00:00:00"/>
    <m/>
    <x v="1"/>
    <x v="3"/>
    <s v="Qualidade impecável, voltarei a comprar."/>
    <x v="19"/>
    <n v="405.6"/>
    <x v="19"/>
    <x v="19"/>
    <x v="3"/>
    <x v="1"/>
  </r>
  <r>
    <x v="20"/>
    <n v="35"/>
    <x v="20"/>
    <x v="10"/>
    <x v="10"/>
    <x v="2"/>
    <n v="318"/>
    <n v="3"/>
    <n v="87.34"/>
    <n v="109.48"/>
    <s v="PROMO10"/>
    <n v="0.1"/>
    <x v="3"/>
    <x v="20"/>
    <x v="4"/>
    <d v="2025-04-03T00:00:00"/>
    <d v="2025-04-11T00:00:00"/>
    <d v="2025-04-07T00:00:00"/>
    <x v="0"/>
    <x v="0"/>
    <s v="Entrega rápida, muito satisfeito!"/>
    <x v="20"/>
    <n v="262.02"/>
    <x v="20"/>
    <x v="20"/>
    <x v="1"/>
    <x v="0"/>
  </r>
  <r>
    <x v="21"/>
    <n v="89"/>
    <x v="21"/>
    <x v="12"/>
    <x v="12"/>
    <x v="2"/>
    <n v="498"/>
    <n v="1"/>
    <n v="26.09"/>
    <n v="71.88"/>
    <s v="PROMO10"/>
    <n v="0.1"/>
    <x v="0"/>
    <x v="21"/>
    <x v="4"/>
    <d v="2025-04-03T00:00:00"/>
    <d v="2025-04-13T00:00:00"/>
    <m/>
    <x v="1"/>
    <x v="1"/>
    <s v="Entrega demorou mais que o previsto."/>
    <x v="21"/>
    <n v="26.09"/>
    <x v="21"/>
    <x v="21"/>
    <x v="3"/>
    <x v="1"/>
  </r>
  <r>
    <x v="22"/>
    <n v="68"/>
    <x v="22"/>
    <x v="16"/>
    <x v="16"/>
    <x v="1"/>
    <n v="0"/>
    <n v="3"/>
    <n v="187.54"/>
    <n v="286.26"/>
    <m/>
    <n v="0"/>
    <x v="3"/>
    <x v="22"/>
    <x v="2"/>
    <d v="2025-04-05T00:00:00"/>
    <d v="2025-04-14T00:00:00"/>
    <d v="2025-04-07T00:00:00"/>
    <x v="0"/>
    <x v="0"/>
    <s v="Muito bom, sem reclamações."/>
    <x v="22"/>
    <n v="562.62"/>
    <x v="22"/>
    <x v="22"/>
    <x v="9"/>
    <x v="0"/>
  </r>
  <r>
    <x v="23"/>
    <n v="75"/>
    <x v="23"/>
    <x v="1"/>
    <x v="1"/>
    <x v="0"/>
    <n v="2414"/>
    <n v="3"/>
    <n v="499.15"/>
    <n v="769.09"/>
    <m/>
    <n v="0"/>
    <x v="3"/>
    <x v="23"/>
    <x v="10"/>
    <d v="2025-04-05T00:00:00"/>
    <d v="2025-04-13T00:00:00"/>
    <d v="2025-04-12T00:00:00"/>
    <x v="0"/>
    <x v="3"/>
    <s v="Produto original, vendedor confiável."/>
    <x v="23"/>
    <n v="1497.45"/>
    <x v="23"/>
    <x v="23"/>
    <x v="6"/>
    <x v="0"/>
  </r>
  <r>
    <x v="24"/>
    <n v="36"/>
    <x v="24"/>
    <x v="14"/>
    <x v="14"/>
    <x v="0"/>
    <n v="2027"/>
    <n v="3"/>
    <n v="1035.99"/>
    <n v="1868.65"/>
    <s v="OFF20"/>
    <n v="0.2"/>
    <x v="2"/>
    <x v="24"/>
    <x v="9"/>
    <d v="2025-04-04T00:00:00"/>
    <d v="2025-04-14T00:00:00"/>
    <d v="2025-04-15T00:00:00"/>
    <x v="0"/>
    <x v="2"/>
    <s v="Não recomendo, péssima experiência."/>
    <x v="24"/>
    <n v="3107.97"/>
    <x v="24"/>
    <x v="24"/>
    <x v="8"/>
    <x v="2"/>
  </r>
  <r>
    <x v="25"/>
    <n v="181"/>
    <x v="25"/>
    <x v="16"/>
    <x v="16"/>
    <x v="1"/>
    <n v="0"/>
    <n v="3"/>
    <n v="79.56"/>
    <n v="200.99"/>
    <m/>
    <n v="0"/>
    <x v="2"/>
    <x v="25"/>
    <x v="0"/>
    <d v="2025-04-06T00:00:00"/>
    <d v="2025-04-11T00:00:00"/>
    <m/>
    <x v="2"/>
    <x v="4"/>
    <s v="Muito atraso na entrega."/>
    <x v="25"/>
    <n v="238.68"/>
    <x v="25"/>
    <x v="25"/>
    <x v="3"/>
    <x v="1"/>
  </r>
  <r>
    <x v="26"/>
    <n v="77"/>
    <x v="26"/>
    <x v="2"/>
    <x v="2"/>
    <x v="1"/>
    <n v="0"/>
    <n v="2"/>
    <n v="52.75"/>
    <n v="106.41"/>
    <m/>
    <n v="0"/>
    <x v="0"/>
    <x v="26"/>
    <x v="11"/>
    <d v="2025-04-05T00:00:00"/>
    <d v="2025-04-15T00:00:00"/>
    <d v="2025-04-13T00:00:00"/>
    <x v="0"/>
    <x v="0"/>
    <s v="Embalagem perfeita, produto intacto."/>
    <x v="26"/>
    <n v="105.5"/>
    <x v="26"/>
    <x v="26"/>
    <x v="2"/>
    <x v="0"/>
  </r>
  <r>
    <x v="27"/>
    <n v="86"/>
    <x v="27"/>
    <x v="10"/>
    <x v="10"/>
    <x v="2"/>
    <n v="223"/>
    <n v="1"/>
    <n v="75.959999999999994"/>
    <n v="161.31"/>
    <s v="PROMO10"/>
    <n v="0.1"/>
    <x v="1"/>
    <x v="27"/>
    <x v="1"/>
    <d v="2025-04-07T00:00:00"/>
    <d v="2025-04-12T00:00:00"/>
    <m/>
    <x v="1"/>
    <x v="3"/>
    <s v="Produto original, vendedor confiável."/>
    <x v="27"/>
    <n v="75.959999999999994"/>
    <x v="27"/>
    <x v="27"/>
    <x v="3"/>
    <x v="1"/>
  </r>
  <r>
    <x v="28"/>
    <n v="200"/>
    <x v="28"/>
    <x v="17"/>
    <x v="17"/>
    <x v="2"/>
    <n v="391"/>
    <n v="1"/>
    <n v="75.44"/>
    <n v="149.65"/>
    <m/>
    <n v="0"/>
    <x v="1"/>
    <x v="28"/>
    <x v="11"/>
    <d v="2025-04-08T00:00:00"/>
    <d v="2025-04-13T00:00:00"/>
    <d v="2025-04-10T00:00:00"/>
    <x v="0"/>
    <x v="0"/>
    <s v="Qualidade impecável, voltarei a comprar."/>
    <x v="28"/>
    <n v="75.44"/>
    <x v="28"/>
    <x v="28"/>
    <x v="0"/>
    <x v="0"/>
  </r>
  <r>
    <x v="29"/>
    <n v="161"/>
    <x v="29"/>
    <x v="17"/>
    <x v="17"/>
    <x v="2"/>
    <n v="480"/>
    <n v="3"/>
    <n v="91.52"/>
    <n v="278.8"/>
    <s v="PROMO10"/>
    <n v="0.1"/>
    <x v="3"/>
    <x v="29"/>
    <x v="4"/>
    <d v="2025-04-08T00:00:00"/>
    <d v="2025-04-16T00:00:00"/>
    <d v="2025-04-21T00:00:00"/>
    <x v="0"/>
    <x v="4"/>
    <s v="Veio errado, tive que devolver."/>
    <x v="29"/>
    <n v="274.56"/>
    <x v="29"/>
    <x v="29"/>
    <x v="10"/>
    <x v="2"/>
  </r>
  <r>
    <x v="30"/>
    <n v="26"/>
    <x v="30"/>
    <x v="9"/>
    <x v="9"/>
    <x v="1"/>
    <n v="0"/>
    <n v="2"/>
    <n v="51"/>
    <n v="173.59"/>
    <s v="OFF20"/>
    <n v="0.2"/>
    <x v="1"/>
    <x v="30"/>
    <x v="7"/>
    <d v="2025-04-10T00:00:00"/>
    <d v="2025-04-15T00:00:00"/>
    <m/>
    <x v="1"/>
    <x v="2"/>
    <s v="Veio errado, tive que devolver."/>
    <x v="30"/>
    <n v="102"/>
    <x v="30"/>
    <x v="30"/>
    <x v="3"/>
    <x v="1"/>
  </r>
  <r>
    <x v="31"/>
    <n v="10"/>
    <x v="31"/>
    <x v="5"/>
    <x v="5"/>
    <x v="2"/>
    <n v="262"/>
    <n v="3"/>
    <n v="63.2"/>
    <n v="90.07"/>
    <m/>
    <n v="0"/>
    <x v="0"/>
    <x v="31"/>
    <x v="8"/>
    <d v="2025-04-09T00:00:00"/>
    <d v="2025-04-17T00:00:00"/>
    <d v="2025-04-15T00:00:00"/>
    <x v="0"/>
    <x v="0"/>
    <s v="Entrega rápida, muito satisfeito!"/>
    <x v="31"/>
    <n v="189.6"/>
    <x v="31"/>
    <x v="31"/>
    <x v="2"/>
    <x v="0"/>
  </r>
  <r>
    <x v="32"/>
    <n v="180"/>
    <x v="32"/>
    <x v="9"/>
    <x v="9"/>
    <x v="1"/>
    <n v="0"/>
    <n v="2"/>
    <n v="43.86"/>
    <n v="133.62"/>
    <m/>
    <n v="0"/>
    <x v="1"/>
    <x v="32"/>
    <x v="7"/>
    <d v="2025-04-09T00:00:00"/>
    <d v="2025-04-14T00:00:00"/>
    <d v="2025-04-11T00:00:00"/>
    <x v="0"/>
    <x v="3"/>
    <s v="Entrega rápida, muito satisfeito!"/>
    <x v="32"/>
    <n v="87.72"/>
    <x v="32"/>
    <x v="32"/>
    <x v="0"/>
    <x v="0"/>
  </r>
  <r>
    <x v="33"/>
    <n v="156"/>
    <x v="33"/>
    <x v="11"/>
    <x v="11"/>
    <x v="2"/>
    <n v="217"/>
    <n v="3"/>
    <n v="24.83"/>
    <n v="113.56"/>
    <s v="PROMO10"/>
    <n v="0.1"/>
    <x v="0"/>
    <x v="33"/>
    <x v="4"/>
    <d v="2025-04-10T00:00:00"/>
    <d v="2025-04-15T00:00:00"/>
    <d v="2025-04-13T00:00:00"/>
    <x v="0"/>
    <x v="0"/>
    <s v="Frete rápido, adorei!"/>
    <x v="33"/>
    <n v="74.489999999999995"/>
    <x v="33"/>
    <x v="33"/>
    <x v="2"/>
    <x v="0"/>
  </r>
  <r>
    <x v="34"/>
    <n v="191"/>
    <x v="34"/>
    <x v="7"/>
    <x v="7"/>
    <x v="0"/>
    <n v="2809"/>
    <n v="1"/>
    <n v="2135.87"/>
    <n v="3958.47"/>
    <m/>
    <n v="0"/>
    <x v="3"/>
    <x v="34"/>
    <x v="8"/>
    <d v="2025-04-11T00:00:00"/>
    <d v="2025-04-21T00:00:00"/>
    <m/>
    <x v="1"/>
    <x v="1"/>
    <s v="Produto bom, mas o frete foi caro."/>
    <x v="34"/>
    <n v="2135.87"/>
    <x v="34"/>
    <x v="34"/>
    <x v="3"/>
    <x v="1"/>
  </r>
  <r>
    <x v="35"/>
    <n v="187"/>
    <x v="35"/>
    <x v="18"/>
    <x v="18"/>
    <x v="0"/>
    <n v="3415"/>
    <n v="1"/>
    <n v="390.28"/>
    <n v="631.01"/>
    <m/>
    <n v="0"/>
    <x v="2"/>
    <x v="35"/>
    <x v="12"/>
    <d v="2025-04-12T00:00:00"/>
    <d v="2025-04-22T00:00:00"/>
    <d v="2025-04-21T00:00:00"/>
    <x v="0"/>
    <x v="0"/>
    <s v="Entrega no prazo e produto conforme descrito."/>
    <x v="35"/>
    <n v="390.28"/>
    <x v="35"/>
    <x v="35"/>
    <x v="6"/>
    <x v="0"/>
  </r>
  <r>
    <x v="36"/>
    <n v="182"/>
    <x v="36"/>
    <x v="7"/>
    <x v="7"/>
    <x v="0"/>
    <n v="2318"/>
    <n v="1"/>
    <n v="2617.62"/>
    <n v="4473.32"/>
    <s v="OFF20"/>
    <n v="0.2"/>
    <x v="1"/>
    <x v="36"/>
    <x v="5"/>
    <d v="2025-04-13T00:00:00"/>
    <d v="2025-04-20T00:00:00"/>
    <d v="2025-04-18T00:00:00"/>
    <x v="0"/>
    <x v="3"/>
    <s v="Entrega no prazo e produto conforme descrito."/>
    <x v="36"/>
    <n v="2617.62"/>
    <x v="36"/>
    <x v="36"/>
    <x v="2"/>
    <x v="0"/>
  </r>
  <r>
    <x v="37"/>
    <n v="100"/>
    <x v="37"/>
    <x v="3"/>
    <x v="3"/>
    <x v="2"/>
    <n v="722"/>
    <n v="2"/>
    <n v="135.33000000000001"/>
    <n v="342.11"/>
    <m/>
    <n v="0"/>
    <x v="1"/>
    <x v="37"/>
    <x v="2"/>
    <d v="2025-04-12T00:00:00"/>
    <d v="2025-04-18T00:00:00"/>
    <m/>
    <x v="1"/>
    <x v="2"/>
    <s v="Cancelei porque demorou demais."/>
    <x v="37"/>
    <n v="270.66000000000003"/>
    <x v="37"/>
    <x v="37"/>
    <x v="3"/>
    <x v="1"/>
  </r>
  <r>
    <x v="38"/>
    <n v="76"/>
    <x v="38"/>
    <x v="19"/>
    <x v="19"/>
    <x v="0"/>
    <n v="4326"/>
    <n v="3"/>
    <n v="659.75"/>
    <n v="1252.28"/>
    <m/>
    <n v="0"/>
    <x v="1"/>
    <x v="38"/>
    <x v="13"/>
    <d v="2025-04-13T00:00:00"/>
    <d v="2025-04-22T00:00:00"/>
    <d v="2025-04-21T00:00:00"/>
    <x v="0"/>
    <x v="3"/>
    <s v="Chegou antes do prazo, excelente!"/>
    <x v="38"/>
    <n v="1979.25"/>
    <x v="38"/>
    <x v="38"/>
    <x v="6"/>
    <x v="0"/>
  </r>
  <r>
    <x v="39"/>
    <n v="30"/>
    <x v="39"/>
    <x v="19"/>
    <x v="19"/>
    <x v="0"/>
    <n v="4085"/>
    <n v="3"/>
    <n v="780.74"/>
    <n v="1760.64"/>
    <s v="PROMO10"/>
    <n v="0.1"/>
    <x v="0"/>
    <x v="39"/>
    <x v="2"/>
    <d v="2025-04-13T00:00:00"/>
    <d v="2025-04-22T00:00:00"/>
    <d v="2025-04-21T00:00:00"/>
    <x v="0"/>
    <x v="0"/>
    <s v="Frete rápido, adorei!"/>
    <x v="39"/>
    <n v="2342.2199999999998"/>
    <x v="39"/>
    <x v="39"/>
    <x v="6"/>
    <x v="0"/>
  </r>
  <r>
    <x v="40"/>
    <n v="66"/>
    <x v="40"/>
    <x v="16"/>
    <x v="16"/>
    <x v="1"/>
    <n v="0"/>
    <n v="2"/>
    <n v="142.01"/>
    <n v="213.07"/>
    <m/>
    <n v="0"/>
    <x v="3"/>
    <x v="40"/>
    <x v="4"/>
    <d v="2025-04-15T00:00:00"/>
    <d v="2025-04-24T00:00:00"/>
    <d v="2025-04-23T00:00:00"/>
    <x v="0"/>
    <x v="3"/>
    <s v="Entrega no prazo e produto conforme descrito."/>
    <x v="40"/>
    <n v="284.02"/>
    <x v="40"/>
    <x v="40"/>
    <x v="6"/>
    <x v="0"/>
  </r>
  <r>
    <x v="41"/>
    <n v="78"/>
    <x v="41"/>
    <x v="2"/>
    <x v="2"/>
    <x v="1"/>
    <n v="0"/>
    <n v="3"/>
    <n v="46.51"/>
    <n v="55.13"/>
    <m/>
    <n v="0"/>
    <x v="0"/>
    <x v="41"/>
    <x v="13"/>
    <d v="2025-04-14T00:00:00"/>
    <d v="2025-04-24T00:00:00"/>
    <m/>
    <x v="3"/>
    <x v="4"/>
    <s v="Embalagem danificada, produto riscado."/>
    <x v="41"/>
    <n v="139.53"/>
    <x v="41"/>
    <x v="41"/>
    <x v="3"/>
    <x v="1"/>
  </r>
  <r>
    <x v="42"/>
    <n v="120"/>
    <x v="42"/>
    <x v="20"/>
    <x v="20"/>
    <x v="3"/>
    <n v="0"/>
    <n v="3"/>
    <n v="253.46"/>
    <n v="452.71"/>
    <s v="PROMO10"/>
    <n v="0.1"/>
    <x v="1"/>
    <x v="42"/>
    <x v="12"/>
    <d v="2025-04-15T00:00:00"/>
    <d v="2025-04-20T00:00:00"/>
    <d v="2025-04-19T00:00:00"/>
    <x v="0"/>
    <x v="3"/>
    <s v="Tudo certo, nota 10!"/>
    <x v="42"/>
    <n v="760.38"/>
    <x v="42"/>
    <x v="42"/>
    <x v="6"/>
    <x v="0"/>
  </r>
  <r>
    <x v="43"/>
    <n v="120"/>
    <x v="43"/>
    <x v="13"/>
    <x v="13"/>
    <x v="0"/>
    <n v="2096"/>
    <n v="3"/>
    <n v="273.02999999999997"/>
    <n v="497.09"/>
    <m/>
    <n v="0"/>
    <x v="0"/>
    <x v="43"/>
    <x v="6"/>
    <d v="2025-04-14T00:00:00"/>
    <d v="2025-04-23T00:00:00"/>
    <d v="2025-04-26T00:00:00"/>
    <x v="0"/>
    <x v="4"/>
    <s v="Decepcionante do início ao fim."/>
    <x v="43"/>
    <n v="819.08999999999992"/>
    <x v="43"/>
    <x v="43"/>
    <x v="11"/>
    <x v="2"/>
  </r>
  <r>
    <x v="44"/>
    <n v="51"/>
    <x v="44"/>
    <x v="5"/>
    <x v="5"/>
    <x v="2"/>
    <n v="230"/>
    <n v="3"/>
    <n v="54.48"/>
    <n v="108.78"/>
    <m/>
    <n v="0"/>
    <x v="3"/>
    <x v="44"/>
    <x v="7"/>
    <d v="2025-04-15T00:00:00"/>
    <d v="2025-04-20T00:00:00"/>
    <d v="2025-04-21T00:00:00"/>
    <x v="0"/>
    <x v="4"/>
    <s v="Pior experiência de compra online."/>
    <x v="44"/>
    <n v="163.44"/>
    <x v="44"/>
    <x v="44"/>
    <x v="8"/>
    <x v="2"/>
  </r>
  <r>
    <x v="45"/>
    <n v="105"/>
    <x v="45"/>
    <x v="10"/>
    <x v="10"/>
    <x v="2"/>
    <n v="213"/>
    <n v="2"/>
    <n v="96.09"/>
    <n v="158.41999999999999"/>
    <m/>
    <n v="0"/>
    <x v="2"/>
    <x v="45"/>
    <x v="8"/>
    <d v="2025-04-16T00:00:00"/>
    <d v="2025-04-24T00:00:00"/>
    <d v="2025-04-22T00:00:00"/>
    <x v="0"/>
    <x v="3"/>
    <s v="Produto top, recomendo!"/>
    <x v="45"/>
    <n v="192.18"/>
    <x v="45"/>
    <x v="45"/>
    <x v="2"/>
    <x v="0"/>
  </r>
  <r>
    <x v="46"/>
    <n v="151"/>
    <x v="46"/>
    <x v="18"/>
    <x v="18"/>
    <x v="0"/>
    <n v="3481"/>
    <n v="2"/>
    <n v="558.11"/>
    <n v="703.94"/>
    <s v="OFF20"/>
    <n v="0.2"/>
    <x v="3"/>
    <x v="46"/>
    <x v="8"/>
    <d v="2025-04-16T00:00:00"/>
    <d v="2025-04-26T00:00:00"/>
    <m/>
    <x v="1"/>
    <x v="1"/>
    <s v="Entrega demorou mais que o previsto."/>
    <x v="46"/>
    <n v="1116.22"/>
    <x v="46"/>
    <x v="46"/>
    <x v="3"/>
    <x v="1"/>
  </r>
  <r>
    <x v="47"/>
    <n v="143"/>
    <x v="47"/>
    <x v="2"/>
    <x v="2"/>
    <x v="1"/>
    <n v="0"/>
    <n v="2"/>
    <n v="23.93"/>
    <n v="107.71"/>
    <s v="OFF20"/>
    <n v="0.2"/>
    <x v="0"/>
    <x v="47"/>
    <x v="12"/>
    <d v="2025-04-16T00:00:00"/>
    <d v="2025-04-21T00:00:00"/>
    <d v="2025-04-19T00:00:00"/>
    <x v="0"/>
    <x v="3"/>
    <s v="Excelente atendimento e entrega."/>
    <x v="47"/>
    <n v="47.86"/>
    <x v="47"/>
    <x v="47"/>
    <x v="2"/>
    <x v="0"/>
  </r>
  <r>
    <x v="48"/>
    <n v="6"/>
    <x v="48"/>
    <x v="17"/>
    <x v="17"/>
    <x v="2"/>
    <n v="389"/>
    <n v="2"/>
    <n v="77.48"/>
    <n v="120.16"/>
    <s v="PROMO10"/>
    <n v="0.1"/>
    <x v="1"/>
    <x v="48"/>
    <x v="7"/>
    <d v="2025-04-17T00:00:00"/>
    <d v="2025-04-22T00:00:00"/>
    <m/>
    <x v="2"/>
    <x v="4"/>
    <s v="Suporte ruim, difícil contato."/>
    <x v="48"/>
    <n v="154.96"/>
    <x v="48"/>
    <x v="48"/>
    <x v="3"/>
    <x v="1"/>
  </r>
  <r>
    <x v="49"/>
    <n v="124"/>
    <x v="49"/>
    <x v="21"/>
    <x v="21"/>
    <x v="3"/>
    <n v="0"/>
    <n v="1"/>
    <n v="274.94"/>
    <n v="354.4"/>
    <s v="PROMO10"/>
    <n v="0.1"/>
    <x v="2"/>
    <x v="49"/>
    <x v="4"/>
    <d v="2025-04-16T00:00:00"/>
    <d v="2025-04-24T00:00:00"/>
    <m/>
    <x v="2"/>
    <x v="2"/>
    <s v="Cancelei porque demorou demais."/>
    <x v="49"/>
    <n v="274.94"/>
    <x v="49"/>
    <x v="49"/>
    <x v="3"/>
    <x v="1"/>
  </r>
  <r>
    <x v="50"/>
    <n v="13"/>
    <x v="50"/>
    <x v="17"/>
    <x v="17"/>
    <x v="2"/>
    <n v="463"/>
    <n v="2"/>
    <n v="132.15"/>
    <n v="277.7"/>
    <s v="OFF20"/>
    <n v="0.2"/>
    <x v="2"/>
    <x v="50"/>
    <x v="12"/>
    <d v="2025-04-17T00:00:00"/>
    <d v="2025-04-23T00:00:00"/>
    <m/>
    <x v="3"/>
    <x v="2"/>
    <s v="Atendimento ao cliente inexistente."/>
    <x v="50"/>
    <n v="264.3"/>
    <x v="50"/>
    <x v="50"/>
    <x v="3"/>
    <x v="1"/>
  </r>
  <r>
    <x v="51"/>
    <n v="188"/>
    <x v="51"/>
    <x v="12"/>
    <x v="12"/>
    <x v="2"/>
    <n v="346"/>
    <n v="3"/>
    <n v="44.03"/>
    <n v="95.23"/>
    <m/>
    <n v="0"/>
    <x v="1"/>
    <x v="51"/>
    <x v="7"/>
    <d v="2025-04-19T00:00:00"/>
    <d v="2025-04-25T00:00:00"/>
    <d v="2025-04-29T00:00:00"/>
    <x v="0"/>
    <x v="4"/>
    <s v="Embalagem danificada, produto riscado."/>
    <x v="51"/>
    <n v="132.09"/>
    <x v="51"/>
    <x v="51"/>
    <x v="7"/>
    <x v="2"/>
  </r>
  <r>
    <x v="52"/>
    <n v="119"/>
    <x v="52"/>
    <x v="3"/>
    <x v="3"/>
    <x v="2"/>
    <n v="767"/>
    <n v="3"/>
    <n v="141.34"/>
    <n v="290.08"/>
    <m/>
    <n v="0"/>
    <x v="0"/>
    <x v="52"/>
    <x v="2"/>
    <d v="2025-04-19T00:00:00"/>
    <d v="2025-04-29T00:00:00"/>
    <d v="2025-04-28T00:00:00"/>
    <x v="0"/>
    <x v="0"/>
    <s v="Muito bom, sem reclamações."/>
    <x v="52"/>
    <n v="424.02"/>
    <x v="52"/>
    <x v="52"/>
    <x v="6"/>
    <x v="0"/>
  </r>
  <r>
    <x v="53"/>
    <n v="93"/>
    <x v="53"/>
    <x v="18"/>
    <x v="18"/>
    <x v="0"/>
    <n v="2719"/>
    <n v="1"/>
    <n v="307.92"/>
    <n v="816.06"/>
    <s v="OFF20"/>
    <n v="0.2"/>
    <x v="2"/>
    <x v="53"/>
    <x v="4"/>
    <d v="2025-04-19T00:00:00"/>
    <d v="2025-04-27T00:00:00"/>
    <m/>
    <x v="3"/>
    <x v="4"/>
    <s v="Nunca mais compro aqui."/>
    <x v="53"/>
    <n v="307.92"/>
    <x v="53"/>
    <x v="53"/>
    <x v="3"/>
    <x v="1"/>
  </r>
  <r>
    <x v="54"/>
    <n v="150"/>
    <x v="54"/>
    <x v="5"/>
    <x v="5"/>
    <x v="2"/>
    <n v="292"/>
    <n v="1"/>
    <n v="51.88"/>
    <n v="113.27"/>
    <m/>
    <n v="0"/>
    <x v="0"/>
    <x v="54"/>
    <x v="8"/>
    <d v="2025-04-19T00:00:00"/>
    <d v="2025-04-27T00:00:00"/>
    <m/>
    <x v="2"/>
    <x v="2"/>
    <s v="Atrasou e a caixa veio amassada."/>
    <x v="54"/>
    <n v="51.88"/>
    <x v="54"/>
    <x v="54"/>
    <x v="3"/>
    <x v="1"/>
  </r>
  <r>
    <x v="55"/>
    <n v="92"/>
    <x v="55"/>
    <x v="5"/>
    <x v="5"/>
    <x v="2"/>
    <n v="209"/>
    <n v="3"/>
    <n v="41.12"/>
    <n v="65.94"/>
    <m/>
    <n v="0"/>
    <x v="3"/>
    <x v="55"/>
    <x v="7"/>
    <d v="2025-04-19T00:00:00"/>
    <d v="2025-04-29T00:00:00"/>
    <m/>
    <x v="1"/>
    <x v="3"/>
    <s v="Chegou antes do prazo, excelente!"/>
    <x v="55"/>
    <n v="123.36"/>
    <x v="55"/>
    <x v="55"/>
    <x v="3"/>
    <x v="1"/>
  </r>
  <r>
    <x v="56"/>
    <n v="129"/>
    <x v="56"/>
    <x v="3"/>
    <x v="3"/>
    <x v="2"/>
    <n v="661"/>
    <n v="2"/>
    <n v="169.16"/>
    <n v="271.37"/>
    <m/>
    <n v="0"/>
    <x v="1"/>
    <x v="56"/>
    <x v="1"/>
    <d v="2025-04-20T00:00:00"/>
    <d v="2025-04-29T00:00:00"/>
    <d v="2025-04-22T00:00:00"/>
    <x v="0"/>
    <x v="3"/>
    <s v="Produto de qualidade, entrega pontual."/>
    <x v="56"/>
    <n v="338.32"/>
    <x v="56"/>
    <x v="56"/>
    <x v="9"/>
    <x v="0"/>
  </r>
  <r>
    <x v="57"/>
    <n v="40"/>
    <x v="57"/>
    <x v="17"/>
    <x v="17"/>
    <x v="2"/>
    <n v="367"/>
    <n v="3"/>
    <n v="105.16"/>
    <n v="126.41"/>
    <m/>
    <n v="0"/>
    <x v="3"/>
    <x v="57"/>
    <x v="4"/>
    <d v="2025-04-20T00:00:00"/>
    <d v="2025-04-28T00:00:00"/>
    <d v="2025-04-22T00:00:00"/>
    <x v="0"/>
    <x v="3"/>
    <s v="Entrega rápida, muito satisfeito!"/>
    <x v="57"/>
    <n v="315.48"/>
    <x v="57"/>
    <x v="57"/>
    <x v="12"/>
    <x v="0"/>
  </r>
  <r>
    <x v="58"/>
    <n v="114"/>
    <x v="58"/>
    <x v="3"/>
    <x v="3"/>
    <x v="2"/>
    <n v="636"/>
    <n v="3"/>
    <n v="110.61"/>
    <n v="341.15"/>
    <m/>
    <n v="0"/>
    <x v="0"/>
    <x v="58"/>
    <x v="4"/>
    <d v="2025-04-22T00:00:00"/>
    <d v="2025-05-01T00:00:00"/>
    <d v="2025-04-29T00:00:00"/>
    <x v="0"/>
    <x v="0"/>
    <s v="Excelente atendimento e entrega."/>
    <x v="58"/>
    <n v="331.83"/>
    <x v="58"/>
    <x v="58"/>
    <x v="2"/>
    <x v="0"/>
  </r>
  <r>
    <x v="59"/>
    <n v="75"/>
    <x v="59"/>
    <x v="5"/>
    <x v="5"/>
    <x v="2"/>
    <n v="218"/>
    <n v="1"/>
    <n v="74.540000000000006"/>
    <n v="139.06"/>
    <m/>
    <n v="0"/>
    <x v="2"/>
    <x v="59"/>
    <x v="4"/>
    <d v="2025-04-23T00:00:00"/>
    <d v="2025-04-29T00:00:00"/>
    <m/>
    <x v="1"/>
    <x v="2"/>
    <s v="Pior experiência de compra online."/>
    <x v="59"/>
    <n v="74.540000000000006"/>
    <x v="59"/>
    <x v="59"/>
    <x v="3"/>
    <x v="1"/>
  </r>
  <r>
    <x v="60"/>
    <n v="167"/>
    <x v="60"/>
    <x v="9"/>
    <x v="9"/>
    <x v="1"/>
    <n v="0"/>
    <n v="1"/>
    <n v="34.880000000000003"/>
    <n v="160.83000000000001"/>
    <m/>
    <n v="0"/>
    <x v="1"/>
    <x v="60"/>
    <x v="9"/>
    <d v="2025-04-23T00:00:00"/>
    <d v="2025-04-28T00:00:00"/>
    <d v="2025-04-25T00:00:00"/>
    <x v="0"/>
    <x v="3"/>
    <s v="Produto top, recomendo!"/>
    <x v="60"/>
    <n v="34.880000000000003"/>
    <x v="60"/>
    <x v="60"/>
    <x v="0"/>
    <x v="0"/>
  </r>
  <r>
    <x v="61"/>
    <n v="148"/>
    <x v="61"/>
    <x v="8"/>
    <x v="8"/>
    <x v="1"/>
    <n v="0"/>
    <n v="3"/>
    <n v="33.83"/>
    <n v="213.31"/>
    <m/>
    <n v="0"/>
    <x v="3"/>
    <x v="61"/>
    <x v="0"/>
    <d v="2025-04-25T00:00:00"/>
    <d v="2025-05-01T00:00:00"/>
    <d v="2025-05-01T00:00:00"/>
    <x v="0"/>
    <x v="3"/>
    <s v="Muito bom, sem reclamações."/>
    <x v="61"/>
    <n v="101.49"/>
    <x v="61"/>
    <x v="61"/>
    <x v="4"/>
    <x v="0"/>
  </r>
  <r>
    <x v="62"/>
    <n v="77"/>
    <x v="62"/>
    <x v="4"/>
    <x v="4"/>
    <x v="0"/>
    <n v="4810"/>
    <n v="1"/>
    <n v="202.44"/>
    <n v="724.87"/>
    <s v="OFF20"/>
    <n v="0.2"/>
    <x v="0"/>
    <x v="62"/>
    <x v="4"/>
    <d v="2025-04-26T00:00:00"/>
    <d v="2025-05-03T00:00:00"/>
    <d v="2025-05-03T00:00:00"/>
    <x v="0"/>
    <x v="0"/>
    <s v="Parabéns pela agilidade!"/>
    <x v="62"/>
    <n v="202.44"/>
    <x v="62"/>
    <x v="62"/>
    <x v="4"/>
    <x v="0"/>
  </r>
  <r>
    <x v="63"/>
    <n v="4"/>
    <x v="63"/>
    <x v="4"/>
    <x v="4"/>
    <x v="0"/>
    <n v="4784"/>
    <n v="1"/>
    <n v="313.64999999999998"/>
    <n v="832.03"/>
    <m/>
    <n v="0"/>
    <x v="0"/>
    <x v="63"/>
    <x v="5"/>
    <d v="2025-04-27T00:00:00"/>
    <d v="2025-05-07T00:00:00"/>
    <d v="2025-05-04T00:00:00"/>
    <x v="0"/>
    <x v="0"/>
    <s v="Produto de qualidade, entrega pontual."/>
    <x v="63"/>
    <n v="313.64999999999998"/>
    <x v="63"/>
    <x v="63"/>
    <x v="0"/>
    <x v="0"/>
  </r>
  <r>
    <x v="64"/>
    <n v="127"/>
    <x v="64"/>
    <x v="3"/>
    <x v="3"/>
    <x v="2"/>
    <n v="607"/>
    <n v="2"/>
    <n v="124.95"/>
    <n v="199.5"/>
    <m/>
    <n v="0"/>
    <x v="0"/>
    <x v="64"/>
    <x v="2"/>
    <d v="2025-04-27T00:00:00"/>
    <d v="2025-05-02T00:00:00"/>
    <d v="2025-04-29T00:00:00"/>
    <x v="0"/>
    <x v="0"/>
    <s v="Qualidade impecável, voltarei a comprar."/>
    <x v="64"/>
    <n v="249.9"/>
    <x v="64"/>
    <x v="64"/>
    <x v="0"/>
    <x v="0"/>
  </r>
  <r>
    <x v="65"/>
    <n v="35"/>
    <x v="65"/>
    <x v="2"/>
    <x v="2"/>
    <x v="1"/>
    <n v="0"/>
    <n v="1"/>
    <n v="68.34"/>
    <n v="92.69"/>
    <m/>
    <n v="0"/>
    <x v="0"/>
    <x v="65"/>
    <x v="0"/>
    <d v="2025-04-28T00:00:00"/>
    <d v="2025-05-08T00:00:00"/>
    <d v="2025-05-06T00:00:00"/>
    <x v="0"/>
    <x v="0"/>
    <s v="Produto top, recomendo!"/>
    <x v="65"/>
    <n v="68.34"/>
    <x v="65"/>
    <x v="65"/>
    <x v="2"/>
    <x v="0"/>
  </r>
  <r>
    <x v="66"/>
    <n v="38"/>
    <x v="66"/>
    <x v="22"/>
    <x v="22"/>
    <x v="3"/>
    <n v="0"/>
    <n v="2"/>
    <n v="305.45999999999998"/>
    <n v="658.66"/>
    <m/>
    <n v="0"/>
    <x v="0"/>
    <x v="66"/>
    <x v="2"/>
    <d v="2025-04-27T00:00:00"/>
    <d v="2025-05-03T00:00:00"/>
    <d v="2025-05-01T00:00:00"/>
    <x v="0"/>
    <x v="0"/>
    <s v="Parabéns pela agilidade!"/>
    <x v="66"/>
    <n v="610.91999999999996"/>
    <x v="66"/>
    <x v="66"/>
    <x v="2"/>
    <x v="0"/>
  </r>
  <r>
    <x v="67"/>
    <n v="99"/>
    <x v="67"/>
    <x v="4"/>
    <x v="4"/>
    <x v="0"/>
    <n v="4212"/>
    <n v="2"/>
    <n v="266.77"/>
    <n v="697.61"/>
    <s v="OFF20"/>
    <n v="0.2"/>
    <x v="2"/>
    <x v="67"/>
    <x v="3"/>
    <d v="2025-04-27T00:00:00"/>
    <d v="2025-05-04T00:00:00"/>
    <d v="2025-05-01T00:00:00"/>
    <x v="0"/>
    <x v="3"/>
    <s v="Qualidade impecável, voltarei a comprar."/>
    <x v="67"/>
    <n v="533.54"/>
    <x v="67"/>
    <x v="67"/>
    <x v="0"/>
    <x v="0"/>
  </r>
  <r>
    <x v="68"/>
    <n v="43"/>
    <x v="68"/>
    <x v="18"/>
    <x v="18"/>
    <x v="0"/>
    <n v="3333"/>
    <n v="2"/>
    <n v="584.94000000000005"/>
    <n v="963.23"/>
    <s v="OFF20"/>
    <n v="0.2"/>
    <x v="3"/>
    <x v="68"/>
    <x v="11"/>
    <d v="2025-04-28T00:00:00"/>
    <d v="2025-05-08T00:00:00"/>
    <d v="2025-05-06T00:00:00"/>
    <x v="0"/>
    <x v="3"/>
    <s v="Superou minhas expectativas!"/>
    <x v="68"/>
    <n v="1169.8800000000001"/>
    <x v="68"/>
    <x v="68"/>
    <x v="2"/>
    <x v="0"/>
  </r>
  <r>
    <x v="69"/>
    <n v="122"/>
    <x v="69"/>
    <x v="2"/>
    <x v="2"/>
    <x v="1"/>
    <n v="0"/>
    <n v="1"/>
    <n v="63.81"/>
    <n v="80.19"/>
    <m/>
    <n v="0"/>
    <x v="0"/>
    <x v="2"/>
    <x v="2"/>
    <d v="2025-04-27T00:00:00"/>
    <d v="2025-05-03T00:00:00"/>
    <d v="2025-05-08T00:00:00"/>
    <x v="0"/>
    <x v="4"/>
    <s v="Não recomendo, péssima experiência."/>
    <x v="69"/>
    <n v="63.81"/>
    <x v="69"/>
    <x v="69"/>
    <x v="10"/>
    <x v="2"/>
  </r>
  <r>
    <x v="70"/>
    <n v="133"/>
    <x v="70"/>
    <x v="10"/>
    <x v="10"/>
    <x v="2"/>
    <n v="226"/>
    <n v="2"/>
    <n v="60.53"/>
    <n v="201.24"/>
    <m/>
    <n v="0"/>
    <x v="3"/>
    <x v="69"/>
    <x v="6"/>
    <d v="2025-04-28T00:00:00"/>
    <d v="2025-05-04T00:00:00"/>
    <d v="2025-05-02T00:00:00"/>
    <x v="0"/>
    <x v="3"/>
    <s v="Entrega no prazo e produto conforme descrito."/>
    <x v="70"/>
    <n v="121.06"/>
    <x v="70"/>
    <x v="70"/>
    <x v="2"/>
    <x v="0"/>
  </r>
  <r>
    <x v="71"/>
    <n v="139"/>
    <x v="71"/>
    <x v="7"/>
    <x v="7"/>
    <x v="0"/>
    <n v="2642"/>
    <n v="2"/>
    <n v="2983.3"/>
    <n v="4541.8"/>
    <m/>
    <n v="0"/>
    <x v="2"/>
    <x v="70"/>
    <x v="6"/>
    <d v="2025-04-28T00:00:00"/>
    <d v="2025-05-06T00:00:00"/>
    <d v="2025-05-05T00:00:00"/>
    <x v="0"/>
    <x v="3"/>
    <s v="Produto de qualidade, entrega pontual."/>
    <x v="71"/>
    <n v="5966.6"/>
    <x v="71"/>
    <x v="71"/>
    <x v="6"/>
    <x v="0"/>
  </r>
  <r>
    <x v="72"/>
    <n v="46"/>
    <x v="72"/>
    <x v="7"/>
    <x v="7"/>
    <x v="0"/>
    <n v="2628"/>
    <n v="1"/>
    <n v="2257.4"/>
    <n v="4909.6400000000003"/>
    <s v="PROMO10"/>
    <n v="0.1"/>
    <x v="3"/>
    <x v="71"/>
    <x v="3"/>
    <d v="2025-04-29T00:00:00"/>
    <d v="2025-05-07T00:00:00"/>
    <d v="2025-05-06T00:00:00"/>
    <x v="0"/>
    <x v="0"/>
    <s v="Tudo certo, nota 10!"/>
    <x v="72"/>
    <n v="2257.4"/>
    <x v="72"/>
    <x v="72"/>
    <x v="6"/>
    <x v="0"/>
  </r>
  <r>
    <x v="73"/>
    <n v="191"/>
    <x v="73"/>
    <x v="21"/>
    <x v="21"/>
    <x v="3"/>
    <n v="0"/>
    <n v="2"/>
    <n v="154.25"/>
    <n v="429.57"/>
    <m/>
    <n v="0"/>
    <x v="0"/>
    <x v="72"/>
    <x v="13"/>
    <d v="2025-04-29T00:00:00"/>
    <d v="2025-05-07T00:00:00"/>
    <d v="2025-05-02T00:00:00"/>
    <x v="0"/>
    <x v="3"/>
    <s v="Tudo certo, nota 10!"/>
    <x v="73"/>
    <n v="308.5"/>
    <x v="73"/>
    <x v="73"/>
    <x v="5"/>
    <x v="0"/>
  </r>
  <r>
    <x v="74"/>
    <n v="78"/>
    <x v="74"/>
    <x v="19"/>
    <x v="19"/>
    <x v="0"/>
    <n v="3915"/>
    <n v="3"/>
    <n v="937.47"/>
    <n v="1640.48"/>
    <m/>
    <n v="0"/>
    <x v="3"/>
    <x v="73"/>
    <x v="7"/>
    <d v="2025-04-29T00:00:00"/>
    <d v="2025-05-09T00:00:00"/>
    <d v="2025-05-03T00:00:00"/>
    <x v="0"/>
    <x v="0"/>
    <s v="Entrega rápida, muito satisfeito!"/>
    <x v="74"/>
    <n v="2812.41"/>
    <x v="74"/>
    <x v="74"/>
    <x v="12"/>
    <x v="0"/>
  </r>
  <r>
    <x v="75"/>
    <n v="107"/>
    <x v="75"/>
    <x v="8"/>
    <x v="8"/>
    <x v="1"/>
    <n v="0"/>
    <n v="3"/>
    <n v="97.25"/>
    <n v="116.33"/>
    <m/>
    <n v="0"/>
    <x v="2"/>
    <x v="74"/>
    <x v="12"/>
    <d v="2025-04-29T00:00:00"/>
    <d v="2025-05-05T00:00:00"/>
    <d v="2025-05-01T00:00:00"/>
    <x v="0"/>
    <x v="0"/>
    <s v="Chegou antes do prazo, excelente!"/>
    <x v="75"/>
    <n v="291.75"/>
    <x v="75"/>
    <x v="75"/>
    <x v="1"/>
    <x v="0"/>
  </r>
  <r>
    <x v="76"/>
    <n v="77"/>
    <x v="76"/>
    <x v="0"/>
    <x v="0"/>
    <x v="0"/>
    <n v="2587"/>
    <n v="2"/>
    <n v="1978"/>
    <n v="3298.55"/>
    <m/>
    <n v="0"/>
    <x v="1"/>
    <x v="75"/>
    <x v="0"/>
    <d v="2025-04-30T00:00:00"/>
    <d v="2025-05-06T00:00:00"/>
    <d v="2025-05-05T00:00:00"/>
    <x v="0"/>
    <x v="3"/>
    <s v="Produto top, recomendo!"/>
    <x v="76"/>
    <n v="3956"/>
    <x v="76"/>
    <x v="76"/>
    <x v="6"/>
    <x v="0"/>
  </r>
  <r>
    <x v="77"/>
    <n v="8"/>
    <x v="77"/>
    <x v="13"/>
    <x v="13"/>
    <x v="0"/>
    <n v="2039"/>
    <n v="2"/>
    <n v="201.81"/>
    <n v="540.57000000000005"/>
    <s v="OFF20"/>
    <n v="0.2"/>
    <x v="1"/>
    <x v="76"/>
    <x v="13"/>
    <d v="2025-04-30T00:00:00"/>
    <d v="2025-05-10T00:00:00"/>
    <d v="2025-05-09T00:00:00"/>
    <x v="0"/>
    <x v="3"/>
    <s v="Ótimo custo-benefício!"/>
    <x v="77"/>
    <n v="403.62"/>
    <x v="77"/>
    <x v="77"/>
    <x v="6"/>
    <x v="0"/>
  </r>
  <r>
    <x v="78"/>
    <n v="29"/>
    <x v="78"/>
    <x v="3"/>
    <x v="3"/>
    <x v="2"/>
    <n v="639"/>
    <n v="1"/>
    <n v="132.44"/>
    <n v="218.82"/>
    <m/>
    <n v="0"/>
    <x v="3"/>
    <x v="77"/>
    <x v="8"/>
    <d v="2025-05-01T00:00:00"/>
    <d v="2025-05-06T00:00:00"/>
    <d v="2025-05-06T00:00:00"/>
    <x v="0"/>
    <x v="0"/>
    <s v="Superou minhas expectativas!"/>
    <x v="78"/>
    <n v="132.44"/>
    <x v="78"/>
    <x v="78"/>
    <x v="4"/>
    <x v="0"/>
  </r>
  <r>
    <x v="79"/>
    <n v="11"/>
    <x v="79"/>
    <x v="1"/>
    <x v="1"/>
    <x v="0"/>
    <n v="2728"/>
    <n v="1"/>
    <n v="833.7"/>
    <n v="1034.9000000000001"/>
    <m/>
    <n v="0"/>
    <x v="1"/>
    <x v="78"/>
    <x v="2"/>
    <d v="2025-05-02T00:00:00"/>
    <d v="2025-05-07T00:00:00"/>
    <d v="2025-05-07T00:00:00"/>
    <x v="0"/>
    <x v="0"/>
    <s v="Qualidade impecável, voltarei a comprar."/>
    <x v="79"/>
    <n v="833.7"/>
    <x v="79"/>
    <x v="79"/>
    <x v="4"/>
    <x v="0"/>
  </r>
  <r>
    <x v="80"/>
    <n v="90"/>
    <x v="80"/>
    <x v="22"/>
    <x v="22"/>
    <x v="3"/>
    <n v="0"/>
    <n v="1"/>
    <n v="345.99"/>
    <n v="577.88"/>
    <s v="PROMO10"/>
    <n v="0.1"/>
    <x v="0"/>
    <x v="79"/>
    <x v="8"/>
    <d v="2025-05-02T00:00:00"/>
    <d v="2025-05-09T00:00:00"/>
    <d v="2025-05-06T00:00:00"/>
    <x v="0"/>
    <x v="0"/>
    <s v="Entrega no prazo e produto conforme descrito."/>
    <x v="80"/>
    <n v="345.99"/>
    <x v="80"/>
    <x v="80"/>
    <x v="0"/>
    <x v="0"/>
  </r>
  <r>
    <x v="81"/>
    <n v="87"/>
    <x v="81"/>
    <x v="20"/>
    <x v="20"/>
    <x v="3"/>
    <n v="0"/>
    <n v="1"/>
    <n v="357.05"/>
    <n v="473.88"/>
    <s v="PROMO10"/>
    <n v="0.1"/>
    <x v="3"/>
    <x v="80"/>
    <x v="8"/>
    <d v="2025-05-02T00:00:00"/>
    <d v="2025-05-12T00:00:00"/>
    <d v="2025-05-12T00:00:00"/>
    <x v="0"/>
    <x v="3"/>
    <s v="Ótimo custo-benefício!"/>
    <x v="81"/>
    <n v="357.05"/>
    <x v="81"/>
    <x v="81"/>
    <x v="4"/>
    <x v="0"/>
  </r>
  <r>
    <x v="82"/>
    <n v="178"/>
    <x v="82"/>
    <x v="8"/>
    <x v="8"/>
    <x v="1"/>
    <n v="0"/>
    <n v="2"/>
    <n v="99.42"/>
    <n v="213.36"/>
    <m/>
    <n v="0"/>
    <x v="1"/>
    <x v="81"/>
    <x v="13"/>
    <d v="2025-05-03T00:00:00"/>
    <d v="2025-05-12T00:00:00"/>
    <m/>
    <x v="3"/>
    <x v="4"/>
    <s v="Veio errado, tive que devolver."/>
    <x v="82"/>
    <n v="198.84"/>
    <x v="82"/>
    <x v="82"/>
    <x v="3"/>
    <x v="1"/>
  </r>
  <r>
    <x v="83"/>
    <n v="180"/>
    <x v="83"/>
    <x v="16"/>
    <x v="16"/>
    <x v="1"/>
    <n v="0"/>
    <n v="2"/>
    <n v="218.88"/>
    <n v="339.9"/>
    <s v="OFF20"/>
    <n v="0.2"/>
    <x v="2"/>
    <x v="82"/>
    <x v="2"/>
    <d v="2025-05-04T00:00:00"/>
    <d v="2025-05-14T00:00:00"/>
    <d v="2025-05-06T00:00:00"/>
    <x v="0"/>
    <x v="3"/>
    <s v="Produto de qualidade, entrega pontual."/>
    <x v="83"/>
    <n v="437.76"/>
    <x v="83"/>
    <x v="83"/>
    <x v="13"/>
    <x v="0"/>
  </r>
  <r>
    <x v="84"/>
    <n v="32"/>
    <x v="84"/>
    <x v="4"/>
    <x v="4"/>
    <x v="0"/>
    <n v="4331"/>
    <n v="3"/>
    <n v="485.8"/>
    <n v="779.13"/>
    <m/>
    <n v="0"/>
    <x v="3"/>
    <x v="83"/>
    <x v="2"/>
    <d v="2025-05-04T00:00:00"/>
    <d v="2025-05-13T00:00:00"/>
    <d v="2025-05-13T00:00:00"/>
    <x v="0"/>
    <x v="0"/>
    <s v="Qualidade impecável, voltarei a comprar."/>
    <x v="84"/>
    <n v="1457.4"/>
    <x v="84"/>
    <x v="84"/>
    <x v="4"/>
    <x v="0"/>
  </r>
  <r>
    <x v="85"/>
    <n v="181"/>
    <x v="85"/>
    <x v="1"/>
    <x v="1"/>
    <x v="0"/>
    <n v="2132"/>
    <n v="3"/>
    <n v="895.66"/>
    <n v="1092.25"/>
    <m/>
    <n v="0"/>
    <x v="3"/>
    <x v="84"/>
    <x v="7"/>
    <d v="2025-05-04T00:00:00"/>
    <d v="2025-05-10T00:00:00"/>
    <d v="2025-05-14T00:00:00"/>
    <x v="0"/>
    <x v="4"/>
    <s v="Atendimento ao cliente inexistente."/>
    <x v="85"/>
    <n v="2686.98"/>
    <x v="85"/>
    <x v="85"/>
    <x v="7"/>
    <x v="2"/>
  </r>
  <r>
    <x v="86"/>
    <n v="31"/>
    <x v="86"/>
    <x v="20"/>
    <x v="20"/>
    <x v="3"/>
    <n v="0"/>
    <n v="3"/>
    <n v="384.89"/>
    <n v="592.37"/>
    <s v="PROMO10"/>
    <n v="0.1"/>
    <x v="0"/>
    <x v="85"/>
    <x v="4"/>
    <d v="2025-05-04T00:00:00"/>
    <d v="2025-05-11T00:00:00"/>
    <d v="2025-05-06T00:00:00"/>
    <x v="0"/>
    <x v="3"/>
    <s v="Superou minhas expectativas!"/>
    <x v="86"/>
    <n v="1154.67"/>
    <x v="86"/>
    <x v="86"/>
    <x v="5"/>
    <x v="0"/>
  </r>
  <r>
    <x v="87"/>
    <n v="185"/>
    <x v="87"/>
    <x v="11"/>
    <x v="11"/>
    <x v="2"/>
    <n v="230"/>
    <n v="3"/>
    <n v="46.36"/>
    <n v="79.84"/>
    <m/>
    <n v="0"/>
    <x v="2"/>
    <x v="86"/>
    <x v="8"/>
    <d v="2025-05-04T00:00:00"/>
    <d v="2025-05-13T00:00:00"/>
    <d v="2025-05-12T00:00:00"/>
    <x v="0"/>
    <x v="0"/>
    <s v="Chegou antes do prazo, excelente!"/>
    <x v="87"/>
    <n v="139.08000000000001"/>
    <x v="87"/>
    <x v="87"/>
    <x v="6"/>
    <x v="0"/>
  </r>
  <r>
    <x v="88"/>
    <n v="48"/>
    <x v="88"/>
    <x v="22"/>
    <x v="22"/>
    <x v="3"/>
    <n v="0"/>
    <n v="2"/>
    <n v="472.37"/>
    <n v="606.87"/>
    <s v="OFF20"/>
    <n v="0.2"/>
    <x v="2"/>
    <x v="87"/>
    <x v="4"/>
    <d v="2025-05-04T00:00:00"/>
    <d v="2025-05-10T00:00:00"/>
    <d v="2025-05-08T00:00:00"/>
    <x v="0"/>
    <x v="0"/>
    <s v="Excelente atendimento e entrega."/>
    <x v="88"/>
    <n v="944.74"/>
    <x v="88"/>
    <x v="88"/>
    <x v="2"/>
    <x v="0"/>
  </r>
  <r>
    <x v="89"/>
    <n v="118"/>
    <x v="89"/>
    <x v="17"/>
    <x v="17"/>
    <x v="2"/>
    <n v="444"/>
    <n v="2"/>
    <n v="65.64"/>
    <n v="189.77"/>
    <m/>
    <n v="0"/>
    <x v="1"/>
    <x v="88"/>
    <x v="1"/>
    <d v="2025-05-06T00:00:00"/>
    <d v="2025-05-12T00:00:00"/>
    <d v="2025-05-11T00:00:00"/>
    <x v="0"/>
    <x v="3"/>
    <s v="Qualidade impecável, voltarei a comprar."/>
    <x v="89"/>
    <n v="131.28"/>
    <x v="89"/>
    <x v="89"/>
    <x v="6"/>
    <x v="0"/>
  </r>
  <r>
    <x v="90"/>
    <n v="90"/>
    <x v="90"/>
    <x v="20"/>
    <x v="20"/>
    <x v="3"/>
    <n v="0"/>
    <n v="2"/>
    <n v="444.43"/>
    <n v="719.86"/>
    <m/>
    <n v="0"/>
    <x v="3"/>
    <x v="89"/>
    <x v="2"/>
    <d v="2025-05-06T00:00:00"/>
    <d v="2025-05-15T00:00:00"/>
    <d v="2025-05-20T00:00:00"/>
    <x v="0"/>
    <x v="1"/>
    <s v="Chegou com pequeno atraso, mas o produto é bom."/>
    <x v="90"/>
    <n v="888.86"/>
    <x v="90"/>
    <x v="90"/>
    <x v="10"/>
    <x v="2"/>
  </r>
  <r>
    <x v="91"/>
    <n v="67"/>
    <x v="91"/>
    <x v="14"/>
    <x v="14"/>
    <x v="0"/>
    <n v="2111"/>
    <n v="2"/>
    <n v="1438.72"/>
    <n v="1957.07"/>
    <s v="OFF20"/>
    <n v="0.2"/>
    <x v="3"/>
    <x v="90"/>
    <x v="13"/>
    <d v="2025-05-06T00:00:00"/>
    <d v="2025-05-13T00:00:00"/>
    <d v="2025-05-10T00:00:00"/>
    <x v="0"/>
    <x v="0"/>
    <s v="Muito bom, sem reclamações."/>
    <x v="91"/>
    <n v="2877.44"/>
    <x v="91"/>
    <x v="91"/>
    <x v="0"/>
    <x v="0"/>
  </r>
  <r>
    <x v="92"/>
    <n v="25"/>
    <x v="92"/>
    <x v="12"/>
    <x v="12"/>
    <x v="2"/>
    <n v="519"/>
    <n v="2"/>
    <n v="47.07"/>
    <n v="58.55"/>
    <m/>
    <n v="0"/>
    <x v="3"/>
    <x v="91"/>
    <x v="4"/>
    <d v="2025-05-08T00:00:00"/>
    <d v="2025-05-16T00:00:00"/>
    <m/>
    <x v="2"/>
    <x v="4"/>
    <s v="Atrasou e a caixa veio amassada."/>
    <x v="92"/>
    <n v="94.14"/>
    <x v="92"/>
    <x v="92"/>
    <x v="3"/>
    <x v="1"/>
  </r>
  <r>
    <x v="93"/>
    <n v="79"/>
    <x v="93"/>
    <x v="3"/>
    <x v="3"/>
    <x v="2"/>
    <n v="762"/>
    <n v="2"/>
    <n v="120.39"/>
    <n v="300.2"/>
    <m/>
    <n v="0"/>
    <x v="0"/>
    <x v="92"/>
    <x v="9"/>
    <d v="2025-05-07T00:00:00"/>
    <d v="2025-05-17T00:00:00"/>
    <d v="2025-05-16T00:00:00"/>
    <x v="0"/>
    <x v="0"/>
    <s v="Produto original, vendedor confiável."/>
    <x v="93"/>
    <n v="240.78"/>
    <x v="93"/>
    <x v="93"/>
    <x v="6"/>
    <x v="0"/>
  </r>
  <r>
    <x v="94"/>
    <n v="8"/>
    <x v="94"/>
    <x v="2"/>
    <x v="2"/>
    <x v="1"/>
    <n v="0"/>
    <n v="1"/>
    <n v="32.07"/>
    <n v="119.62"/>
    <m/>
    <n v="0"/>
    <x v="2"/>
    <x v="93"/>
    <x v="4"/>
    <d v="2025-05-08T00:00:00"/>
    <d v="2025-05-18T00:00:00"/>
    <d v="2025-05-16T00:00:00"/>
    <x v="0"/>
    <x v="0"/>
    <s v="Chegou antes do prazo, excelente!"/>
    <x v="94"/>
    <n v="32.07"/>
    <x v="94"/>
    <x v="94"/>
    <x v="2"/>
    <x v="0"/>
  </r>
  <r>
    <x v="95"/>
    <n v="26"/>
    <x v="95"/>
    <x v="5"/>
    <x v="5"/>
    <x v="2"/>
    <n v="258"/>
    <n v="1"/>
    <n v="27.38"/>
    <n v="60.24"/>
    <m/>
    <n v="0"/>
    <x v="3"/>
    <x v="94"/>
    <x v="9"/>
    <d v="2025-05-08T00:00:00"/>
    <d v="2025-05-15T00:00:00"/>
    <m/>
    <x v="2"/>
    <x v="1"/>
    <s v="Esperava mais pela qualidade do produto."/>
    <x v="95"/>
    <n v="27.38"/>
    <x v="95"/>
    <x v="95"/>
    <x v="3"/>
    <x v="1"/>
  </r>
  <r>
    <x v="96"/>
    <n v="2"/>
    <x v="96"/>
    <x v="10"/>
    <x v="10"/>
    <x v="2"/>
    <n v="200"/>
    <n v="3"/>
    <n v="81.37"/>
    <n v="208.93"/>
    <s v="PROMO10"/>
    <n v="0.1"/>
    <x v="1"/>
    <x v="95"/>
    <x v="4"/>
    <d v="2025-05-09T00:00:00"/>
    <d v="2025-05-17T00:00:00"/>
    <m/>
    <x v="3"/>
    <x v="4"/>
    <s v="Não recomendo, péssima experiência."/>
    <x v="96"/>
    <n v="244.11"/>
    <x v="96"/>
    <x v="96"/>
    <x v="3"/>
    <x v="1"/>
  </r>
  <r>
    <x v="97"/>
    <n v="78"/>
    <x v="97"/>
    <x v="17"/>
    <x v="17"/>
    <x v="2"/>
    <n v="338"/>
    <n v="2"/>
    <n v="78.37"/>
    <n v="191.65"/>
    <m/>
    <n v="0"/>
    <x v="1"/>
    <x v="96"/>
    <x v="6"/>
    <d v="2025-05-09T00:00:00"/>
    <d v="2025-05-16T00:00:00"/>
    <d v="2025-05-21T00:00:00"/>
    <x v="0"/>
    <x v="4"/>
    <s v="Decepcionante do início ao fim."/>
    <x v="97"/>
    <n v="156.74"/>
    <x v="97"/>
    <x v="97"/>
    <x v="10"/>
    <x v="2"/>
  </r>
  <r>
    <x v="98"/>
    <n v="165"/>
    <x v="98"/>
    <x v="6"/>
    <x v="6"/>
    <x v="2"/>
    <n v="202"/>
    <n v="2"/>
    <n v="32.15"/>
    <n v="140.16999999999999"/>
    <m/>
    <n v="0"/>
    <x v="2"/>
    <x v="97"/>
    <x v="4"/>
    <d v="2025-05-08T00:00:00"/>
    <d v="2025-05-14T00:00:00"/>
    <d v="2025-05-12T00:00:00"/>
    <x v="0"/>
    <x v="3"/>
    <s v="Excelente atendimento e entrega."/>
    <x v="98"/>
    <n v="64.3"/>
    <x v="98"/>
    <x v="98"/>
    <x v="2"/>
    <x v="0"/>
  </r>
  <r>
    <x v="99"/>
    <n v="13"/>
    <x v="99"/>
    <x v="2"/>
    <x v="2"/>
    <x v="1"/>
    <n v="0"/>
    <n v="3"/>
    <n v="30.24"/>
    <n v="59.5"/>
    <m/>
    <n v="0"/>
    <x v="0"/>
    <x v="98"/>
    <x v="1"/>
    <d v="2025-05-10T00:00:00"/>
    <d v="2025-05-15T00:00:00"/>
    <d v="2025-05-13T00:00:00"/>
    <x v="0"/>
    <x v="3"/>
    <s v="Tudo certo, nota 10!"/>
    <x v="99"/>
    <n v="90.72"/>
    <x v="99"/>
    <x v="99"/>
    <x v="2"/>
    <x v="0"/>
  </r>
  <r>
    <x v="100"/>
    <n v="145"/>
    <x v="100"/>
    <x v="11"/>
    <x v="11"/>
    <x v="2"/>
    <n v="291"/>
    <n v="3"/>
    <n v="29.51"/>
    <n v="55.78"/>
    <s v="PROMO10"/>
    <n v="0.1"/>
    <x v="2"/>
    <x v="99"/>
    <x v="10"/>
    <d v="2025-05-09T00:00:00"/>
    <d v="2025-05-19T00:00:00"/>
    <d v="2025-05-20T00:00:00"/>
    <x v="0"/>
    <x v="1"/>
    <s v="Esperava mais pela qualidade do produto."/>
    <x v="100"/>
    <n v="88.53"/>
    <x v="100"/>
    <x v="100"/>
    <x v="8"/>
    <x v="2"/>
  </r>
  <r>
    <x v="101"/>
    <n v="80"/>
    <x v="101"/>
    <x v="18"/>
    <x v="18"/>
    <x v="0"/>
    <n v="3092"/>
    <n v="2"/>
    <n v="420.73"/>
    <n v="627.35"/>
    <s v="OFF20"/>
    <n v="0.2"/>
    <x v="0"/>
    <x v="100"/>
    <x v="4"/>
    <d v="2025-05-09T00:00:00"/>
    <d v="2025-05-16T00:00:00"/>
    <d v="2025-05-11T00:00:00"/>
    <x v="0"/>
    <x v="3"/>
    <s v="Excelente atendimento e entrega."/>
    <x v="101"/>
    <n v="841.46"/>
    <x v="101"/>
    <x v="101"/>
    <x v="5"/>
    <x v="0"/>
  </r>
  <r>
    <x v="102"/>
    <n v="15"/>
    <x v="102"/>
    <x v="14"/>
    <x v="14"/>
    <x v="0"/>
    <n v="2166"/>
    <n v="3"/>
    <n v="927.86"/>
    <n v="1741.95"/>
    <m/>
    <n v="0"/>
    <x v="2"/>
    <x v="101"/>
    <x v="2"/>
    <d v="2025-05-09T00:00:00"/>
    <d v="2025-05-16T00:00:00"/>
    <m/>
    <x v="1"/>
    <x v="1"/>
    <s v="Nada de especial, cumpriu o básico."/>
    <x v="102"/>
    <n v="2783.58"/>
    <x v="102"/>
    <x v="102"/>
    <x v="3"/>
    <x v="1"/>
  </r>
  <r>
    <x v="103"/>
    <n v="56"/>
    <x v="103"/>
    <x v="20"/>
    <x v="20"/>
    <x v="3"/>
    <n v="0"/>
    <n v="3"/>
    <n v="234.8"/>
    <n v="713.42"/>
    <m/>
    <n v="0"/>
    <x v="1"/>
    <x v="102"/>
    <x v="1"/>
    <d v="2025-05-09T00:00:00"/>
    <d v="2025-05-14T00:00:00"/>
    <d v="2025-05-13T00:00:00"/>
    <x v="0"/>
    <x v="0"/>
    <s v="Produto de qualidade, entrega pontual."/>
    <x v="103"/>
    <n v="704.40000000000009"/>
    <x v="103"/>
    <x v="103"/>
    <x v="6"/>
    <x v="0"/>
  </r>
  <r>
    <x v="104"/>
    <n v="200"/>
    <x v="104"/>
    <x v="13"/>
    <x v="13"/>
    <x v="0"/>
    <n v="2079"/>
    <n v="3"/>
    <n v="370.55"/>
    <n v="653.96"/>
    <s v="PROMO10"/>
    <n v="0.1"/>
    <x v="2"/>
    <x v="103"/>
    <x v="7"/>
    <d v="2025-05-10T00:00:00"/>
    <d v="2025-05-19T00:00:00"/>
    <d v="2025-05-24T00:00:00"/>
    <x v="0"/>
    <x v="2"/>
    <s v="Frete caro e entrega lenta."/>
    <x v="104"/>
    <n v="1111.6500000000001"/>
    <x v="104"/>
    <x v="104"/>
    <x v="10"/>
    <x v="2"/>
  </r>
  <r>
    <x v="105"/>
    <n v="26"/>
    <x v="105"/>
    <x v="19"/>
    <x v="19"/>
    <x v="0"/>
    <n v="4135"/>
    <n v="2"/>
    <n v="1095.01"/>
    <n v="1315.82"/>
    <s v="PROMO10"/>
    <n v="0.1"/>
    <x v="1"/>
    <x v="104"/>
    <x v="10"/>
    <d v="2025-05-10T00:00:00"/>
    <d v="2025-05-18T00:00:00"/>
    <d v="2025-05-22T00:00:00"/>
    <x v="0"/>
    <x v="2"/>
    <s v="Muito atraso na entrega."/>
    <x v="105"/>
    <n v="2190.02"/>
    <x v="105"/>
    <x v="105"/>
    <x v="7"/>
    <x v="2"/>
  </r>
  <r>
    <x v="106"/>
    <n v="173"/>
    <x v="106"/>
    <x v="12"/>
    <x v="12"/>
    <x v="2"/>
    <n v="310"/>
    <n v="1"/>
    <n v="33.770000000000003"/>
    <n v="47.17"/>
    <s v="PROMO10"/>
    <n v="0.1"/>
    <x v="1"/>
    <x v="105"/>
    <x v="1"/>
    <d v="2025-05-10T00:00:00"/>
    <d v="2025-05-16T00:00:00"/>
    <m/>
    <x v="3"/>
    <x v="1"/>
    <s v="Razoável, poderia ser melhor."/>
    <x v="106"/>
    <n v="33.770000000000003"/>
    <x v="106"/>
    <x v="106"/>
    <x v="3"/>
    <x v="1"/>
  </r>
  <r>
    <x v="107"/>
    <n v="88"/>
    <x v="107"/>
    <x v="6"/>
    <x v="6"/>
    <x v="2"/>
    <n v="276"/>
    <n v="1"/>
    <n v="79.63"/>
    <n v="98.9"/>
    <s v="PROMO10"/>
    <n v="0.1"/>
    <x v="2"/>
    <x v="106"/>
    <x v="5"/>
    <d v="2025-05-11T00:00:00"/>
    <d v="2025-05-18T00:00:00"/>
    <m/>
    <x v="2"/>
    <x v="1"/>
    <s v="Produto bom, mas o frete foi caro."/>
    <x v="107"/>
    <n v="79.63"/>
    <x v="107"/>
    <x v="107"/>
    <x v="3"/>
    <x v="1"/>
  </r>
  <r>
    <x v="108"/>
    <n v="53"/>
    <x v="108"/>
    <x v="9"/>
    <x v="9"/>
    <x v="1"/>
    <n v="0"/>
    <n v="3"/>
    <n v="76.760000000000005"/>
    <n v="129.33000000000001"/>
    <s v="PROMO10"/>
    <n v="0.1"/>
    <x v="0"/>
    <x v="107"/>
    <x v="7"/>
    <d v="2025-05-11T00:00:00"/>
    <d v="2025-05-17T00:00:00"/>
    <d v="2025-05-16T00:00:00"/>
    <x v="0"/>
    <x v="0"/>
    <s v="Qualidade impecável, voltarei a comprar."/>
    <x v="108"/>
    <n v="230.28"/>
    <x v="108"/>
    <x v="108"/>
    <x v="6"/>
    <x v="0"/>
  </r>
  <r>
    <x v="109"/>
    <n v="154"/>
    <x v="109"/>
    <x v="9"/>
    <x v="9"/>
    <x v="1"/>
    <n v="0"/>
    <n v="2"/>
    <n v="86.51"/>
    <n v="112.57"/>
    <s v="PROMO10"/>
    <n v="0.1"/>
    <x v="0"/>
    <x v="108"/>
    <x v="12"/>
    <d v="2025-05-10T00:00:00"/>
    <d v="2025-05-15T00:00:00"/>
    <d v="2025-05-15T00:00:00"/>
    <x v="0"/>
    <x v="0"/>
    <s v="Tudo certo, nota 10!"/>
    <x v="109"/>
    <n v="173.02"/>
    <x v="109"/>
    <x v="109"/>
    <x v="4"/>
    <x v="0"/>
  </r>
  <r>
    <x v="110"/>
    <n v="71"/>
    <x v="110"/>
    <x v="15"/>
    <x v="15"/>
    <x v="3"/>
    <n v="0"/>
    <n v="1"/>
    <n v="462.83"/>
    <n v="715.71"/>
    <m/>
    <n v="0"/>
    <x v="3"/>
    <x v="109"/>
    <x v="2"/>
    <d v="2025-05-10T00:00:00"/>
    <d v="2025-05-16T00:00:00"/>
    <d v="2025-05-18T00:00:00"/>
    <x v="0"/>
    <x v="4"/>
    <s v="Produto chegou com defeito."/>
    <x v="110"/>
    <n v="462.83"/>
    <x v="110"/>
    <x v="110"/>
    <x v="14"/>
    <x v="2"/>
  </r>
  <r>
    <x v="111"/>
    <n v="104"/>
    <x v="111"/>
    <x v="1"/>
    <x v="1"/>
    <x v="0"/>
    <n v="2604"/>
    <n v="2"/>
    <n v="503.33"/>
    <n v="922.66"/>
    <m/>
    <n v="0"/>
    <x v="1"/>
    <x v="110"/>
    <x v="1"/>
    <d v="2025-05-10T00:00:00"/>
    <d v="2025-05-18T00:00:00"/>
    <d v="2025-05-12T00:00:00"/>
    <x v="0"/>
    <x v="3"/>
    <s v="Superou minhas expectativas!"/>
    <x v="111"/>
    <n v="1006.66"/>
    <x v="111"/>
    <x v="111"/>
    <x v="12"/>
    <x v="0"/>
  </r>
  <r>
    <x v="112"/>
    <n v="167"/>
    <x v="112"/>
    <x v="20"/>
    <x v="20"/>
    <x v="3"/>
    <n v="0"/>
    <n v="1"/>
    <n v="287.68"/>
    <n v="683.42"/>
    <s v="OFF20"/>
    <n v="0.2"/>
    <x v="0"/>
    <x v="111"/>
    <x v="2"/>
    <d v="2025-05-12T00:00:00"/>
    <d v="2025-05-22T00:00:00"/>
    <m/>
    <x v="1"/>
    <x v="3"/>
    <s v="Chegou antes do prazo, excelente!"/>
    <x v="112"/>
    <n v="287.68"/>
    <x v="112"/>
    <x v="112"/>
    <x v="3"/>
    <x v="1"/>
  </r>
  <r>
    <x v="113"/>
    <n v="99"/>
    <x v="113"/>
    <x v="13"/>
    <x v="13"/>
    <x v="0"/>
    <n v="2060"/>
    <n v="2"/>
    <n v="231.23"/>
    <n v="687.92"/>
    <m/>
    <n v="0"/>
    <x v="0"/>
    <x v="112"/>
    <x v="6"/>
    <d v="2025-05-11T00:00:00"/>
    <d v="2025-05-20T00:00:00"/>
    <d v="2025-05-14T00:00:00"/>
    <x v="0"/>
    <x v="0"/>
    <s v="Frete rápido, adorei!"/>
    <x v="113"/>
    <n v="462.46"/>
    <x v="113"/>
    <x v="113"/>
    <x v="12"/>
    <x v="0"/>
  </r>
  <r>
    <x v="114"/>
    <n v="50"/>
    <x v="114"/>
    <x v="6"/>
    <x v="6"/>
    <x v="2"/>
    <n v="209"/>
    <n v="3"/>
    <n v="39.94"/>
    <n v="82.03"/>
    <m/>
    <n v="0"/>
    <x v="2"/>
    <x v="113"/>
    <x v="4"/>
    <d v="2025-05-11T00:00:00"/>
    <d v="2025-05-18T00:00:00"/>
    <d v="2025-05-15T00:00:00"/>
    <x v="0"/>
    <x v="0"/>
    <s v="Ótimo custo-benefício!"/>
    <x v="114"/>
    <n v="119.82"/>
    <x v="114"/>
    <x v="114"/>
    <x v="0"/>
    <x v="0"/>
  </r>
  <r>
    <x v="115"/>
    <n v="194"/>
    <x v="115"/>
    <x v="17"/>
    <x v="17"/>
    <x v="2"/>
    <n v="318"/>
    <n v="2"/>
    <n v="98.38"/>
    <n v="162.72"/>
    <m/>
    <n v="0"/>
    <x v="3"/>
    <x v="114"/>
    <x v="11"/>
    <d v="2025-05-12T00:00:00"/>
    <d v="2025-05-22T00:00:00"/>
    <d v="2025-05-17T00:00:00"/>
    <x v="0"/>
    <x v="0"/>
    <s v="Produto de qualidade, entrega pontual."/>
    <x v="115"/>
    <n v="196.76"/>
    <x v="115"/>
    <x v="115"/>
    <x v="5"/>
    <x v="0"/>
  </r>
  <r>
    <x v="116"/>
    <n v="90"/>
    <x v="116"/>
    <x v="17"/>
    <x v="17"/>
    <x v="2"/>
    <n v="467"/>
    <n v="1"/>
    <n v="120.23"/>
    <n v="172.14"/>
    <s v="OFF20"/>
    <n v="0.2"/>
    <x v="1"/>
    <x v="115"/>
    <x v="4"/>
    <d v="2025-05-12T00:00:00"/>
    <d v="2025-05-22T00:00:00"/>
    <d v="2025-05-22T00:00:00"/>
    <x v="0"/>
    <x v="3"/>
    <s v="Superou minhas expectativas!"/>
    <x v="116"/>
    <n v="120.23"/>
    <x v="116"/>
    <x v="116"/>
    <x v="4"/>
    <x v="0"/>
  </r>
  <r>
    <x v="117"/>
    <n v="39"/>
    <x v="117"/>
    <x v="8"/>
    <x v="8"/>
    <x v="1"/>
    <n v="0"/>
    <n v="1"/>
    <n v="30.35"/>
    <n v="191.41"/>
    <m/>
    <n v="0"/>
    <x v="1"/>
    <x v="116"/>
    <x v="1"/>
    <d v="2025-05-12T00:00:00"/>
    <d v="2025-05-19T00:00:00"/>
    <d v="2025-05-14T00:00:00"/>
    <x v="0"/>
    <x v="0"/>
    <s v="Entrega rápida, muito satisfeito!"/>
    <x v="117"/>
    <n v="30.35"/>
    <x v="117"/>
    <x v="117"/>
    <x v="5"/>
    <x v="0"/>
  </r>
  <r>
    <x v="118"/>
    <n v="52"/>
    <x v="118"/>
    <x v="14"/>
    <x v="14"/>
    <x v="0"/>
    <n v="2129"/>
    <n v="2"/>
    <n v="935.02"/>
    <n v="1974.19"/>
    <m/>
    <n v="0"/>
    <x v="2"/>
    <x v="117"/>
    <x v="12"/>
    <d v="2025-05-13T00:00:00"/>
    <d v="2025-05-23T00:00:00"/>
    <d v="2025-05-20T00:00:00"/>
    <x v="0"/>
    <x v="3"/>
    <s v="Superou minhas expectativas!"/>
    <x v="118"/>
    <n v="1870.04"/>
    <x v="118"/>
    <x v="118"/>
    <x v="0"/>
    <x v="0"/>
  </r>
  <r>
    <x v="119"/>
    <n v="105"/>
    <x v="119"/>
    <x v="17"/>
    <x v="17"/>
    <x v="2"/>
    <n v="474"/>
    <n v="1"/>
    <n v="101.09"/>
    <n v="275.27999999999997"/>
    <m/>
    <n v="0"/>
    <x v="2"/>
    <x v="118"/>
    <x v="4"/>
    <d v="2025-05-13T00:00:00"/>
    <d v="2025-05-19T00:00:00"/>
    <d v="2025-05-23T00:00:00"/>
    <x v="0"/>
    <x v="2"/>
    <s v="Produto não era o que esperava."/>
    <x v="119"/>
    <n v="101.09"/>
    <x v="119"/>
    <x v="119"/>
    <x v="7"/>
    <x v="2"/>
  </r>
  <r>
    <x v="120"/>
    <n v="38"/>
    <x v="120"/>
    <x v="17"/>
    <x v="17"/>
    <x v="2"/>
    <n v="388"/>
    <n v="1"/>
    <n v="128.41"/>
    <n v="263.5"/>
    <s v="OFF20"/>
    <n v="0.2"/>
    <x v="2"/>
    <x v="119"/>
    <x v="10"/>
    <d v="2025-05-13T00:00:00"/>
    <d v="2025-05-21T00:00:00"/>
    <d v="2025-05-20T00:00:00"/>
    <x v="0"/>
    <x v="3"/>
    <s v="Parabéns pela agilidade!"/>
    <x v="120"/>
    <n v="128.41"/>
    <x v="120"/>
    <x v="120"/>
    <x v="6"/>
    <x v="0"/>
  </r>
  <r>
    <x v="121"/>
    <n v="10"/>
    <x v="121"/>
    <x v="1"/>
    <x v="1"/>
    <x v="0"/>
    <n v="2720"/>
    <n v="3"/>
    <n v="613.24"/>
    <n v="1093.08"/>
    <s v="OFF20"/>
    <n v="0.2"/>
    <x v="3"/>
    <x v="120"/>
    <x v="12"/>
    <d v="2025-05-13T00:00:00"/>
    <d v="2025-05-18T00:00:00"/>
    <d v="2025-05-16T00:00:00"/>
    <x v="0"/>
    <x v="3"/>
    <s v="Muito bom, sem reclamações."/>
    <x v="121"/>
    <n v="1839.72"/>
    <x v="121"/>
    <x v="121"/>
    <x v="2"/>
    <x v="0"/>
  </r>
  <r>
    <x v="122"/>
    <n v="46"/>
    <x v="122"/>
    <x v="9"/>
    <x v="9"/>
    <x v="1"/>
    <n v="0"/>
    <n v="1"/>
    <n v="68.25"/>
    <n v="166.83"/>
    <m/>
    <n v="0"/>
    <x v="3"/>
    <x v="121"/>
    <x v="2"/>
    <d v="2025-05-14T00:00:00"/>
    <d v="2025-05-24T00:00:00"/>
    <d v="2025-05-20T00:00:00"/>
    <x v="0"/>
    <x v="3"/>
    <s v="Entrega no prazo e produto conforme descrito."/>
    <x v="122"/>
    <n v="68.25"/>
    <x v="122"/>
    <x v="122"/>
    <x v="1"/>
    <x v="0"/>
  </r>
  <r>
    <x v="123"/>
    <n v="119"/>
    <x v="123"/>
    <x v="22"/>
    <x v="22"/>
    <x v="3"/>
    <n v="0"/>
    <n v="1"/>
    <n v="378.7"/>
    <n v="565.74"/>
    <m/>
    <n v="0"/>
    <x v="1"/>
    <x v="122"/>
    <x v="4"/>
    <d v="2025-05-15T00:00:00"/>
    <d v="2025-05-22T00:00:00"/>
    <d v="2025-05-22T00:00:00"/>
    <x v="0"/>
    <x v="0"/>
    <s v="Qualidade impecável, voltarei a comprar."/>
    <x v="123"/>
    <n v="378.7"/>
    <x v="123"/>
    <x v="123"/>
    <x v="4"/>
    <x v="0"/>
  </r>
  <r>
    <x v="124"/>
    <n v="38"/>
    <x v="124"/>
    <x v="20"/>
    <x v="20"/>
    <x v="3"/>
    <n v="0"/>
    <n v="2"/>
    <n v="274.13"/>
    <n v="592.48"/>
    <s v="PROMO10"/>
    <n v="0.1"/>
    <x v="1"/>
    <x v="123"/>
    <x v="14"/>
    <d v="2025-05-14T00:00:00"/>
    <d v="2025-05-24T00:00:00"/>
    <m/>
    <x v="1"/>
    <x v="3"/>
    <s v="Muito bom, sem reclamações."/>
    <x v="124"/>
    <n v="548.26"/>
    <x v="124"/>
    <x v="124"/>
    <x v="3"/>
    <x v="1"/>
  </r>
  <r>
    <x v="125"/>
    <n v="20"/>
    <x v="125"/>
    <x v="2"/>
    <x v="2"/>
    <x v="1"/>
    <n v="0"/>
    <n v="3"/>
    <n v="69.91"/>
    <n v="108.66"/>
    <s v="OFF20"/>
    <n v="0.2"/>
    <x v="3"/>
    <x v="124"/>
    <x v="2"/>
    <d v="2025-05-14T00:00:00"/>
    <d v="2025-05-21T00:00:00"/>
    <d v="2025-05-21T00:00:00"/>
    <x v="0"/>
    <x v="0"/>
    <s v="Qualidade impecável, voltarei a comprar."/>
    <x v="125"/>
    <n v="209.73"/>
    <x v="125"/>
    <x v="125"/>
    <x v="4"/>
    <x v="0"/>
  </r>
  <r>
    <x v="126"/>
    <n v="84"/>
    <x v="126"/>
    <x v="6"/>
    <x v="6"/>
    <x v="2"/>
    <n v="202"/>
    <n v="1"/>
    <n v="60.86"/>
    <n v="130.65"/>
    <m/>
    <n v="0"/>
    <x v="0"/>
    <x v="125"/>
    <x v="14"/>
    <d v="2025-05-14T00:00:00"/>
    <d v="2025-05-22T00:00:00"/>
    <m/>
    <x v="1"/>
    <x v="2"/>
    <s v="Cancelei porque demorou demais."/>
    <x v="126"/>
    <n v="60.86"/>
    <x v="126"/>
    <x v="126"/>
    <x v="3"/>
    <x v="1"/>
  </r>
  <r>
    <x v="127"/>
    <n v="122"/>
    <x v="127"/>
    <x v="3"/>
    <x v="3"/>
    <x v="2"/>
    <n v="725"/>
    <n v="1"/>
    <n v="174.05"/>
    <n v="287.11"/>
    <s v="OFF20"/>
    <n v="0.2"/>
    <x v="1"/>
    <x v="126"/>
    <x v="5"/>
    <d v="2025-05-15T00:00:00"/>
    <d v="2025-05-20T00:00:00"/>
    <m/>
    <x v="2"/>
    <x v="4"/>
    <s v="Cancelei porque demorou demais."/>
    <x v="127"/>
    <n v="174.05"/>
    <x v="127"/>
    <x v="127"/>
    <x v="3"/>
    <x v="1"/>
  </r>
  <r>
    <x v="128"/>
    <n v="13"/>
    <x v="128"/>
    <x v="14"/>
    <x v="14"/>
    <x v="0"/>
    <n v="2023"/>
    <n v="3"/>
    <n v="942.25"/>
    <n v="1204.7"/>
    <m/>
    <n v="0"/>
    <x v="2"/>
    <x v="127"/>
    <x v="7"/>
    <d v="2025-05-15T00:00:00"/>
    <d v="2025-05-24T00:00:00"/>
    <d v="2025-05-20T00:00:00"/>
    <x v="0"/>
    <x v="3"/>
    <s v="Parabéns pela agilidade!"/>
    <x v="128"/>
    <n v="2826.75"/>
    <x v="128"/>
    <x v="128"/>
    <x v="1"/>
    <x v="0"/>
  </r>
  <r>
    <x v="129"/>
    <n v="154"/>
    <x v="129"/>
    <x v="2"/>
    <x v="2"/>
    <x v="1"/>
    <n v="0"/>
    <n v="1"/>
    <n v="60.88"/>
    <n v="120.3"/>
    <m/>
    <n v="0"/>
    <x v="0"/>
    <x v="128"/>
    <x v="5"/>
    <d v="2025-05-15T00:00:00"/>
    <d v="2025-05-20T00:00:00"/>
    <d v="2025-05-18T00:00:00"/>
    <x v="0"/>
    <x v="3"/>
    <s v="Produto de qualidade, entrega pontual."/>
    <x v="129"/>
    <n v="60.88"/>
    <x v="129"/>
    <x v="129"/>
    <x v="2"/>
    <x v="0"/>
  </r>
  <r>
    <x v="130"/>
    <n v="181"/>
    <x v="130"/>
    <x v="7"/>
    <x v="7"/>
    <x v="0"/>
    <n v="2421"/>
    <n v="1"/>
    <n v="2133.0100000000002"/>
    <n v="3222.91"/>
    <m/>
    <n v="0"/>
    <x v="3"/>
    <x v="129"/>
    <x v="7"/>
    <d v="2025-05-16T00:00:00"/>
    <d v="2025-05-24T00:00:00"/>
    <d v="2025-05-18T00:00:00"/>
    <x v="0"/>
    <x v="0"/>
    <s v="Parabéns pela agilidade!"/>
    <x v="130"/>
    <n v="2133.0100000000002"/>
    <x v="130"/>
    <x v="130"/>
    <x v="12"/>
    <x v="0"/>
  </r>
  <r>
    <x v="131"/>
    <n v="191"/>
    <x v="131"/>
    <x v="7"/>
    <x v="7"/>
    <x v="0"/>
    <n v="2859"/>
    <n v="3"/>
    <n v="2232.11"/>
    <n v="4470.1899999999996"/>
    <s v="PROMO10"/>
    <n v="0.1"/>
    <x v="1"/>
    <x v="130"/>
    <x v="1"/>
    <d v="2025-05-16T00:00:00"/>
    <d v="2025-05-25T00:00:00"/>
    <d v="2025-05-23T00:00:00"/>
    <x v="0"/>
    <x v="0"/>
    <s v="Produto top, recomendo!"/>
    <x v="131"/>
    <n v="6696.33"/>
    <x v="131"/>
    <x v="131"/>
    <x v="2"/>
    <x v="0"/>
  </r>
  <r>
    <x v="132"/>
    <n v="155"/>
    <x v="132"/>
    <x v="1"/>
    <x v="1"/>
    <x v="0"/>
    <n v="2273"/>
    <n v="1"/>
    <n v="636.25"/>
    <n v="1133.6300000000001"/>
    <m/>
    <n v="0"/>
    <x v="3"/>
    <x v="131"/>
    <x v="2"/>
    <d v="2025-05-15T00:00:00"/>
    <d v="2025-05-25T00:00:00"/>
    <d v="2025-05-20T00:00:00"/>
    <x v="0"/>
    <x v="0"/>
    <s v="Entrega no prazo e produto conforme descrito."/>
    <x v="132"/>
    <n v="636.25"/>
    <x v="132"/>
    <x v="132"/>
    <x v="5"/>
    <x v="0"/>
  </r>
  <r>
    <x v="133"/>
    <n v="121"/>
    <x v="133"/>
    <x v="3"/>
    <x v="3"/>
    <x v="2"/>
    <n v="666"/>
    <n v="1"/>
    <n v="188.35"/>
    <n v="309.45"/>
    <s v="OFF20"/>
    <n v="0.2"/>
    <x v="1"/>
    <x v="132"/>
    <x v="2"/>
    <d v="2025-05-16T00:00:00"/>
    <d v="2025-05-24T00:00:00"/>
    <d v="2025-05-22T00:00:00"/>
    <x v="0"/>
    <x v="0"/>
    <s v="Qualidade impecável, voltarei a comprar."/>
    <x v="133"/>
    <n v="188.35"/>
    <x v="133"/>
    <x v="133"/>
    <x v="2"/>
    <x v="0"/>
  </r>
  <r>
    <x v="134"/>
    <n v="92"/>
    <x v="134"/>
    <x v="5"/>
    <x v="5"/>
    <x v="2"/>
    <n v="251"/>
    <n v="3"/>
    <n v="48.22"/>
    <n v="147.31"/>
    <s v="OFF20"/>
    <n v="0.2"/>
    <x v="2"/>
    <x v="133"/>
    <x v="13"/>
    <d v="2025-05-16T00:00:00"/>
    <d v="2025-05-22T00:00:00"/>
    <m/>
    <x v="1"/>
    <x v="3"/>
    <s v="Parabéns pela agilidade!"/>
    <x v="134"/>
    <n v="144.66"/>
    <x v="134"/>
    <x v="134"/>
    <x v="3"/>
    <x v="1"/>
  </r>
  <r>
    <x v="135"/>
    <n v="127"/>
    <x v="135"/>
    <x v="14"/>
    <x v="14"/>
    <x v="0"/>
    <n v="2104"/>
    <n v="2"/>
    <n v="1414.04"/>
    <n v="1764.96"/>
    <s v="PROMO10"/>
    <n v="0.1"/>
    <x v="1"/>
    <x v="134"/>
    <x v="9"/>
    <d v="2025-05-16T00:00:00"/>
    <d v="2025-05-26T00:00:00"/>
    <m/>
    <x v="1"/>
    <x v="1"/>
    <s v="Razoável, poderia ser melhor."/>
    <x v="135"/>
    <n v="2828.08"/>
    <x v="135"/>
    <x v="135"/>
    <x v="3"/>
    <x v="1"/>
  </r>
  <r>
    <x v="136"/>
    <n v="5"/>
    <x v="136"/>
    <x v="13"/>
    <x v="13"/>
    <x v="0"/>
    <n v="2042"/>
    <n v="3"/>
    <n v="310.92"/>
    <n v="454.85"/>
    <m/>
    <n v="0"/>
    <x v="1"/>
    <x v="135"/>
    <x v="4"/>
    <d v="2025-05-17T00:00:00"/>
    <d v="2025-05-22T00:00:00"/>
    <d v="2025-05-24T00:00:00"/>
    <x v="0"/>
    <x v="2"/>
    <s v="Atendimento ao cliente inexistente."/>
    <x v="136"/>
    <n v="932.76"/>
    <x v="136"/>
    <x v="136"/>
    <x v="14"/>
    <x v="2"/>
  </r>
  <r>
    <x v="137"/>
    <n v="32"/>
    <x v="137"/>
    <x v="7"/>
    <x v="7"/>
    <x v="0"/>
    <n v="2874"/>
    <n v="3"/>
    <n v="2381.94"/>
    <n v="4296.76"/>
    <s v="OFF20"/>
    <n v="0.2"/>
    <x v="3"/>
    <x v="136"/>
    <x v="1"/>
    <d v="2025-05-17T00:00:00"/>
    <d v="2025-05-24T00:00:00"/>
    <d v="2025-05-23T00:00:00"/>
    <x v="0"/>
    <x v="3"/>
    <s v="Excelente atendimento e entrega."/>
    <x v="137"/>
    <n v="7145.82"/>
    <x v="137"/>
    <x v="137"/>
    <x v="6"/>
    <x v="0"/>
  </r>
  <r>
    <x v="138"/>
    <n v="102"/>
    <x v="138"/>
    <x v="12"/>
    <x v="12"/>
    <x v="2"/>
    <n v="347"/>
    <n v="1"/>
    <n v="26.66"/>
    <n v="67.83"/>
    <s v="OFF20"/>
    <n v="0.2"/>
    <x v="0"/>
    <x v="137"/>
    <x v="1"/>
    <d v="2025-05-17T00:00:00"/>
    <d v="2025-05-24T00:00:00"/>
    <d v="2025-05-22T00:00:00"/>
    <x v="0"/>
    <x v="0"/>
    <s v="Ótimo custo-benefício!"/>
    <x v="138"/>
    <n v="26.66"/>
    <x v="138"/>
    <x v="138"/>
    <x v="2"/>
    <x v="0"/>
  </r>
  <r>
    <x v="139"/>
    <n v="177"/>
    <x v="139"/>
    <x v="7"/>
    <x v="7"/>
    <x v="0"/>
    <n v="2895"/>
    <n v="3"/>
    <n v="2761.99"/>
    <n v="3631.78"/>
    <s v="PROMO10"/>
    <n v="0.1"/>
    <x v="1"/>
    <x v="138"/>
    <x v="0"/>
    <d v="2025-05-17T00:00:00"/>
    <d v="2025-05-23T00:00:00"/>
    <d v="2025-05-22T00:00:00"/>
    <x v="0"/>
    <x v="0"/>
    <s v="Parabéns pela agilidade!"/>
    <x v="139"/>
    <n v="8285.9699999999993"/>
    <x v="139"/>
    <x v="139"/>
    <x v="6"/>
    <x v="0"/>
  </r>
  <r>
    <x v="140"/>
    <n v="17"/>
    <x v="140"/>
    <x v="13"/>
    <x v="13"/>
    <x v="0"/>
    <n v="2001"/>
    <n v="3"/>
    <n v="288.69"/>
    <n v="544.53"/>
    <s v="PROMO10"/>
    <n v="0.1"/>
    <x v="1"/>
    <x v="139"/>
    <x v="8"/>
    <d v="2025-05-19T00:00:00"/>
    <d v="2025-05-25T00:00:00"/>
    <d v="2025-05-22T00:00:00"/>
    <x v="0"/>
    <x v="3"/>
    <s v="Muito bom, sem reclamações."/>
    <x v="140"/>
    <n v="866.06999999999994"/>
    <x v="140"/>
    <x v="140"/>
    <x v="0"/>
    <x v="0"/>
  </r>
  <r>
    <x v="141"/>
    <n v="187"/>
    <x v="141"/>
    <x v="22"/>
    <x v="22"/>
    <x v="3"/>
    <n v="0"/>
    <n v="1"/>
    <n v="428.34"/>
    <n v="605.9"/>
    <m/>
    <n v="0"/>
    <x v="2"/>
    <x v="140"/>
    <x v="2"/>
    <d v="2025-05-20T00:00:00"/>
    <d v="2025-05-25T00:00:00"/>
    <d v="2025-05-22T00:00:00"/>
    <x v="0"/>
    <x v="3"/>
    <s v="Entrega rápida, muito satisfeito!"/>
    <x v="141"/>
    <n v="428.34"/>
    <x v="141"/>
    <x v="141"/>
    <x v="0"/>
    <x v="0"/>
  </r>
  <r>
    <x v="142"/>
    <n v="44"/>
    <x v="142"/>
    <x v="4"/>
    <x v="4"/>
    <x v="0"/>
    <n v="4989"/>
    <n v="2"/>
    <n v="333.05"/>
    <n v="551.87"/>
    <s v="PROMO10"/>
    <n v="0.1"/>
    <x v="3"/>
    <x v="141"/>
    <x v="7"/>
    <d v="2025-05-19T00:00:00"/>
    <d v="2025-05-28T00:00:00"/>
    <d v="2025-05-23T00:00:00"/>
    <x v="0"/>
    <x v="0"/>
    <s v="Entrega rápida, muito satisfeito!"/>
    <x v="142"/>
    <n v="666.1"/>
    <x v="142"/>
    <x v="142"/>
    <x v="5"/>
    <x v="0"/>
  </r>
  <r>
    <x v="143"/>
    <n v="69"/>
    <x v="143"/>
    <x v="14"/>
    <x v="14"/>
    <x v="0"/>
    <n v="2062"/>
    <n v="3"/>
    <n v="1157.93"/>
    <n v="1656.88"/>
    <m/>
    <n v="0"/>
    <x v="1"/>
    <x v="142"/>
    <x v="1"/>
    <d v="2025-05-20T00:00:00"/>
    <d v="2025-05-26T00:00:00"/>
    <d v="2025-05-22T00:00:00"/>
    <x v="0"/>
    <x v="0"/>
    <s v="Frete rápido, adorei!"/>
    <x v="143"/>
    <n v="3473.79"/>
    <x v="143"/>
    <x v="143"/>
    <x v="1"/>
    <x v="0"/>
  </r>
  <r>
    <x v="144"/>
    <n v="47"/>
    <x v="144"/>
    <x v="7"/>
    <x v="7"/>
    <x v="0"/>
    <n v="2730"/>
    <n v="2"/>
    <n v="2926.02"/>
    <n v="3475.29"/>
    <m/>
    <n v="0"/>
    <x v="2"/>
    <x v="143"/>
    <x v="2"/>
    <d v="2025-05-21T00:00:00"/>
    <d v="2025-05-26T00:00:00"/>
    <d v="2025-05-23T00:00:00"/>
    <x v="0"/>
    <x v="0"/>
    <s v="Produto top, recomendo!"/>
    <x v="144"/>
    <n v="5852.04"/>
    <x v="144"/>
    <x v="144"/>
    <x v="0"/>
    <x v="0"/>
  </r>
  <r>
    <x v="145"/>
    <n v="172"/>
    <x v="145"/>
    <x v="18"/>
    <x v="18"/>
    <x v="0"/>
    <n v="3269"/>
    <n v="1"/>
    <n v="437.91"/>
    <n v="955.82"/>
    <s v="OFF20"/>
    <n v="0.2"/>
    <x v="3"/>
    <x v="144"/>
    <x v="14"/>
    <d v="2025-05-21T00:00:00"/>
    <d v="2025-05-26T00:00:00"/>
    <d v="2025-05-28T00:00:00"/>
    <x v="0"/>
    <x v="2"/>
    <s v="Produto não era o que esperava."/>
    <x v="145"/>
    <n v="437.91"/>
    <x v="145"/>
    <x v="145"/>
    <x v="14"/>
    <x v="2"/>
  </r>
  <r>
    <x v="146"/>
    <n v="135"/>
    <x v="146"/>
    <x v="0"/>
    <x v="0"/>
    <x v="0"/>
    <n v="2214"/>
    <n v="2"/>
    <n v="1777.81"/>
    <n v="3378.03"/>
    <s v="PROMO10"/>
    <n v="0.1"/>
    <x v="3"/>
    <x v="145"/>
    <x v="11"/>
    <d v="2025-05-21T00:00:00"/>
    <d v="2025-05-29T00:00:00"/>
    <d v="2025-05-24T00:00:00"/>
    <x v="0"/>
    <x v="0"/>
    <s v="Parabéns pela agilidade!"/>
    <x v="146"/>
    <n v="3555.62"/>
    <x v="146"/>
    <x v="146"/>
    <x v="5"/>
    <x v="0"/>
  </r>
  <r>
    <x v="147"/>
    <n v="108"/>
    <x v="147"/>
    <x v="0"/>
    <x v="0"/>
    <x v="0"/>
    <n v="2525"/>
    <n v="2"/>
    <n v="2369.13"/>
    <n v="3409.71"/>
    <m/>
    <n v="0"/>
    <x v="1"/>
    <x v="146"/>
    <x v="4"/>
    <d v="2025-05-21T00:00:00"/>
    <d v="2025-05-27T00:00:00"/>
    <d v="2025-05-30T00:00:00"/>
    <x v="0"/>
    <x v="4"/>
    <s v="Produto não era o que esperava."/>
    <x v="147"/>
    <n v="4738.26"/>
    <x v="147"/>
    <x v="147"/>
    <x v="11"/>
    <x v="2"/>
  </r>
  <r>
    <x v="148"/>
    <n v="19"/>
    <x v="148"/>
    <x v="17"/>
    <x v="17"/>
    <x v="2"/>
    <n v="418"/>
    <n v="3"/>
    <n v="113.83"/>
    <n v="156.77000000000001"/>
    <s v="PROMO10"/>
    <n v="0.1"/>
    <x v="3"/>
    <x v="147"/>
    <x v="4"/>
    <d v="2025-05-22T00:00:00"/>
    <d v="2025-06-01T00:00:00"/>
    <d v="2025-05-27T00:00:00"/>
    <x v="0"/>
    <x v="3"/>
    <s v="Muito bom, sem reclamações."/>
    <x v="148"/>
    <n v="341.49"/>
    <x v="148"/>
    <x v="148"/>
    <x v="5"/>
    <x v="0"/>
  </r>
  <r>
    <x v="149"/>
    <n v="150"/>
    <x v="149"/>
    <x v="18"/>
    <x v="18"/>
    <x v="0"/>
    <n v="3238"/>
    <n v="2"/>
    <n v="586.42999999999995"/>
    <n v="883.06"/>
    <m/>
    <n v="0"/>
    <x v="0"/>
    <x v="148"/>
    <x v="2"/>
    <d v="2025-05-22T00:00:00"/>
    <d v="2025-05-28T00:00:00"/>
    <m/>
    <x v="2"/>
    <x v="2"/>
    <s v="Produto não era o que esperava."/>
    <x v="149"/>
    <n v="1172.8599999999999"/>
    <x v="149"/>
    <x v="149"/>
    <x v="3"/>
    <x v="1"/>
  </r>
  <r>
    <x v="150"/>
    <n v="9"/>
    <x v="150"/>
    <x v="18"/>
    <x v="18"/>
    <x v="0"/>
    <n v="2624"/>
    <n v="2"/>
    <n v="494.86"/>
    <n v="616.91999999999996"/>
    <m/>
    <n v="0"/>
    <x v="1"/>
    <x v="149"/>
    <x v="10"/>
    <d v="2025-05-22T00:00:00"/>
    <d v="2025-06-01T00:00:00"/>
    <m/>
    <x v="1"/>
    <x v="2"/>
    <s v="Atendimento ao cliente inexistente."/>
    <x v="150"/>
    <n v="989.72"/>
    <x v="150"/>
    <x v="150"/>
    <x v="3"/>
    <x v="1"/>
  </r>
  <r>
    <x v="151"/>
    <n v="19"/>
    <x v="151"/>
    <x v="13"/>
    <x v="13"/>
    <x v="0"/>
    <n v="2049"/>
    <n v="3"/>
    <n v="211.93"/>
    <n v="576.28"/>
    <m/>
    <n v="0"/>
    <x v="3"/>
    <x v="150"/>
    <x v="12"/>
    <d v="2025-05-23T00:00:00"/>
    <d v="2025-05-28T00:00:00"/>
    <m/>
    <x v="2"/>
    <x v="2"/>
    <s v="Atendimento ao cliente inexistente."/>
    <x v="151"/>
    <n v="635.79"/>
    <x v="151"/>
    <x v="151"/>
    <x v="3"/>
    <x v="1"/>
  </r>
  <r>
    <x v="152"/>
    <n v="90"/>
    <x v="152"/>
    <x v="15"/>
    <x v="15"/>
    <x v="3"/>
    <n v="0"/>
    <n v="3"/>
    <n v="449.86"/>
    <n v="598.19000000000005"/>
    <m/>
    <n v="0"/>
    <x v="3"/>
    <x v="151"/>
    <x v="14"/>
    <d v="2025-05-22T00:00:00"/>
    <d v="2025-05-30T00:00:00"/>
    <m/>
    <x v="2"/>
    <x v="2"/>
    <s v="Veio errado, tive que devolver."/>
    <x v="152"/>
    <n v="1349.58"/>
    <x v="152"/>
    <x v="152"/>
    <x v="3"/>
    <x v="1"/>
  </r>
  <r>
    <x v="153"/>
    <n v="103"/>
    <x v="153"/>
    <x v="5"/>
    <x v="5"/>
    <x v="2"/>
    <n v="248"/>
    <n v="2"/>
    <n v="50.72"/>
    <n v="66.849999999999994"/>
    <m/>
    <n v="0"/>
    <x v="3"/>
    <x v="152"/>
    <x v="13"/>
    <d v="2025-05-23T00:00:00"/>
    <d v="2025-05-31T00:00:00"/>
    <d v="2025-05-26T00:00:00"/>
    <x v="0"/>
    <x v="0"/>
    <s v="Qualidade impecável, voltarei a comprar."/>
    <x v="153"/>
    <n v="101.44"/>
    <x v="153"/>
    <x v="153"/>
    <x v="5"/>
    <x v="0"/>
  </r>
  <r>
    <x v="154"/>
    <n v="154"/>
    <x v="154"/>
    <x v="9"/>
    <x v="9"/>
    <x v="1"/>
    <n v="0"/>
    <n v="3"/>
    <n v="89.76"/>
    <n v="161.49"/>
    <m/>
    <n v="0"/>
    <x v="1"/>
    <x v="153"/>
    <x v="1"/>
    <d v="2025-05-22T00:00:00"/>
    <d v="2025-05-29T00:00:00"/>
    <d v="2025-06-02T00:00:00"/>
    <x v="0"/>
    <x v="2"/>
    <s v="Atendimento ao cliente inexistente."/>
    <x v="154"/>
    <n v="269.27999999999997"/>
    <x v="154"/>
    <x v="154"/>
    <x v="7"/>
    <x v="2"/>
  </r>
  <r>
    <x v="155"/>
    <n v="194"/>
    <x v="155"/>
    <x v="17"/>
    <x v="17"/>
    <x v="2"/>
    <n v="450"/>
    <n v="3"/>
    <n v="133.49"/>
    <n v="163.37"/>
    <s v="OFF20"/>
    <n v="0.2"/>
    <x v="1"/>
    <x v="154"/>
    <x v="10"/>
    <d v="2025-05-23T00:00:00"/>
    <d v="2025-06-02T00:00:00"/>
    <d v="2025-06-01T00:00:00"/>
    <x v="0"/>
    <x v="0"/>
    <s v="Embalagem perfeita, produto intacto."/>
    <x v="155"/>
    <n v="400.47"/>
    <x v="155"/>
    <x v="155"/>
    <x v="6"/>
    <x v="0"/>
  </r>
  <r>
    <x v="156"/>
    <n v="131"/>
    <x v="156"/>
    <x v="4"/>
    <x v="4"/>
    <x v="0"/>
    <n v="4215"/>
    <n v="1"/>
    <n v="359.61"/>
    <n v="622.33000000000004"/>
    <s v="PROMO10"/>
    <n v="0.1"/>
    <x v="3"/>
    <x v="155"/>
    <x v="7"/>
    <d v="2025-05-24T00:00:00"/>
    <d v="2025-05-30T00:00:00"/>
    <d v="2025-06-04T00:00:00"/>
    <x v="0"/>
    <x v="1"/>
    <s v="Produto bom, mas o frete foi caro."/>
    <x v="156"/>
    <n v="359.61"/>
    <x v="156"/>
    <x v="156"/>
    <x v="10"/>
    <x v="2"/>
  </r>
  <r>
    <x v="157"/>
    <n v="88"/>
    <x v="157"/>
    <x v="17"/>
    <x v="17"/>
    <x v="2"/>
    <n v="408"/>
    <n v="3"/>
    <n v="77.739999999999995"/>
    <n v="262.24"/>
    <s v="OFF20"/>
    <n v="0.2"/>
    <x v="1"/>
    <x v="156"/>
    <x v="11"/>
    <d v="2025-05-23T00:00:00"/>
    <d v="2025-06-02T00:00:00"/>
    <d v="2025-06-07T00:00:00"/>
    <x v="0"/>
    <x v="1"/>
    <s v="Entrega demorou mais que o previsto."/>
    <x v="157"/>
    <n v="233.22"/>
    <x v="157"/>
    <x v="157"/>
    <x v="10"/>
    <x v="2"/>
  </r>
  <r>
    <x v="158"/>
    <n v="183"/>
    <x v="158"/>
    <x v="1"/>
    <x v="1"/>
    <x v="0"/>
    <n v="2545"/>
    <n v="2"/>
    <n v="671.22"/>
    <n v="1125.1600000000001"/>
    <m/>
    <n v="0"/>
    <x v="1"/>
    <x v="157"/>
    <x v="7"/>
    <d v="2025-05-25T00:00:00"/>
    <d v="2025-06-01T00:00:00"/>
    <d v="2025-06-01T00:00:00"/>
    <x v="0"/>
    <x v="0"/>
    <s v="Chegou antes do prazo, excelente!"/>
    <x v="158"/>
    <n v="1342.44"/>
    <x v="158"/>
    <x v="158"/>
    <x v="4"/>
    <x v="0"/>
  </r>
  <r>
    <x v="159"/>
    <n v="167"/>
    <x v="159"/>
    <x v="14"/>
    <x v="14"/>
    <x v="0"/>
    <n v="2136"/>
    <n v="2"/>
    <n v="1347.83"/>
    <n v="1817.64"/>
    <m/>
    <n v="0"/>
    <x v="0"/>
    <x v="158"/>
    <x v="0"/>
    <d v="2025-05-24T00:00:00"/>
    <d v="2025-05-30T00:00:00"/>
    <d v="2025-05-27T00:00:00"/>
    <x v="0"/>
    <x v="0"/>
    <s v="Excelente atendimento e entrega."/>
    <x v="159"/>
    <n v="2695.66"/>
    <x v="159"/>
    <x v="159"/>
    <x v="0"/>
    <x v="0"/>
  </r>
  <r>
    <x v="160"/>
    <n v="131"/>
    <x v="160"/>
    <x v="0"/>
    <x v="0"/>
    <x v="0"/>
    <n v="2026"/>
    <n v="2"/>
    <n v="1808.8"/>
    <n v="3053.3"/>
    <m/>
    <n v="0"/>
    <x v="2"/>
    <x v="159"/>
    <x v="2"/>
    <d v="2025-05-26T00:00:00"/>
    <d v="2025-06-02T00:00:00"/>
    <d v="2025-05-31T00:00:00"/>
    <x v="0"/>
    <x v="3"/>
    <s v="Frete rápido, adorei!"/>
    <x v="160"/>
    <n v="3617.6"/>
    <x v="160"/>
    <x v="160"/>
    <x v="2"/>
    <x v="0"/>
  </r>
  <r>
    <x v="161"/>
    <n v="62"/>
    <x v="161"/>
    <x v="6"/>
    <x v="6"/>
    <x v="2"/>
    <n v="273"/>
    <n v="3"/>
    <n v="42.81"/>
    <n v="140.18"/>
    <s v="PROMO10"/>
    <n v="0.1"/>
    <x v="0"/>
    <x v="160"/>
    <x v="6"/>
    <d v="2025-05-26T00:00:00"/>
    <d v="2025-06-03T00:00:00"/>
    <d v="2025-06-07T00:00:00"/>
    <x v="0"/>
    <x v="4"/>
    <s v="Atendimento ao cliente inexistente."/>
    <x v="161"/>
    <n v="128.43"/>
    <x v="161"/>
    <x v="161"/>
    <x v="7"/>
    <x v="2"/>
  </r>
  <r>
    <x v="162"/>
    <n v="97"/>
    <x v="162"/>
    <x v="11"/>
    <x v="11"/>
    <x v="2"/>
    <n v="265"/>
    <n v="1"/>
    <n v="57.59"/>
    <n v="108.35"/>
    <m/>
    <n v="0"/>
    <x v="1"/>
    <x v="161"/>
    <x v="1"/>
    <d v="2025-05-25T00:00:00"/>
    <d v="2025-06-01T00:00:00"/>
    <d v="2025-05-30T00:00:00"/>
    <x v="0"/>
    <x v="3"/>
    <s v="Tudo certo, nota 10!"/>
    <x v="162"/>
    <n v="57.59"/>
    <x v="162"/>
    <x v="162"/>
    <x v="2"/>
    <x v="0"/>
  </r>
  <r>
    <x v="163"/>
    <n v="194"/>
    <x v="163"/>
    <x v="19"/>
    <x v="19"/>
    <x v="0"/>
    <n v="3989"/>
    <n v="2"/>
    <n v="740.41"/>
    <n v="1952.81"/>
    <s v="OFF20"/>
    <n v="0.2"/>
    <x v="2"/>
    <x v="162"/>
    <x v="8"/>
    <d v="2025-05-25T00:00:00"/>
    <d v="2025-06-02T00:00:00"/>
    <d v="2025-05-31T00:00:00"/>
    <x v="0"/>
    <x v="0"/>
    <s v="Produto top, recomendo!"/>
    <x v="163"/>
    <n v="1480.82"/>
    <x v="163"/>
    <x v="163"/>
    <x v="2"/>
    <x v="0"/>
  </r>
  <r>
    <x v="164"/>
    <n v="118"/>
    <x v="164"/>
    <x v="19"/>
    <x v="19"/>
    <x v="0"/>
    <n v="3879"/>
    <n v="3"/>
    <n v="1000.39"/>
    <n v="1343.8"/>
    <m/>
    <n v="0"/>
    <x v="2"/>
    <x v="163"/>
    <x v="4"/>
    <d v="2025-05-27T00:00:00"/>
    <d v="2025-06-05T00:00:00"/>
    <d v="2025-06-04T00:00:00"/>
    <x v="0"/>
    <x v="0"/>
    <s v="Qualidade impecável, voltarei a comprar."/>
    <x v="164"/>
    <n v="3001.17"/>
    <x v="164"/>
    <x v="164"/>
    <x v="6"/>
    <x v="0"/>
  </r>
  <r>
    <x v="165"/>
    <n v="5"/>
    <x v="165"/>
    <x v="9"/>
    <x v="9"/>
    <x v="1"/>
    <n v="0"/>
    <n v="3"/>
    <n v="69.36"/>
    <n v="157.18"/>
    <s v="OFF20"/>
    <n v="0.2"/>
    <x v="2"/>
    <x v="164"/>
    <x v="2"/>
    <d v="2025-05-27T00:00:00"/>
    <d v="2025-06-04T00:00:00"/>
    <d v="2025-06-04T00:00:00"/>
    <x v="0"/>
    <x v="0"/>
    <s v="Parabéns pela agilidade!"/>
    <x v="165"/>
    <n v="208.08"/>
    <x v="165"/>
    <x v="165"/>
    <x v="4"/>
    <x v="0"/>
  </r>
  <r>
    <x v="166"/>
    <n v="101"/>
    <x v="166"/>
    <x v="9"/>
    <x v="9"/>
    <x v="1"/>
    <n v="0"/>
    <n v="3"/>
    <n v="74.41"/>
    <n v="146.04"/>
    <s v="OFF20"/>
    <n v="0.2"/>
    <x v="2"/>
    <x v="165"/>
    <x v="13"/>
    <d v="2025-05-28T00:00:00"/>
    <d v="2025-06-07T00:00:00"/>
    <d v="2025-06-03T00:00:00"/>
    <x v="0"/>
    <x v="0"/>
    <s v="Muito bom, sem reclamações."/>
    <x v="166"/>
    <n v="223.23"/>
    <x v="166"/>
    <x v="166"/>
    <x v="1"/>
    <x v="0"/>
  </r>
  <r>
    <x v="167"/>
    <n v="175"/>
    <x v="167"/>
    <x v="15"/>
    <x v="15"/>
    <x v="3"/>
    <n v="0"/>
    <n v="2"/>
    <n v="344.59"/>
    <n v="477.74"/>
    <m/>
    <n v="0"/>
    <x v="3"/>
    <x v="166"/>
    <x v="1"/>
    <d v="2025-05-29T00:00:00"/>
    <d v="2025-06-06T00:00:00"/>
    <d v="2025-05-31T00:00:00"/>
    <x v="0"/>
    <x v="3"/>
    <s v="Frete rápido, adorei!"/>
    <x v="167"/>
    <n v="689.18"/>
    <x v="167"/>
    <x v="167"/>
    <x v="12"/>
    <x v="0"/>
  </r>
  <r>
    <x v="168"/>
    <n v="34"/>
    <x v="168"/>
    <x v="6"/>
    <x v="6"/>
    <x v="2"/>
    <n v="265"/>
    <n v="3"/>
    <n v="45.6"/>
    <n v="79.78"/>
    <s v="OFF20"/>
    <n v="0.2"/>
    <x v="2"/>
    <x v="167"/>
    <x v="2"/>
    <d v="2025-05-29T00:00:00"/>
    <d v="2025-06-04T00:00:00"/>
    <d v="2025-06-01T00:00:00"/>
    <x v="0"/>
    <x v="0"/>
    <s v="Chegou antes do prazo, excelente!"/>
    <x v="168"/>
    <n v="136.80000000000001"/>
    <x v="168"/>
    <x v="168"/>
    <x v="0"/>
    <x v="0"/>
  </r>
  <r>
    <x v="169"/>
    <n v="75"/>
    <x v="169"/>
    <x v="3"/>
    <x v="3"/>
    <x v="2"/>
    <n v="771"/>
    <n v="1"/>
    <n v="172.67"/>
    <n v="254.97"/>
    <m/>
    <n v="0"/>
    <x v="0"/>
    <x v="168"/>
    <x v="8"/>
    <d v="2025-05-29T00:00:00"/>
    <d v="2025-06-05T00:00:00"/>
    <m/>
    <x v="1"/>
    <x v="3"/>
    <s v="Superou minhas expectativas!"/>
    <x v="169"/>
    <n v="172.67"/>
    <x v="169"/>
    <x v="169"/>
    <x v="3"/>
    <x v="1"/>
  </r>
  <r>
    <x v="170"/>
    <n v="77"/>
    <x v="170"/>
    <x v="19"/>
    <x v="19"/>
    <x v="0"/>
    <n v="4801"/>
    <n v="1"/>
    <n v="782"/>
    <n v="1476.05"/>
    <s v="PROMO10"/>
    <n v="0.1"/>
    <x v="1"/>
    <x v="169"/>
    <x v="5"/>
    <d v="2025-05-29T00:00:00"/>
    <d v="2025-06-08T00:00:00"/>
    <d v="2025-05-31T00:00:00"/>
    <x v="0"/>
    <x v="0"/>
    <s v="Produto top, recomendo!"/>
    <x v="170"/>
    <n v="782"/>
    <x v="170"/>
    <x v="170"/>
    <x v="13"/>
    <x v="0"/>
  </r>
  <r>
    <x v="171"/>
    <n v="98"/>
    <x v="171"/>
    <x v="5"/>
    <x v="5"/>
    <x v="2"/>
    <n v="281"/>
    <n v="2"/>
    <n v="30.34"/>
    <n v="73.14"/>
    <m/>
    <n v="0"/>
    <x v="2"/>
    <x v="170"/>
    <x v="5"/>
    <d v="2025-05-30T00:00:00"/>
    <d v="2025-06-05T00:00:00"/>
    <d v="2025-06-03T00:00:00"/>
    <x v="0"/>
    <x v="3"/>
    <s v="Entrega no prazo e produto conforme descrito."/>
    <x v="171"/>
    <n v="60.68"/>
    <x v="171"/>
    <x v="171"/>
    <x v="2"/>
    <x v="0"/>
  </r>
  <r>
    <x v="172"/>
    <n v="47"/>
    <x v="172"/>
    <x v="2"/>
    <x v="2"/>
    <x v="1"/>
    <n v="0"/>
    <n v="1"/>
    <n v="62.36"/>
    <n v="127.9"/>
    <m/>
    <n v="0"/>
    <x v="1"/>
    <x v="171"/>
    <x v="2"/>
    <d v="2025-05-30T00:00:00"/>
    <d v="2025-06-05T00:00:00"/>
    <d v="2025-06-03T00:00:00"/>
    <x v="0"/>
    <x v="0"/>
    <s v="Embalagem perfeita, produto intacto."/>
    <x v="172"/>
    <n v="62.36"/>
    <x v="172"/>
    <x v="172"/>
    <x v="2"/>
    <x v="0"/>
  </r>
  <r>
    <x v="173"/>
    <n v="8"/>
    <x v="173"/>
    <x v="1"/>
    <x v="1"/>
    <x v="0"/>
    <n v="2203"/>
    <n v="1"/>
    <n v="441"/>
    <n v="1327.64"/>
    <m/>
    <n v="0"/>
    <x v="1"/>
    <x v="172"/>
    <x v="4"/>
    <d v="2025-05-30T00:00:00"/>
    <d v="2025-06-07T00:00:00"/>
    <d v="2025-06-02T00:00:00"/>
    <x v="0"/>
    <x v="0"/>
    <s v="Tudo certo, nota 10!"/>
    <x v="173"/>
    <n v="441"/>
    <x v="173"/>
    <x v="173"/>
    <x v="5"/>
    <x v="0"/>
  </r>
  <r>
    <x v="174"/>
    <n v="125"/>
    <x v="174"/>
    <x v="10"/>
    <x v="10"/>
    <x v="2"/>
    <n v="247"/>
    <n v="3"/>
    <n v="106.1"/>
    <n v="218.06"/>
    <m/>
    <n v="0"/>
    <x v="2"/>
    <x v="173"/>
    <x v="2"/>
    <d v="2025-05-30T00:00:00"/>
    <d v="2025-06-07T00:00:00"/>
    <m/>
    <x v="2"/>
    <x v="2"/>
    <s v="Pior experiência de compra online."/>
    <x v="174"/>
    <n v="318.3"/>
    <x v="174"/>
    <x v="174"/>
    <x v="3"/>
    <x v="1"/>
  </r>
  <r>
    <x v="175"/>
    <n v="13"/>
    <x v="175"/>
    <x v="17"/>
    <x v="17"/>
    <x v="2"/>
    <n v="350"/>
    <n v="3"/>
    <n v="103.15"/>
    <n v="253.56"/>
    <m/>
    <n v="0"/>
    <x v="1"/>
    <x v="174"/>
    <x v="9"/>
    <d v="2025-05-31T00:00:00"/>
    <d v="2025-06-05T00:00:00"/>
    <d v="2025-06-05T00:00:00"/>
    <x v="0"/>
    <x v="3"/>
    <s v="Entrega rápida, muito satisfeito!"/>
    <x v="175"/>
    <n v="309.45"/>
    <x v="175"/>
    <x v="175"/>
    <x v="4"/>
    <x v="0"/>
  </r>
  <r>
    <x v="176"/>
    <n v="117"/>
    <x v="176"/>
    <x v="20"/>
    <x v="20"/>
    <x v="3"/>
    <n v="0"/>
    <n v="1"/>
    <n v="389.98"/>
    <n v="663.33"/>
    <s v="OFF20"/>
    <n v="0.2"/>
    <x v="1"/>
    <x v="175"/>
    <x v="4"/>
    <d v="2025-05-30T00:00:00"/>
    <d v="2025-06-07T00:00:00"/>
    <d v="2025-06-06T00:00:00"/>
    <x v="0"/>
    <x v="3"/>
    <s v="Ótimo custo-benefício!"/>
    <x v="176"/>
    <n v="389.98"/>
    <x v="176"/>
    <x v="176"/>
    <x v="6"/>
    <x v="0"/>
  </r>
  <r>
    <x v="177"/>
    <n v="106"/>
    <x v="177"/>
    <x v="7"/>
    <x v="7"/>
    <x v="0"/>
    <n v="2404"/>
    <n v="1"/>
    <n v="2734.27"/>
    <n v="3464.65"/>
    <m/>
    <n v="0"/>
    <x v="1"/>
    <x v="176"/>
    <x v="0"/>
    <d v="2025-06-01T00:00:00"/>
    <d v="2025-06-06T00:00:00"/>
    <d v="2025-06-04T00:00:00"/>
    <x v="0"/>
    <x v="0"/>
    <s v="Tudo certo, nota 10!"/>
    <x v="177"/>
    <n v="2734.27"/>
    <x v="177"/>
    <x v="177"/>
    <x v="2"/>
    <x v="0"/>
  </r>
  <r>
    <x v="178"/>
    <n v="8"/>
    <x v="178"/>
    <x v="21"/>
    <x v="21"/>
    <x v="3"/>
    <n v="0"/>
    <n v="1"/>
    <n v="240.6"/>
    <n v="303.64"/>
    <m/>
    <n v="0"/>
    <x v="2"/>
    <x v="177"/>
    <x v="8"/>
    <d v="2025-05-31T00:00:00"/>
    <d v="2025-06-08T00:00:00"/>
    <d v="2025-06-04T00:00:00"/>
    <x v="0"/>
    <x v="3"/>
    <s v="Entrega no prazo e produto conforme descrito."/>
    <x v="178"/>
    <n v="240.6"/>
    <x v="178"/>
    <x v="178"/>
    <x v="1"/>
    <x v="0"/>
  </r>
  <r>
    <x v="179"/>
    <n v="185"/>
    <x v="179"/>
    <x v="0"/>
    <x v="0"/>
    <x v="0"/>
    <n v="2036"/>
    <n v="3"/>
    <n v="2300.4"/>
    <n v="3320.27"/>
    <m/>
    <n v="0"/>
    <x v="1"/>
    <x v="178"/>
    <x v="2"/>
    <d v="2025-05-31T00:00:00"/>
    <d v="2025-06-08T00:00:00"/>
    <d v="2025-06-06T00:00:00"/>
    <x v="0"/>
    <x v="3"/>
    <s v="Produto original, vendedor confiável."/>
    <x v="179"/>
    <n v="6901.2000000000007"/>
    <x v="179"/>
    <x v="179"/>
    <x v="2"/>
    <x v="0"/>
  </r>
  <r>
    <x v="180"/>
    <n v="14"/>
    <x v="180"/>
    <x v="5"/>
    <x v="5"/>
    <x v="2"/>
    <n v="222"/>
    <n v="2"/>
    <n v="67.209999999999994"/>
    <n v="133.47999999999999"/>
    <m/>
    <n v="0"/>
    <x v="0"/>
    <x v="179"/>
    <x v="2"/>
    <d v="2025-06-02T00:00:00"/>
    <d v="2025-06-12T00:00:00"/>
    <d v="2025-06-16T00:00:00"/>
    <x v="0"/>
    <x v="1"/>
    <s v="Chegou com pequeno atraso, mas o produto é bom."/>
    <x v="180"/>
    <n v="134.41999999999999"/>
    <x v="180"/>
    <x v="180"/>
    <x v="7"/>
    <x v="2"/>
  </r>
  <r>
    <x v="181"/>
    <n v="25"/>
    <x v="181"/>
    <x v="13"/>
    <x v="13"/>
    <x v="0"/>
    <n v="2058"/>
    <n v="1"/>
    <n v="259.55"/>
    <n v="682.87"/>
    <m/>
    <n v="0"/>
    <x v="3"/>
    <x v="180"/>
    <x v="1"/>
    <d v="2025-06-02T00:00:00"/>
    <d v="2025-06-07T00:00:00"/>
    <d v="2025-06-06T00:00:00"/>
    <x v="0"/>
    <x v="0"/>
    <s v="Qualidade impecável, voltarei a comprar."/>
    <x v="181"/>
    <n v="259.55"/>
    <x v="181"/>
    <x v="181"/>
    <x v="6"/>
    <x v="0"/>
  </r>
  <r>
    <x v="182"/>
    <n v="11"/>
    <x v="182"/>
    <x v="18"/>
    <x v="18"/>
    <x v="0"/>
    <n v="2702"/>
    <n v="2"/>
    <n v="499.2"/>
    <n v="824.51"/>
    <s v="PROMO10"/>
    <n v="0.1"/>
    <x v="0"/>
    <x v="181"/>
    <x v="0"/>
    <d v="2025-06-03T00:00:00"/>
    <d v="2025-06-10T00:00:00"/>
    <m/>
    <x v="1"/>
    <x v="3"/>
    <s v="Excelente atendimento e entrega."/>
    <x v="182"/>
    <n v="998.4"/>
    <x v="182"/>
    <x v="182"/>
    <x v="3"/>
    <x v="1"/>
  </r>
  <r>
    <x v="183"/>
    <n v="63"/>
    <x v="183"/>
    <x v="11"/>
    <x v="11"/>
    <x v="2"/>
    <n v="236"/>
    <n v="2"/>
    <n v="22.66"/>
    <n v="107.71"/>
    <m/>
    <n v="0"/>
    <x v="3"/>
    <x v="182"/>
    <x v="13"/>
    <d v="2025-06-02T00:00:00"/>
    <d v="2025-06-07T00:00:00"/>
    <d v="2025-06-04T00:00:00"/>
    <x v="0"/>
    <x v="0"/>
    <s v="Produto original, vendedor confiável."/>
    <x v="183"/>
    <n v="45.32"/>
    <x v="183"/>
    <x v="183"/>
    <x v="0"/>
    <x v="0"/>
  </r>
  <r>
    <x v="184"/>
    <n v="155"/>
    <x v="184"/>
    <x v="4"/>
    <x v="4"/>
    <x v="0"/>
    <n v="4917"/>
    <n v="1"/>
    <n v="320.77999999999997"/>
    <n v="400.02"/>
    <m/>
    <n v="0"/>
    <x v="2"/>
    <x v="183"/>
    <x v="2"/>
    <d v="2025-06-02T00:00:00"/>
    <d v="2025-06-11T00:00:00"/>
    <d v="2025-06-08T00:00:00"/>
    <x v="0"/>
    <x v="3"/>
    <s v="Qualidade impecável, voltarei a comprar."/>
    <x v="184"/>
    <n v="320.77999999999997"/>
    <x v="184"/>
    <x v="184"/>
    <x v="0"/>
    <x v="0"/>
  </r>
  <r>
    <x v="185"/>
    <n v="33"/>
    <x v="185"/>
    <x v="12"/>
    <x v="12"/>
    <x v="2"/>
    <n v="394"/>
    <n v="3"/>
    <n v="23.47"/>
    <n v="67.650000000000006"/>
    <s v="OFF20"/>
    <n v="0.2"/>
    <x v="3"/>
    <x v="184"/>
    <x v="2"/>
    <d v="2025-06-02T00:00:00"/>
    <d v="2025-06-10T00:00:00"/>
    <m/>
    <x v="2"/>
    <x v="4"/>
    <s v="Não recomendo, péssima experiência."/>
    <x v="185"/>
    <n v="70.41"/>
    <x v="185"/>
    <x v="185"/>
    <x v="3"/>
    <x v="1"/>
  </r>
  <r>
    <x v="186"/>
    <n v="196"/>
    <x v="186"/>
    <x v="7"/>
    <x v="7"/>
    <x v="0"/>
    <n v="2222"/>
    <n v="3"/>
    <n v="2610.04"/>
    <n v="4148.75"/>
    <m/>
    <n v="0"/>
    <x v="2"/>
    <x v="185"/>
    <x v="4"/>
    <d v="2025-06-05T00:00:00"/>
    <d v="2025-06-13T00:00:00"/>
    <d v="2025-06-11T00:00:00"/>
    <x v="0"/>
    <x v="0"/>
    <s v="Produto original, vendedor confiável."/>
    <x v="186"/>
    <n v="7830.12"/>
    <x v="186"/>
    <x v="186"/>
    <x v="2"/>
    <x v="0"/>
  </r>
  <r>
    <x v="187"/>
    <n v="179"/>
    <x v="187"/>
    <x v="20"/>
    <x v="20"/>
    <x v="3"/>
    <n v="0"/>
    <n v="1"/>
    <n v="213.86"/>
    <n v="538.09"/>
    <m/>
    <n v="0"/>
    <x v="3"/>
    <x v="12"/>
    <x v="13"/>
    <d v="2025-06-05T00:00:00"/>
    <d v="2025-06-15T00:00:00"/>
    <d v="2025-06-07T00:00:00"/>
    <x v="0"/>
    <x v="0"/>
    <s v="Ótimo custo-benefício!"/>
    <x v="187"/>
    <n v="213.86"/>
    <x v="187"/>
    <x v="187"/>
    <x v="13"/>
    <x v="0"/>
  </r>
  <r>
    <x v="188"/>
    <n v="197"/>
    <x v="188"/>
    <x v="10"/>
    <x v="10"/>
    <x v="2"/>
    <n v="228"/>
    <n v="3"/>
    <n v="104.5"/>
    <n v="156.94999999999999"/>
    <m/>
    <n v="0"/>
    <x v="0"/>
    <x v="186"/>
    <x v="7"/>
    <d v="2025-06-04T00:00:00"/>
    <d v="2025-06-09T00:00:00"/>
    <d v="2025-06-09T00:00:00"/>
    <x v="0"/>
    <x v="3"/>
    <s v="Embalagem perfeita, produto intacto."/>
    <x v="188"/>
    <n v="313.5"/>
    <x v="188"/>
    <x v="188"/>
    <x v="4"/>
    <x v="0"/>
  </r>
  <r>
    <x v="189"/>
    <n v="65"/>
    <x v="189"/>
    <x v="22"/>
    <x v="22"/>
    <x v="3"/>
    <n v="0"/>
    <n v="3"/>
    <n v="335.33"/>
    <n v="741.86"/>
    <s v="OFF20"/>
    <n v="0.2"/>
    <x v="2"/>
    <x v="187"/>
    <x v="1"/>
    <d v="2025-06-05T00:00:00"/>
    <d v="2025-06-15T00:00:00"/>
    <d v="2025-06-15T00:00:00"/>
    <x v="0"/>
    <x v="3"/>
    <s v="Chegou antes do prazo, excelente!"/>
    <x v="189"/>
    <n v="1005.99"/>
    <x v="189"/>
    <x v="189"/>
    <x v="4"/>
    <x v="0"/>
  </r>
  <r>
    <x v="190"/>
    <n v="48"/>
    <x v="190"/>
    <x v="16"/>
    <x v="16"/>
    <x v="1"/>
    <n v="0"/>
    <n v="3"/>
    <n v="290.58999999999997"/>
    <n v="356.06"/>
    <m/>
    <n v="0"/>
    <x v="3"/>
    <x v="188"/>
    <x v="8"/>
    <d v="2025-06-05T00:00:00"/>
    <d v="2025-06-15T00:00:00"/>
    <d v="2025-06-10T00:00:00"/>
    <x v="0"/>
    <x v="3"/>
    <s v="Qualidade impecável, voltarei a comprar."/>
    <x v="190"/>
    <n v="871.77"/>
    <x v="190"/>
    <x v="190"/>
    <x v="5"/>
    <x v="0"/>
  </r>
  <r>
    <x v="191"/>
    <n v="4"/>
    <x v="191"/>
    <x v="2"/>
    <x v="2"/>
    <x v="1"/>
    <n v="0"/>
    <n v="3"/>
    <n v="53.31"/>
    <n v="130.31"/>
    <m/>
    <n v="0"/>
    <x v="2"/>
    <x v="189"/>
    <x v="5"/>
    <d v="2025-06-05T00:00:00"/>
    <d v="2025-06-10T00:00:00"/>
    <d v="2025-06-08T00:00:00"/>
    <x v="0"/>
    <x v="0"/>
    <s v="Entrega rápida, muito satisfeito!"/>
    <x v="191"/>
    <n v="159.93"/>
    <x v="191"/>
    <x v="191"/>
    <x v="2"/>
    <x v="0"/>
  </r>
  <r>
    <x v="192"/>
    <n v="72"/>
    <x v="192"/>
    <x v="7"/>
    <x v="7"/>
    <x v="0"/>
    <n v="2941"/>
    <n v="3"/>
    <n v="2599.6"/>
    <n v="4041.59"/>
    <m/>
    <n v="0"/>
    <x v="1"/>
    <x v="190"/>
    <x v="2"/>
    <d v="2025-06-07T00:00:00"/>
    <d v="2025-06-13T00:00:00"/>
    <d v="2025-06-09T00:00:00"/>
    <x v="0"/>
    <x v="0"/>
    <s v="Embalagem perfeita, produto intacto."/>
    <x v="192"/>
    <n v="7798.7999999999993"/>
    <x v="192"/>
    <x v="192"/>
    <x v="1"/>
    <x v="0"/>
  </r>
  <r>
    <x v="193"/>
    <n v="47"/>
    <x v="193"/>
    <x v="1"/>
    <x v="1"/>
    <x v="0"/>
    <n v="2710"/>
    <n v="2"/>
    <n v="649.88"/>
    <n v="1264.56"/>
    <s v="PROMO10"/>
    <n v="0.1"/>
    <x v="2"/>
    <x v="191"/>
    <x v="5"/>
    <d v="2025-06-06T00:00:00"/>
    <d v="2025-06-11T00:00:00"/>
    <d v="2025-06-15T00:00:00"/>
    <x v="0"/>
    <x v="1"/>
    <s v="Nada de especial, cumpriu o básico."/>
    <x v="193"/>
    <n v="1299.76"/>
    <x v="193"/>
    <x v="193"/>
    <x v="7"/>
    <x v="2"/>
  </r>
  <r>
    <x v="194"/>
    <n v="106"/>
    <x v="194"/>
    <x v="18"/>
    <x v="18"/>
    <x v="0"/>
    <n v="3489"/>
    <n v="3"/>
    <n v="564.22"/>
    <n v="964.5"/>
    <m/>
    <n v="0"/>
    <x v="1"/>
    <x v="192"/>
    <x v="2"/>
    <d v="2025-06-06T00:00:00"/>
    <d v="2025-06-12T00:00:00"/>
    <d v="2025-06-09T00:00:00"/>
    <x v="0"/>
    <x v="0"/>
    <s v="Frete rápido, adorei!"/>
    <x v="194"/>
    <n v="1692.66"/>
    <x v="194"/>
    <x v="194"/>
    <x v="0"/>
    <x v="0"/>
  </r>
  <r>
    <x v="195"/>
    <n v="6"/>
    <x v="195"/>
    <x v="3"/>
    <x v="3"/>
    <x v="2"/>
    <n v="639"/>
    <n v="1"/>
    <n v="114.02"/>
    <n v="216.69"/>
    <m/>
    <n v="0"/>
    <x v="0"/>
    <x v="193"/>
    <x v="2"/>
    <d v="2025-06-07T00:00:00"/>
    <d v="2025-06-14T00:00:00"/>
    <m/>
    <x v="1"/>
    <x v="3"/>
    <s v="Muito bom, sem reclamações."/>
    <x v="195"/>
    <n v="114.02"/>
    <x v="195"/>
    <x v="195"/>
    <x v="3"/>
    <x v="1"/>
  </r>
  <r>
    <x v="196"/>
    <n v="22"/>
    <x v="196"/>
    <x v="7"/>
    <x v="7"/>
    <x v="0"/>
    <n v="2248"/>
    <n v="1"/>
    <n v="2420.14"/>
    <n v="3966.62"/>
    <s v="PROMO10"/>
    <n v="0.1"/>
    <x v="2"/>
    <x v="194"/>
    <x v="8"/>
    <d v="2025-06-07T00:00:00"/>
    <d v="2025-06-15T00:00:00"/>
    <d v="2025-06-15T00:00:00"/>
    <x v="0"/>
    <x v="3"/>
    <s v="Produto top, recomendo!"/>
    <x v="196"/>
    <n v="2420.14"/>
    <x v="196"/>
    <x v="196"/>
    <x v="4"/>
    <x v="0"/>
  </r>
  <r>
    <x v="197"/>
    <n v="77"/>
    <x v="197"/>
    <x v="5"/>
    <x v="5"/>
    <x v="2"/>
    <n v="209"/>
    <n v="2"/>
    <n v="38.21"/>
    <n v="53.88"/>
    <m/>
    <n v="0"/>
    <x v="3"/>
    <x v="5"/>
    <x v="4"/>
    <d v="2025-06-07T00:00:00"/>
    <d v="2025-06-13T00:00:00"/>
    <d v="2025-06-09T00:00:00"/>
    <x v="0"/>
    <x v="0"/>
    <s v="Superou minhas expectativas!"/>
    <x v="197"/>
    <n v="76.42"/>
    <x v="197"/>
    <x v="197"/>
    <x v="1"/>
    <x v="0"/>
  </r>
  <r>
    <x v="198"/>
    <n v="61"/>
    <x v="198"/>
    <x v="1"/>
    <x v="1"/>
    <x v="0"/>
    <n v="2576"/>
    <n v="3"/>
    <n v="896.52"/>
    <n v="1064.07"/>
    <m/>
    <n v="0"/>
    <x v="1"/>
    <x v="195"/>
    <x v="5"/>
    <d v="2025-06-08T00:00:00"/>
    <d v="2025-06-14T00:00:00"/>
    <d v="2025-06-12T00:00:00"/>
    <x v="0"/>
    <x v="3"/>
    <s v="Entrega no prazo e produto conforme descrito."/>
    <x v="198"/>
    <n v="2689.56"/>
    <x v="198"/>
    <x v="198"/>
    <x v="2"/>
    <x v="0"/>
  </r>
  <r>
    <x v="199"/>
    <n v="180"/>
    <x v="199"/>
    <x v="4"/>
    <x v="4"/>
    <x v="0"/>
    <n v="4835"/>
    <n v="3"/>
    <n v="409.76"/>
    <n v="882.29"/>
    <s v="PROMO10"/>
    <n v="0.1"/>
    <x v="1"/>
    <x v="196"/>
    <x v="9"/>
    <d v="2025-06-08T00:00:00"/>
    <d v="2025-06-16T00:00:00"/>
    <m/>
    <x v="3"/>
    <x v="1"/>
    <s v="Esperava mais pela qualidade do produto."/>
    <x v="199"/>
    <n v="1229.28"/>
    <x v="199"/>
    <x v="199"/>
    <x v="3"/>
    <x v="1"/>
  </r>
  <r>
    <x v="200"/>
    <n v="156"/>
    <x v="200"/>
    <x v="0"/>
    <x v="0"/>
    <x v="0"/>
    <n v="2484"/>
    <n v="2"/>
    <n v="2180.58"/>
    <n v="3027.96"/>
    <s v="PROMO10"/>
    <n v="0.1"/>
    <x v="3"/>
    <x v="197"/>
    <x v="2"/>
    <d v="2025-06-09T00:00:00"/>
    <d v="2025-06-15T00:00:00"/>
    <d v="2025-06-15T00:00:00"/>
    <x v="0"/>
    <x v="3"/>
    <s v="Ótimo custo-benefício!"/>
    <x v="200"/>
    <n v="4361.16"/>
    <x v="200"/>
    <x v="200"/>
    <x v="4"/>
    <x v="0"/>
  </r>
  <r>
    <x v="201"/>
    <n v="2"/>
    <x v="201"/>
    <x v="3"/>
    <x v="3"/>
    <x v="2"/>
    <n v="726"/>
    <n v="3"/>
    <n v="106.91"/>
    <n v="154.4"/>
    <m/>
    <n v="0"/>
    <x v="3"/>
    <x v="198"/>
    <x v="14"/>
    <d v="2025-06-10T00:00:00"/>
    <d v="2025-06-17T00:00:00"/>
    <d v="2025-06-12T00:00:00"/>
    <x v="0"/>
    <x v="0"/>
    <s v="Tudo certo, nota 10!"/>
    <x v="201"/>
    <n v="320.73"/>
    <x v="201"/>
    <x v="201"/>
    <x v="5"/>
    <x v="0"/>
  </r>
  <r>
    <x v="202"/>
    <n v="43"/>
    <x v="202"/>
    <x v="1"/>
    <x v="1"/>
    <x v="0"/>
    <n v="2378"/>
    <n v="1"/>
    <n v="786.11"/>
    <n v="1098.06"/>
    <m/>
    <n v="0"/>
    <x v="0"/>
    <x v="199"/>
    <x v="13"/>
    <d v="2025-06-09T00:00:00"/>
    <d v="2025-06-14T00:00:00"/>
    <m/>
    <x v="1"/>
    <x v="3"/>
    <s v="Excelente atendimento e entrega."/>
    <x v="202"/>
    <n v="786.11"/>
    <x v="202"/>
    <x v="202"/>
    <x v="3"/>
    <x v="1"/>
  </r>
  <r>
    <x v="203"/>
    <n v="101"/>
    <x v="203"/>
    <x v="20"/>
    <x v="20"/>
    <x v="3"/>
    <n v="0"/>
    <n v="1"/>
    <n v="191.4"/>
    <n v="390.13"/>
    <s v="OFF20"/>
    <n v="0.2"/>
    <x v="3"/>
    <x v="200"/>
    <x v="5"/>
    <d v="2025-06-09T00:00:00"/>
    <d v="2025-06-15T00:00:00"/>
    <d v="2025-06-11T00:00:00"/>
    <x v="0"/>
    <x v="0"/>
    <s v="Produto top, recomendo!"/>
    <x v="203"/>
    <n v="191.4"/>
    <x v="203"/>
    <x v="203"/>
    <x v="1"/>
    <x v="0"/>
  </r>
  <r>
    <x v="204"/>
    <n v="110"/>
    <x v="204"/>
    <x v="6"/>
    <x v="6"/>
    <x v="2"/>
    <n v="259"/>
    <n v="2"/>
    <n v="67.66"/>
    <n v="81.93"/>
    <m/>
    <n v="0"/>
    <x v="2"/>
    <x v="201"/>
    <x v="7"/>
    <d v="2025-06-10T00:00:00"/>
    <d v="2025-06-20T00:00:00"/>
    <d v="2025-06-18T00:00:00"/>
    <x v="0"/>
    <x v="0"/>
    <s v="Parabéns pela agilidade!"/>
    <x v="204"/>
    <n v="135.32"/>
    <x v="204"/>
    <x v="204"/>
    <x v="2"/>
    <x v="0"/>
  </r>
  <r>
    <x v="205"/>
    <n v="11"/>
    <x v="205"/>
    <x v="3"/>
    <x v="3"/>
    <x v="2"/>
    <n v="718"/>
    <n v="3"/>
    <n v="140.01"/>
    <n v="249.6"/>
    <m/>
    <n v="0"/>
    <x v="3"/>
    <x v="202"/>
    <x v="9"/>
    <d v="2025-06-11T00:00:00"/>
    <d v="2025-06-20T00:00:00"/>
    <d v="2025-06-20T00:00:00"/>
    <x v="0"/>
    <x v="0"/>
    <s v="Parabéns pela agilidade!"/>
    <x v="205"/>
    <n v="420.03"/>
    <x v="205"/>
    <x v="205"/>
    <x v="4"/>
    <x v="0"/>
  </r>
  <r>
    <x v="206"/>
    <n v="149"/>
    <x v="206"/>
    <x v="12"/>
    <x v="12"/>
    <x v="2"/>
    <n v="594"/>
    <n v="2"/>
    <n v="47.3"/>
    <n v="92.25"/>
    <s v="OFF20"/>
    <n v="0.2"/>
    <x v="2"/>
    <x v="203"/>
    <x v="8"/>
    <d v="2025-06-11T00:00:00"/>
    <d v="2025-06-17T00:00:00"/>
    <d v="2025-06-17T00:00:00"/>
    <x v="0"/>
    <x v="0"/>
    <s v="Produto top, recomendo!"/>
    <x v="206"/>
    <n v="94.6"/>
    <x v="206"/>
    <x v="206"/>
    <x v="4"/>
    <x v="0"/>
  </r>
  <r>
    <x v="207"/>
    <n v="150"/>
    <x v="207"/>
    <x v="6"/>
    <x v="6"/>
    <x v="2"/>
    <n v="338"/>
    <n v="2"/>
    <n v="33.07"/>
    <n v="84.28"/>
    <m/>
    <n v="0"/>
    <x v="1"/>
    <x v="204"/>
    <x v="2"/>
    <d v="2025-06-11T00:00:00"/>
    <d v="2025-06-20T00:00:00"/>
    <d v="2025-06-22T00:00:00"/>
    <x v="0"/>
    <x v="2"/>
    <s v="Muito atraso na entrega."/>
    <x v="207"/>
    <n v="66.14"/>
    <x v="207"/>
    <x v="207"/>
    <x v="14"/>
    <x v="2"/>
  </r>
  <r>
    <x v="208"/>
    <n v="197"/>
    <x v="208"/>
    <x v="19"/>
    <x v="19"/>
    <x v="0"/>
    <n v="4585"/>
    <n v="2"/>
    <n v="776.64"/>
    <n v="1940.95"/>
    <s v="PROMO10"/>
    <n v="0.1"/>
    <x v="0"/>
    <x v="205"/>
    <x v="4"/>
    <d v="2025-06-10T00:00:00"/>
    <d v="2025-06-15T00:00:00"/>
    <d v="2025-06-12T00:00:00"/>
    <x v="0"/>
    <x v="3"/>
    <s v="Produto top, recomendo!"/>
    <x v="208"/>
    <n v="1553.28"/>
    <x v="208"/>
    <x v="208"/>
    <x v="0"/>
    <x v="0"/>
  </r>
  <r>
    <x v="209"/>
    <n v="59"/>
    <x v="209"/>
    <x v="9"/>
    <x v="9"/>
    <x v="1"/>
    <n v="0"/>
    <n v="3"/>
    <n v="66.2"/>
    <n v="129.91999999999999"/>
    <m/>
    <n v="0"/>
    <x v="0"/>
    <x v="206"/>
    <x v="4"/>
    <d v="2025-06-12T00:00:00"/>
    <d v="2025-06-21T00:00:00"/>
    <d v="2025-06-20T00:00:00"/>
    <x v="0"/>
    <x v="0"/>
    <s v="Ótimo custo-benefício!"/>
    <x v="209"/>
    <n v="198.6"/>
    <x v="209"/>
    <x v="209"/>
    <x v="6"/>
    <x v="0"/>
  </r>
  <r>
    <x v="210"/>
    <n v="196"/>
    <x v="210"/>
    <x v="20"/>
    <x v="20"/>
    <x v="3"/>
    <n v="0"/>
    <n v="3"/>
    <n v="262.67"/>
    <n v="720.13"/>
    <m/>
    <n v="0"/>
    <x v="2"/>
    <x v="207"/>
    <x v="7"/>
    <d v="2025-06-11T00:00:00"/>
    <d v="2025-06-19T00:00:00"/>
    <d v="2025-06-24T00:00:00"/>
    <x v="0"/>
    <x v="4"/>
    <s v="Embalagem danificada, produto riscado."/>
    <x v="210"/>
    <n v="788.01"/>
    <x v="210"/>
    <x v="210"/>
    <x v="10"/>
    <x v="2"/>
  </r>
  <r>
    <x v="211"/>
    <n v="154"/>
    <x v="211"/>
    <x v="17"/>
    <x v="17"/>
    <x v="2"/>
    <n v="423"/>
    <n v="2"/>
    <n v="130.81"/>
    <n v="201.22"/>
    <s v="PROMO10"/>
    <n v="0.1"/>
    <x v="1"/>
    <x v="208"/>
    <x v="14"/>
    <d v="2025-06-11T00:00:00"/>
    <d v="2025-06-19T00:00:00"/>
    <m/>
    <x v="1"/>
    <x v="1"/>
    <s v="Produto ok, mas a entrega atrasou um pouco."/>
    <x v="211"/>
    <n v="261.62"/>
    <x v="211"/>
    <x v="211"/>
    <x v="3"/>
    <x v="1"/>
  </r>
  <r>
    <x v="212"/>
    <n v="10"/>
    <x v="212"/>
    <x v="2"/>
    <x v="2"/>
    <x v="1"/>
    <n v="0"/>
    <n v="2"/>
    <n v="57.22"/>
    <n v="112.9"/>
    <s v="OFF20"/>
    <n v="0.2"/>
    <x v="3"/>
    <x v="209"/>
    <x v="13"/>
    <d v="2025-06-12T00:00:00"/>
    <d v="2025-06-20T00:00:00"/>
    <d v="2025-06-20T00:00:00"/>
    <x v="0"/>
    <x v="3"/>
    <s v="Parabéns pela agilidade!"/>
    <x v="212"/>
    <n v="114.44"/>
    <x v="212"/>
    <x v="212"/>
    <x v="4"/>
    <x v="0"/>
  </r>
  <r>
    <x v="213"/>
    <n v="14"/>
    <x v="213"/>
    <x v="12"/>
    <x v="12"/>
    <x v="2"/>
    <n v="519"/>
    <n v="3"/>
    <n v="35.39"/>
    <n v="45.31"/>
    <m/>
    <n v="0"/>
    <x v="2"/>
    <x v="210"/>
    <x v="2"/>
    <d v="2025-06-12T00:00:00"/>
    <d v="2025-06-20T00:00:00"/>
    <m/>
    <x v="1"/>
    <x v="1"/>
    <s v="Nada de especial, cumpriu o básico."/>
    <x v="213"/>
    <n v="106.17"/>
    <x v="213"/>
    <x v="213"/>
    <x v="3"/>
    <x v="1"/>
  </r>
  <r>
    <x v="214"/>
    <n v="84"/>
    <x v="214"/>
    <x v="11"/>
    <x v="11"/>
    <x v="2"/>
    <n v="297"/>
    <n v="1"/>
    <n v="36.090000000000003"/>
    <n v="117.08"/>
    <m/>
    <n v="0"/>
    <x v="1"/>
    <x v="211"/>
    <x v="8"/>
    <d v="2025-06-14T00:00:00"/>
    <d v="2025-06-20T00:00:00"/>
    <d v="2025-06-16T00:00:00"/>
    <x v="0"/>
    <x v="0"/>
    <s v="Tudo certo, nota 10!"/>
    <x v="214"/>
    <n v="36.090000000000003"/>
    <x v="214"/>
    <x v="214"/>
    <x v="1"/>
    <x v="0"/>
  </r>
  <r>
    <x v="215"/>
    <n v="75"/>
    <x v="215"/>
    <x v="9"/>
    <x v="9"/>
    <x v="1"/>
    <n v="0"/>
    <n v="3"/>
    <n v="99.14"/>
    <n v="118.57"/>
    <m/>
    <n v="0"/>
    <x v="0"/>
    <x v="212"/>
    <x v="2"/>
    <d v="2025-06-14T00:00:00"/>
    <d v="2025-06-19T00:00:00"/>
    <d v="2025-06-19T00:00:00"/>
    <x v="0"/>
    <x v="0"/>
    <s v="Tudo certo, nota 10!"/>
    <x v="215"/>
    <n v="297.42"/>
    <x v="215"/>
    <x v="215"/>
    <x v="4"/>
    <x v="0"/>
  </r>
  <r>
    <x v="216"/>
    <n v="77"/>
    <x v="216"/>
    <x v="8"/>
    <x v="8"/>
    <x v="1"/>
    <n v="0"/>
    <n v="3"/>
    <n v="107.09"/>
    <n v="214.46"/>
    <m/>
    <n v="0"/>
    <x v="1"/>
    <x v="213"/>
    <x v="7"/>
    <d v="2025-06-14T00:00:00"/>
    <d v="2025-06-22T00:00:00"/>
    <d v="2025-06-16T00:00:00"/>
    <x v="0"/>
    <x v="0"/>
    <s v="Qualidade impecável, voltarei a comprar."/>
    <x v="216"/>
    <n v="321.27"/>
    <x v="216"/>
    <x v="216"/>
    <x v="12"/>
    <x v="0"/>
  </r>
  <r>
    <x v="217"/>
    <n v="160"/>
    <x v="217"/>
    <x v="0"/>
    <x v="0"/>
    <x v="0"/>
    <n v="2251"/>
    <n v="1"/>
    <n v="1927.67"/>
    <n v="3888.08"/>
    <m/>
    <n v="0"/>
    <x v="2"/>
    <x v="214"/>
    <x v="2"/>
    <d v="2025-06-13T00:00:00"/>
    <d v="2025-06-22T00:00:00"/>
    <d v="2025-06-25T00:00:00"/>
    <x v="0"/>
    <x v="4"/>
    <s v="Decepcionante do início ao fim."/>
    <x v="217"/>
    <n v="1927.67"/>
    <x v="217"/>
    <x v="217"/>
    <x v="11"/>
    <x v="2"/>
  </r>
  <r>
    <x v="218"/>
    <n v="54"/>
    <x v="218"/>
    <x v="6"/>
    <x v="6"/>
    <x v="2"/>
    <n v="292"/>
    <n v="3"/>
    <n v="70.7"/>
    <n v="113.21"/>
    <m/>
    <n v="0"/>
    <x v="3"/>
    <x v="215"/>
    <x v="1"/>
    <d v="2025-06-13T00:00:00"/>
    <d v="2025-06-18T00:00:00"/>
    <d v="2025-06-18T00:00:00"/>
    <x v="0"/>
    <x v="0"/>
    <s v="Tudo certo, nota 10!"/>
    <x v="218"/>
    <n v="212.1"/>
    <x v="218"/>
    <x v="218"/>
    <x v="4"/>
    <x v="0"/>
  </r>
  <r>
    <x v="219"/>
    <n v="37"/>
    <x v="219"/>
    <x v="15"/>
    <x v="15"/>
    <x v="3"/>
    <n v="0"/>
    <n v="2"/>
    <n v="421.57"/>
    <n v="782.61"/>
    <m/>
    <n v="0"/>
    <x v="3"/>
    <x v="216"/>
    <x v="7"/>
    <d v="2025-06-14T00:00:00"/>
    <d v="2025-06-20T00:00:00"/>
    <m/>
    <x v="1"/>
    <x v="1"/>
    <s v="Produto ok, mas a entrega atrasou um pouco."/>
    <x v="219"/>
    <n v="843.14"/>
    <x v="219"/>
    <x v="219"/>
    <x v="3"/>
    <x v="1"/>
  </r>
  <r>
    <x v="220"/>
    <n v="165"/>
    <x v="220"/>
    <x v="1"/>
    <x v="1"/>
    <x v="0"/>
    <n v="2429"/>
    <n v="2"/>
    <n v="456.82"/>
    <n v="846.39"/>
    <s v="PROMO10"/>
    <n v="0.1"/>
    <x v="3"/>
    <x v="217"/>
    <x v="4"/>
    <d v="2025-06-15T00:00:00"/>
    <d v="2025-06-23T00:00:00"/>
    <d v="2025-06-22T00:00:00"/>
    <x v="0"/>
    <x v="3"/>
    <s v="Frete rápido, adorei!"/>
    <x v="220"/>
    <n v="913.64"/>
    <x v="220"/>
    <x v="220"/>
    <x v="6"/>
    <x v="0"/>
  </r>
  <r>
    <x v="221"/>
    <n v="185"/>
    <x v="221"/>
    <x v="2"/>
    <x v="2"/>
    <x v="1"/>
    <n v="0"/>
    <n v="2"/>
    <n v="34.89"/>
    <n v="43.43"/>
    <s v="PROMO10"/>
    <n v="0.1"/>
    <x v="3"/>
    <x v="61"/>
    <x v="8"/>
    <d v="2025-06-14T00:00:00"/>
    <d v="2025-06-19T00:00:00"/>
    <d v="2025-06-17T00:00:00"/>
    <x v="0"/>
    <x v="3"/>
    <s v="Chegou antes do prazo, excelente!"/>
    <x v="221"/>
    <n v="69.78"/>
    <x v="221"/>
    <x v="221"/>
    <x v="2"/>
    <x v="0"/>
  </r>
  <r>
    <x v="222"/>
    <n v="169"/>
    <x v="222"/>
    <x v="15"/>
    <x v="15"/>
    <x v="3"/>
    <n v="0"/>
    <n v="1"/>
    <n v="436.74"/>
    <n v="782.5"/>
    <m/>
    <n v="0"/>
    <x v="3"/>
    <x v="218"/>
    <x v="1"/>
    <d v="2025-06-15T00:00:00"/>
    <d v="2025-06-22T00:00:00"/>
    <d v="2025-06-20T00:00:00"/>
    <x v="0"/>
    <x v="3"/>
    <s v="Entrega rápida, muito satisfeito!"/>
    <x v="222"/>
    <n v="436.74"/>
    <x v="222"/>
    <x v="222"/>
    <x v="2"/>
    <x v="0"/>
  </r>
  <r>
    <x v="223"/>
    <n v="200"/>
    <x v="223"/>
    <x v="7"/>
    <x v="7"/>
    <x v="0"/>
    <n v="2920"/>
    <n v="2"/>
    <n v="2976.91"/>
    <n v="4377.74"/>
    <m/>
    <n v="0"/>
    <x v="1"/>
    <x v="219"/>
    <x v="7"/>
    <d v="2025-06-15T00:00:00"/>
    <d v="2025-06-20T00:00:00"/>
    <d v="2025-06-18T00:00:00"/>
    <x v="0"/>
    <x v="0"/>
    <s v="Tudo certo, nota 10!"/>
    <x v="223"/>
    <n v="5953.82"/>
    <x v="223"/>
    <x v="223"/>
    <x v="2"/>
    <x v="0"/>
  </r>
  <r>
    <x v="224"/>
    <n v="90"/>
    <x v="224"/>
    <x v="13"/>
    <x v="13"/>
    <x v="0"/>
    <n v="2072"/>
    <n v="2"/>
    <n v="337.32"/>
    <n v="482.89"/>
    <m/>
    <n v="0"/>
    <x v="0"/>
    <x v="220"/>
    <x v="2"/>
    <d v="2025-06-16T00:00:00"/>
    <d v="2025-06-23T00:00:00"/>
    <d v="2025-06-21T00:00:00"/>
    <x v="0"/>
    <x v="3"/>
    <s v="Excelente atendimento e entrega."/>
    <x v="224"/>
    <n v="674.64"/>
    <x v="224"/>
    <x v="224"/>
    <x v="2"/>
    <x v="0"/>
  </r>
  <r>
    <x v="225"/>
    <n v="1"/>
    <x v="225"/>
    <x v="2"/>
    <x v="2"/>
    <x v="1"/>
    <n v="0"/>
    <n v="2"/>
    <n v="22.45"/>
    <n v="45.02"/>
    <m/>
    <n v="0"/>
    <x v="1"/>
    <x v="221"/>
    <x v="2"/>
    <d v="2025-06-17T00:00:00"/>
    <d v="2025-06-27T00:00:00"/>
    <d v="2025-06-25T00:00:00"/>
    <x v="0"/>
    <x v="3"/>
    <s v="Entrega rápida, muito satisfeito!"/>
    <x v="225"/>
    <n v="44.9"/>
    <x v="225"/>
    <x v="225"/>
    <x v="2"/>
    <x v="0"/>
  </r>
  <r>
    <x v="226"/>
    <n v="198"/>
    <x v="226"/>
    <x v="0"/>
    <x v="0"/>
    <x v="0"/>
    <n v="2493"/>
    <n v="1"/>
    <n v="1577.92"/>
    <n v="3728.64"/>
    <m/>
    <n v="0"/>
    <x v="2"/>
    <x v="222"/>
    <x v="4"/>
    <d v="2025-06-17T00:00:00"/>
    <d v="2025-06-26T00:00:00"/>
    <m/>
    <x v="2"/>
    <x v="1"/>
    <s v="Razoável, poderia ser melhor."/>
    <x v="226"/>
    <n v="1577.92"/>
    <x v="226"/>
    <x v="226"/>
    <x v="3"/>
    <x v="1"/>
  </r>
  <r>
    <x v="227"/>
    <n v="46"/>
    <x v="227"/>
    <x v="12"/>
    <x v="12"/>
    <x v="2"/>
    <n v="340"/>
    <n v="3"/>
    <n v="44.04"/>
    <n v="69.61"/>
    <m/>
    <n v="0"/>
    <x v="0"/>
    <x v="223"/>
    <x v="5"/>
    <d v="2025-06-18T00:00:00"/>
    <d v="2025-06-28T00:00:00"/>
    <m/>
    <x v="2"/>
    <x v="2"/>
    <s v="Atrasou e a caixa veio amassada."/>
    <x v="227"/>
    <n v="132.12"/>
    <x v="227"/>
    <x v="227"/>
    <x v="3"/>
    <x v="1"/>
  </r>
  <r>
    <x v="228"/>
    <n v="168"/>
    <x v="228"/>
    <x v="3"/>
    <x v="3"/>
    <x v="2"/>
    <n v="676"/>
    <n v="2"/>
    <n v="166.34"/>
    <n v="278.14999999999998"/>
    <m/>
    <n v="0"/>
    <x v="2"/>
    <x v="224"/>
    <x v="10"/>
    <d v="2025-06-18T00:00:00"/>
    <d v="2025-06-26T00:00:00"/>
    <d v="2025-06-26T00:00:00"/>
    <x v="0"/>
    <x v="3"/>
    <s v="Qualidade impecável, voltarei a comprar."/>
    <x v="228"/>
    <n v="332.68"/>
    <x v="228"/>
    <x v="228"/>
    <x v="4"/>
    <x v="0"/>
  </r>
  <r>
    <x v="229"/>
    <n v="60"/>
    <x v="229"/>
    <x v="5"/>
    <x v="5"/>
    <x v="2"/>
    <n v="236"/>
    <n v="3"/>
    <n v="43.64"/>
    <n v="72.77"/>
    <s v="PROMO10"/>
    <n v="0.1"/>
    <x v="2"/>
    <x v="225"/>
    <x v="7"/>
    <d v="2025-06-18T00:00:00"/>
    <d v="2025-06-26T00:00:00"/>
    <d v="2025-06-25T00:00:00"/>
    <x v="0"/>
    <x v="3"/>
    <s v="Produto top, recomendo!"/>
    <x v="229"/>
    <n v="130.91999999999999"/>
    <x v="229"/>
    <x v="229"/>
    <x v="6"/>
    <x v="0"/>
  </r>
  <r>
    <x v="230"/>
    <n v="199"/>
    <x v="230"/>
    <x v="6"/>
    <x v="6"/>
    <x v="2"/>
    <n v="308"/>
    <n v="1"/>
    <n v="32"/>
    <n v="122.95"/>
    <m/>
    <n v="0"/>
    <x v="3"/>
    <x v="226"/>
    <x v="4"/>
    <d v="2025-06-18T00:00:00"/>
    <d v="2025-06-27T00:00:00"/>
    <d v="2025-06-26T00:00:00"/>
    <x v="0"/>
    <x v="3"/>
    <s v="Ótimo custo-benefício!"/>
    <x v="230"/>
    <n v="32"/>
    <x v="230"/>
    <x v="230"/>
    <x v="6"/>
    <x v="0"/>
  </r>
  <r>
    <x v="231"/>
    <n v="102"/>
    <x v="231"/>
    <x v="12"/>
    <x v="12"/>
    <x v="2"/>
    <n v="570"/>
    <n v="3"/>
    <n v="33.93"/>
    <n v="83.95"/>
    <s v="OFF20"/>
    <n v="0.2"/>
    <x v="1"/>
    <x v="227"/>
    <x v="6"/>
    <d v="2025-06-19T00:00:00"/>
    <d v="2025-06-26T00:00:00"/>
    <d v="2025-06-24T00:00:00"/>
    <x v="0"/>
    <x v="3"/>
    <s v="Embalagem perfeita, produto intacto."/>
    <x v="231"/>
    <n v="101.79"/>
    <x v="231"/>
    <x v="231"/>
    <x v="2"/>
    <x v="0"/>
  </r>
  <r>
    <x v="232"/>
    <n v="107"/>
    <x v="232"/>
    <x v="0"/>
    <x v="0"/>
    <x v="0"/>
    <n v="2137"/>
    <n v="2"/>
    <n v="1786.33"/>
    <n v="2473.92"/>
    <m/>
    <n v="0"/>
    <x v="3"/>
    <x v="228"/>
    <x v="2"/>
    <d v="2025-06-20T00:00:00"/>
    <d v="2025-06-27T00:00:00"/>
    <d v="2025-06-30T00:00:00"/>
    <x v="0"/>
    <x v="4"/>
    <s v="Atrasou e a caixa veio amassada."/>
    <x v="232"/>
    <n v="3572.66"/>
    <x v="232"/>
    <x v="232"/>
    <x v="11"/>
    <x v="2"/>
  </r>
  <r>
    <x v="233"/>
    <n v="161"/>
    <x v="233"/>
    <x v="20"/>
    <x v="20"/>
    <x v="3"/>
    <n v="0"/>
    <n v="1"/>
    <n v="275.92"/>
    <n v="478.46"/>
    <s v="OFF20"/>
    <n v="0.2"/>
    <x v="1"/>
    <x v="229"/>
    <x v="5"/>
    <d v="2025-06-20T00:00:00"/>
    <d v="2025-06-25T00:00:00"/>
    <d v="2025-06-24T00:00:00"/>
    <x v="0"/>
    <x v="0"/>
    <s v="Entrega rápida, muito satisfeito!"/>
    <x v="233"/>
    <n v="275.92"/>
    <x v="233"/>
    <x v="233"/>
    <x v="6"/>
    <x v="0"/>
  </r>
  <r>
    <x v="234"/>
    <n v="129"/>
    <x v="234"/>
    <x v="21"/>
    <x v="21"/>
    <x v="3"/>
    <n v="0"/>
    <n v="2"/>
    <n v="309.13"/>
    <n v="572.66"/>
    <m/>
    <n v="0"/>
    <x v="1"/>
    <x v="60"/>
    <x v="12"/>
    <d v="2025-06-22T00:00:00"/>
    <d v="2025-06-27T00:00:00"/>
    <m/>
    <x v="3"/>
    <x v="1"/>
    <s v="Esperava mais pela qualidade do produto."/>
    <x v="234"/>
    <n v="618.26"/>
    <x v="234"/>
    <x v="234"/>
    <x v="3"/>
    <x v="1"/>
  </r>
  <r>
    <x v="235"/>
    <n v="107"/>
    <x v="235"/>
    <x v="13"/>
    <x v="13"/>
    <x v="0"/>
    <n v="2062"/>
    <n v="2"/>
    <n v="286.94"/>
    <n v="455.42"/>
    <m/>
    <n v="0"/>
    <x v="0"/>
    <x v="230"/>
    <x v="8"/>
    <d v="2025-06-21T00:00:00"/>
    <d v="2025-06-30T00:00:00"/>
    <d v="2025-06-28T00:00:00"/>
    <x v="0"/>
    <x v="3"/>
    <s v="Produto de qualidade, entrega pontual."/>
    <x v="235"/>
    <n v="573.88"/>
    <x v="235"/>
    <x v="235"/>
    <x v="2"/>
    <x v="0"/>
  </r>
  <r>
    <x v="236"/>
    <n v="151"/>
    <x v="236"/>
    <x v="19"/>
    <x v="19"/>
    <x v="0"/>
    <n v="3992"/>
    <n v="2"/>
    <n v="913.14"/>
    <n v="1331.49"/>
    <s v="OFF20"/>
    <n v="0.2"/>
    <x v="1"/>
    <x v="231"/>
    <x v="2"/>
    <d v="2025-06-22T00:00:00"/>
    <d v="2025-06-30T00:00:00"/>
    <d v="2025-07-02T00:00:00"/>
    <x v="0"/>
    <x v="4"/>
    <s v="Nunca mais compro aqui."/>
    <x v="236"/>
    <n v="1826.28"/>
    <x v="236"/>
    <x v="236"/>
    <x v="14"/>
    <x v="2"/>
  </r>
  <r>
    <x v="237"/>
    <n v="91"/>
    <x v="237"/>
    <x v="11"/>
    <x v="11"/>
    <x v="2"/>
    <n v="249"/>
    <n v="1"/>
    <n v="43.01"/>
    <n v="111.74"/>
    <m/>
    <n v="0"/>
    <x v="2"/>
    <x v="232"/>
    <x v="4"/>
    <d v="2025-06-23T00:00:00"/>
    <d v="2025-06-28T00:00:00"/>
    <d v="2025-06-26T00:00:00"/>
    <x v="0"/>
    <x v="0"/>
    <s v="Produto top, recomendo!"/>
    <x v="237"/>
    <n v="43.01"/>
    <x v="237"/>
    <x v="237"/>
    <x v="2"/>
    <x v="0"/>
  </r>
  <r>
    <x v="238"/>
    <n v="50"/>
    <x v="238"/>
    <x v="13"/>
    <x v="13"/>
    <x v="0"/>
    <n v="2059"/>
    <n v="3"/>
    <n v="399.98"/>
    <n v="604.20000000000005"/>
    <m/>
    <n v="0"/>
    <x v="1"/>
    <x v="233"/>
    <x v="2"/>
    <d v="2025-06-23T00:00:00"/>
    <d v="2025-06-29T00:00:00"/>
    <d v="2025-06-25T00:00:00"/>
    <x v="0"/>
    <x v="3"/>
    <s v="Muito bom, sem reclamações."/>
    <x v="238"/>
    <n v="1199.94"/>
    <x v="238"/>
    <x v="238"/>
    <x v="1"/>
    <x v="0"/>
  </r>
  <r>
    <x v="239"/>
    <n v="84"/>
    <x v="239"/>
    <x v="13"/>
    <x v="13"/>
    <x v="0"/>
    <n v="2033"/>
    <n v="2"/>
    <n v="288.45999999999998"/>
    <n v="668.05"/>
    <s v="PROMO10"/>
    <n v="0.1"/>
    <x v="1"/>
    <x v="234"/>
    <x v="2"/>
    <d v="2025-06-22T00:00:00"/>
    <d v="2025-06-29T00:00:00"/>
    <d v="2025-06-28T00:00:00"/>
    <x v="0"/>
    <x v="3"/>
    <s v="Produto original, vendedor confiável."/>
    <x v="239"/>
    <n v="576.91999999999996"/>
    <x v="239"/>
    <x v="239"/>
    <x v="6"/>
    <x v="0"/>
  </r>
  <r>
    <x v="240"/>
    <n v="39"/>
    <x v="240"/>
    <x v="21"/>
    <x v="21"/>
    <x v="3"/>
    <n v="0"/>
    <n v="3"/>
    <n v="163.05000000000001"/>
    <n v="339.61"/>
    <m/>
    <n v="0"/>
    <x v="1"/>
    <x v="235"/>
    <x v="12"/>
    <d v="2025-06-22T00:00:00"/>
    <d v="2025-06-27T00:00:00"/>
    <m/>
    <x v="1"/>
    <x v="2"/>
    <s v="Frete caro e entrega lenta."/>
    <x v="240"/>
    <n v="489.15"/>
    <x v="240"/>
    <x v="240"/>
    <x v="3"/>
    <x v="1"/>
  </r>
  <r>
    <x v="241"/>
    <n v="155"/>
    <x v="241"/>
    <x v="11"/>
    <x v="11"/>
    <x v="2"/>
    <n v="292"/>
    <n v="1"/>
    <n v="53.78"/>
    <n v="96.77"/>
    <m/>
    <n v="0"/>
    <x v="3"/>
    <x v="31"/>
    <x v="4"/>
    <d v="2025-06-25T00:00:00"/>
    <d v="2025-06-30T00:00:00"/>
    <d v="2025-06-28T00:00:00"/>
    <x v="0"/>
    <x v="0"/>
    <s v="Embalagem perfeita, produto intacto."/>
    <x v="241"/>
    <n v="53.78"/>
    <x v="241"/>
    <x v="241"/>
    <x v="2"/>
    <x v="0"/>
  </r>
  <r>
    <x v="242"/>
    <n v="159"/>
    <x v="242"/>
    <x v="0"/>
    <x v="0"/>
    <x v="0"/>
    <n v="2004"/>
    <n v="1"/>
    <n v="2244.36"/>
    <n v="3584.93"/>
    <m/>
    <n v="0"/>
    <x v="1"/>
    <x v="236"/>
    <x v="8"/>
    <d v="2025-06-24T00:00:00"/>
    <d v="2025-07-01T00:00:00"/>
    <d v="2025-06-30T00:00:00"/>
    <x v="0"/>
    <x v="0"/>
    <s v="Superou minhas expectativas!"/>
    <x v="242"/>
    <n v="2244.36"/>
    <x v="242"/>
    <x v="242"/>
    <x v="6"/>
    <x v="0"/>
  </r>
  <r>
    <x v="243"/>
    <n v="24"/>
    <x v="243"/>
    <x v="0"/>
    <x v="0"/>
    <x v="0"/>
    <n v="2577"/>
    <n v="2"/>
    <n v="1818.56"/>
    <n v="2720.53"/>
    <m/>
    <n v="0"/>
    <x v="2"/>
    <x v="237"/>
    <x v="5"/>
    <d v="2025-06-24T00:00:00"/>
    <d v="2025-06-29T00:00:00"/>
    <d v="2025-06-26T00:00:00"/>
    <x v="0"/>
    <x v="3"/>
    <s v="Parabéns pela agilidade!"/>
    <x v="243"/>
    <n v="3637.12"/>
    <x v="243"/>
    <x v="243"/>
    <x v="0"/>
    <x v="0"/>
  </r>
  <r>
    <x v="244"/>
    <n v="121"/>
    <x v="244"/>
    <x v="7"/>
    <x v="7"/>
    <x v="0"/>
    <n v="2906"/>
    <n v="3"/>
    <n v="2775.97"/>
    <n v="4333.6899999999996"/>
    <s v="PROMO10"/>
    <n v="0.1"/>
    <x v="2"/>
    <x v="238"/>
    <x v="2"/>
    <d v="2025-06-25T00:00:00"/>
    <d v="2025-07-01T00:00:00"/>
    <m/>
    <x v="3"/>
    <x v="4"/>
    <s v="Embalagem danificada, produto riscado."/>
    <x v="244"/>
    <n v="8327.91"/>
    <x v="244"/>
    <x v="244"/>
    <x v="3"/>
    <x v="1"/>
  </r>
  <r>
    <x v="245"/>
    <n v="122"/>
    <x v="245"/>
    <x v="18"/>
    <x v="18"/>
    <x v="0"/>
    <n v="2608"/>
    <n v="2"/>
    <n v="438.9"/>
    <n v="546.74"/>
    <s v="PROMO10"/>
    <n v="0.1"/>
    <x v="3"/>
    <x v="239"/>
    <x v="4"/>
    <d v="2025-06-26T00:00:00"/>
    <d v="2025-07-01T00:00:00"/>
    <d v="2025-06-28T00:00:00"/>
    <x v="0"/>
    <x v="3"/>
    <s v="Tudo certo, nota 10!"/>
    <x v="245"/>
    <n v="877.8"/>
    <x v="245"/>
    <x v="245"/>
    <x v="0"/>
    <x v="0"/>
  </r>
  <r>
    <x v="246"/>
    <n v="155"/>
    <x v="246"/>
    <x v="13"/>
    <x v="13"/>
    <x v="0"/>
    <n v="2094"/>
    <n v="3"/>
    <n v="333.1"/>
    <n v="384.34"/>
    <m/>
    <n v="0"/>
    <x v="2"/>
    <x v="240"/>
    <x v="1"/>
    <d v="2025-06-27T00:00:00"/>
    <d v="2025-07-06T00:00:00"/>
    <d v="2025-07-10T00:00:00"/>
    <x v="0"/>
    <x v="4"/>
    <s v="Decepcionante do início ao fim."/>
    <x v="246"/>
    <n v="999.30000000000007"/>
    <x v="246"/>
    <x v="246"/>
    <x v="7"/>
    <x v="2"/>
  </r>
  <r>
    <x v="247"/>
    <n v="79"/>
    <x v="247"/>
    <x v="0"/>
    <x v="0"/>
    <x v="0"/>
    <n v="2380"/>
    <n v="1"/>
    <n v="1537.05"/>
    <n v="2609.06"/>
    <s v="OFF20"/>
    <n v="0.2"/>
    <x v="2"/>
    <x v="241"/>
    <x v="4"/>
    <d v="2025-06-26T00:00:00"/>
    <d v="2025-07-05T00:00:00"/>
    <d v="2025-07-04T00:00:00"/>
    <x v="0"/>
    <x v="0"/>
    <s v="Ótimo custo-benefício!"/>
    <x v="247"/>
    <n v="1537.05"/>
    <x v="247"/>
    <x v="247"/>
    <x v="6"/>
    <x v="0"/>
  </r>
  <r>
    <x v="248"/>
    <n v="68"/>
    <x v="248"/>
    <x v="1"/>
    <x v="1"/>
    <x v="0"/>
    <n v="2228"/>
    <n v="1"/>
    <n v="843.78"/>
    <n v="1212.94"/>
    <s v="OFF20"/>
    <n v="0.2"/>
    <x v="0"/>
    <x v="242"/>
    <x v="2"/>
    <d v="2025-06-26T00:00:00"/>
    <d v="2025-07-04T00:00:00"/>
    <d v="2025-06-28T00:00:00"/>
    <x v="0"/>
    <x v="0"/>
    <s v="Produto de qualidade, entrega pontual."/>
    <x v="248"/>
    <n v="843.78"/>
    <x v="248"/>
    <x v="248"/>
    <x v="12"/>
    <x v="0"/>
  </r>
  <r>
    <x v="249"/>
    <n v="2"/>
    <x v="249"/>
    <x v="18"/>
    <x v="18"/>
    <x v="0"/>
    <n v="3016"/>
    <n v="3"/>
    <n v="352.64"/>
    <n v="723.81"/>
    <m/>
    <n v="0"/>
    <x v="1"/>
    <x v="243"/>
    <x v="5"/>
    <d v="2025-06-27T00:00:00"/>
    <d v="2025-07-07T00:00:00"/>
    <m/>
    <x v="2"/>
    <x v="2"/>
    <s v="Frete caro e entrega lenta."/>
    <x v="249"/>
    <n v="1057.92"/>
    <x v="249"/>
    <x v="249"/>
    <x v="3"/>
    <x v="1"/>
  </r>
  <r>
    <x v="250"/>
    <n v="78"/>
    <x v="250"/>
    <x v="0"/>
    <x v="0"/>
    <x v="0"/>
    <n v="2735"/>
    <n v="1"/>
    <n v="2114.0100000000002"/>
    <n v="3390.52"/>
    <m/>
    <n v="0"/>
    <x v="2"/>
    <x v="244"/>
    <x v="2"/>
    <d v="2025-06-28T00:00:00"/>
    <d v="2025-07-06T00:00:00"/>
    <m/>
    <x v="1"/>
    <x v="1"/>
    <s v="Nada de especial, cumpriu o básico."/>
    <x v="250"/>
    <n v="2114.0100000000002"/>
    <x v="250"/>
    <x v="250"/>
    <x v="3"/>
    <x v="1"/>
  </r>
  <r>
    <x v="251"/>
    <n v="38"/>
    <x v="251"/>
    <x v="8"/>
    <x v="8"/>
    <x v="1"/>
    <n v="0"/>
    <n v="1"/>
    <n v="53.63"/>
    <n v="126.7"/>
    <s v="OFF20"/>
    <n v="0.2"/>
    <x v="0"/>
    <x v="245"/>
    <x v="10"/>
    <d v="2025-06-29T00:00:00"/>
    <d v="2025-07-06T00:00:00"/>
    <d v="2025-07-04T00:00:00"/>
    <x v="0"/>
    <x v="3"/>
    <s v="Produto top, recomendo!"/>
    <x v="251"/>
    <n v="53.63"/>
    <x v="251"/>
    <x v="251"/>
    <x v="2"/>
    <x v="0"/>
  </r>
  <r>
    <x v="252"/>
    <n v="154"/>
    <x v="252"/>
    <x v="10"/>
    <x v="10"/>
    <x v="2"/>
    <n v="262"/>
    <n v="3"/>
    <n v="105.86"/>
    <n v="152.87"/>
    <m/>
    <n v="0"/>
    <x v="3"/>
    <x v="246"/>
    <x v="4"/>
    <d v="2025-06-30T00:00:00"/>
    <d v="2025-07-06T00:00:00"/>
    <d v="2025-07-02T00:00:00"/>
    <x v="0"/>
    <x v="0"/>
    <s v="Tudo certo, nota 10!"/>
    <x v="252"/>
    <n v="317.58"/>
    <x v="252"/>
    <x v="252"/>
    <x v="1"/>
    <x v="0"/>
  </r>
  <r>
    <x v="253"/>
    <n v="9"/>
    <x v="253"/>
    <x v="2"/>
    <x v="2"/>
    <x v="1"/>
    <n v="0"/>
    <n v="2"/>
    <n v="56.76"/>
    <n v="140.66"/>
    <m/>
    <n v="0"/>
    <x v="3"/>
    <x v="247"/>
    <x v="0"/>
    <d v="2025-06-29T00:00:00"/>
    <d v="2025-07-06T00:00:00"/>
    <d v="2025-07-04T00:00:00"/>
    <x v="0"/>
    <x v="3"/>
    <s v="Qualidade impecável, voltarei a comprar."/>
    <x v="253"/>
    <n v="113.52"/>
    <x v="253"/>
    <x v="253"/>
    <x v="2"/>
    <x v="0"/>
  </r>
  <r>
    <x v="254"/>
    <n v="199"/>
    <x v="254"/>
    <x v="1"/>
    <x v="1"/>
    <x v="0"/>
    <n v="2619"/>
    <n v="1"/>
    <n v="784.46"/>
    <n v="926.33"/>
    <s v="PROMO10"/>
    <n v="0.1"/>
    <x v="3"/>
    <x v="248"/>
    <x v="7"/>
    <d v="2025-06-29T00:00:00"/>
    <d v="2025-07-04T00:00:00"/>
    <d v="2025-07-01T00:00:00"/>
    <x v="0"/>
    <x v="0"/>
    <s v="Produto de qualidade, entrega pontual."/>
    <x v="254"/>
    <n v="784.46"/>
    <x v="254"/>
    <x v="254"/>
    <x v="0"/>
    <x v="0"/>
  </r>
  <r>
    <x v="255"/>
    <n v="134"/>
    <x v="255"/>
    <x v="11"/>
    <x v="11"/>
    <x v="2"/>
    <n v="209"/>
    <n v="1"/>
    <n v="30.92"/>
    <n v="62.98"/>
    <m/>
    <n v="0"/>
    <x v="2"/>
    <x v="249"/>
    <x v="2"/>
    <d v="2025-06-29T00:00:00"/>
    <d v="2025-07-04T00:00:00"/>
    <d v="2025-07-02T00:00:00"/>
    <x v="0"/>
    <x v="3"/>
    <s v="Frete rápido, adorei!"/>
    <x v="255"/>
    <n v="30.92"/>
    <x v="255"/>
    <x v="255"/>
    <x v="2"/>
    <x v="0"/>
  </r>
  <r>
    <x v="256"/>
    <n v="90"/>
    <x v="256"/>
    <x v="7"/>
    <x v="7"/>
    <x v="0"/>
    <n v="2581"/>
    <n v="1"/>
    <n v="2110.89"/>
    <n v="4329.12"/>
    <m/>
    <n v="0"/>
    <x v="2"/>
    <x v="250"/>
    <x v="2"/>
    <d v="2025-06-30T00:00:00"/>
    <d v="2025-07-09T00:00:00"/>
    <d v="2025-07-02T00:00:00"/>
    <x v="0"/>
    <x v="0"/>
    <s v="Muito bom, sem reclamações."/>
    <x v="256"/>
    <n v="2110.89"/>
    <x v="256"/>
    <x v="256"/>
    <x v="9"/>
    <x v="0"/>
  </r>
  <r>
    <x v="257"/>
    <n v="79"/>
    <x v="257"/>
    <x v="3"/>
    <x v="3"/>
    <x v="2"/>
    <n v="696"/>
    <n v="1"/>
    <n v="173.87"/>
    <n v="331.68"/>
    <m/>
    <n v="0"/>
    <x v="0"/>
    <x v="251"/>
    <x v="13"/>
    <d v="2025-06-30T00:00:00"/>
    <d v="2025-07-09T00:00:00"/>
    <d v="2025-07-13T00:00:00"/>
    <x v="0"/>
    <x v="4"/>
    <s v="Produto não era o que esperava."/>
    <x v="257"/>
    <n v="173.87"/>
    <x v="257"/>
    <x v="257"/>
    <x v="7"/>
    <x v="2"/>
  </r>
  <r>
    <x v="258"/>
    <n v="99"/>
    <x v="258"/>
    <x v="18"/>
    <x v="18"/>
    <x v="0"/>
    <n v="3288"/>
    <n v="1"/>
    <n v="351.69"/>
    <n v="621.14"/>
    <m/>
    <n v="0"/>
    <x v="1"/>
    <x v="252"/>
    <x v="2"/>
    <d v="2025-06-30T00:00:00"/>
    <d v="2025-07-08T00:00:00"/>
    <d v="2025-07-05T00:00:00"/>
    <x v="0"/>
    <x v="3"/>
    <s v="Chegou antes do prazo, excelente!"/>
    <x v="258"/>
    <n v="351.69"/>
    <x v="258"/>
    <x v="258"/>
    <x v="0"/>
    <x v="0"/>
  </r>
  <r>
    <x v="259"/>
    <n v="51"/>
    <x v="259"/>
    <x v="20"/>
    <x v="20"/>
    <x v="3"/>
    <n v="0"/>
    <n v="3"/>
    <n v="275.42"/>
    <n v="625.95000000000005"/>
    <m/>
    <n v="0"/>
    <x v="2"/>
    <x v="253"/>
    <x v="4"/>
    <d v="2025-06-30T00:00:00"/>
    <d v="2025-07-10T00:00:00"/>
    <d v="2025-07-12T00:00:00"/>
    <x v="0"/>
    <x v="4"/>
    <s v="Produto não era o que esperava."/>
    <x v="259"/>
    <n v="826.26"/>
    <x v="259"/>
    <x v="259"/>
    <x v="14"/>
    <x v="2"/>
  </r>
  <r>
    <x v="260"/>
    <n v="8"/>
    <x v="260"/>
    <x v="2"/>
    <x v="2"/>
    <x v="1"/>
    <n v="0"/>
    <n v="1"/>
    <n v="51.23"/>
    <n v="141.91"/>
    <m/>
    <n v="0"/>
    <x v="3"/>
    <x v="254"/>
    <x v="7"/>
    <d v="2025-07-01T00:00:00"/>
    <d v="2025-07-10T00:00:00"/>
    <d v="2025-07-08T00:00:00"/>
    <x v="0"/>
    <x v="0"/>
    <s v="Embalagem perfeita, produto intacto."/>
    <x v="260"/>
    <n v="51.23"/>
    <x v="260"/>
    <x v="260"/>
    <x v="2"/>
    <x v="0"/>
  </r>
  <r>
    <x v="261"/>
    <n v="164"/>
    <x v="261"/>
    <x v="7"/>
    <x v="7"/>
    <x v="0"/>
    <n v="2414"/>
    <n v="3"/>
    <n v="2812.69"/>
    <n v="4850.07"/>
    <m/>
    <n v="0"/>
    <x v="3"/>
    <x v="255"/>
    <x v="2"/>
    <d v="2025-07-01T00:00:00"/>
    <d v="2025-07-11T00:00:00"/>
    <d v="2025-07-10T00:00:00"/>
    <x v="0"/>
    <x v="3"/>
    <s v="Qualidade impecável, voltarei a comprar."/>
    <x v="261"/>
    <n v="8438.07"/>
    <x v="261"/>
    <x v="261"/>
    <x v="6"/>
    <x v="0"/>
  </r>
  <r>
    <x v="262"/>
    <n v="97"/>
    <x v="262"/>
    <x v="18"/>
    <x v="18"/>
    <x v="0"/>
    <n v="2987"/>
    <n v="3"/>
    <n v="551.79"/>
    <n v="949.47"/>
    <s v="OFF20"/>
    <n v="0.2"/>
    <x v="0"/>
    <x v="256"/>
    <x v="2"/>
    <d v="2025-07-01T00:00:00"/>
    <d v="2025-07-06T00:00:00"/>
    <d v="2025-07-05T00:00:00"/>
    <x v="0"/>
    <x v="0"/>
    <s v="Muito bom, sem reclamações."/>
    <x v="262"/>
    <n v="1655.37"/>
    <x v="262"/>
    <x v="262"/>
    <x v="6"/>
    <x v="0"/>
  </r>
  <r>
    <x v="263"/>
    <n v="189"/>
    <x v="263"/>
    <x v="11"/>
    <x v="11"/>
    <x v="2"/>
    <n v="207"/>
    <n v="1"/>
    <n v="31.7"/>
    <n v="47.61"/>
    <m/>
    <n v="0"/>
    <x v="3"/>
    <x v="257"/>
    <x v="4"/>
    <d v="2025-07-02T00:00:00"/>
    <d v="2025-07-08T00:00:00"/>
    <m/>
    <x v="3"/>
    <x v="1"/>
    <s v="Embalagem poderia ser melhor."/>
    <x v="263"/>
    <n v="31.7"/>
    <x v="263"/>
    <x v="263"/>
    <x v="3"/>
    <x v="1"/>
  </r>
  <r>
    <x v="264"/>
    <n v="14"/>
    <x v="264"/>
    <x v="15"/>
    <x v="15"/>
    <x v="3"/>
    <n v="0"/>
    <n v="2"/>
    <n v="272.36"/>
    <n v="439.74"/>
    <m/>
    <n v="0"/>
    <x v="3"/>
    <x v="258"/>
    <x v="13"/>
    <d v="2025-07-03T00:00:00"/>
    <d v="2025-07-09T00:00:00"/>
    <d v="2025-07-05T00:00:00"/>
    <x v="0"/>
    <x v="3"/>
    <s v="Tudo certo, nota 10!"/>
    <x v="264"/>
    <n v="544.72"/>
    <x v="264"/>
    <x v="264"/>
    <x v="1"/>
    <x v="0"/>
  </r>
  <r>
    <x v="265"/>
    <n v="69"/>
    <x v="265"/>
    <x v="17"/>
    <x v="17"/>
    <x v="2"/>
    <n v="462"/>
    <n v="2"/>
    <n v="115.53"/>
    <n v="186.86"/>
    <s v="PROMO10"/>
    <n v="0.1"/>
    <x v="3"/>
    <x v="259"/>
    <x v="5"/>
    <d v="2025-07-03T00:00:00"/>
    <d v="2025-07-09T00:00:00"/>
    <m/>
    <x v="1"/>
    <x v="1"/>
    <s v="Esperava mais pela qualidade do produto."/>
    <x v="265"/>
    <n v="231.06"/>
    <x v="265"/>
    <x v="265"/>
    <x v="3"/>
    <x v="1"/>
  </r>
  <r>
    <x v="266"/>
    <n v="52"/>
    <x v="266"/>
    <x v="13"/>
    <x v="13"/>
    <x v="0"/>
    <n v="2016"/>
    <n v="3"/>
    <n v="204.97"/>
    <n v="505.47"/>
    <m/>
    <n v="0"/>
    <x v="2"/>
    <x v="260"/>
    <x v="8"/>
    <d v="2025-07-03T00:00:00"/>
    <d v="2025-07-09T00:00:00"/>
    <d v="2025-07-08T00:00:00"/>
    <x v="0"/>
    <x v="3"/>
    <s v="Produto top, recomendo!"/>
    <x v="266"/>
    <n v="614.91"/>
    <x v="266"/>
    <x v="266"/>
    <x v="6"/>
    <x v="0"/>
  </r>
  <r>
    <x v="267"/>
    <n v="18"/>
    <x v="267"/>
    <x v="21"/>
    <x v="21"/>
    <x v="3"/>
    <n v="0"/>
    <n v="1"/>
    <n v="299.89999999999998"/>
    <n v="384.25"/>
    <m/>
    <n v="0"/>
    <x v="0"/>
    <x v="261"/>
    <x v="2"/>
    <d v="2025-07-04T00:00:00"/>
    <d v="2025-07-10T00:00:00"/>
    <d v="2025-07-10T00:00:00"/>
    <x v="0"/>
    <x v="3"/>
    <s v="Qualidade impecável, voltarei a comprar."/>
    <x v="267"/>
    <n v="299.89999999999998"/>
    <x v="267"/>
    <x v="267"/>
    <x v="4"/>
    <x v="0"/>
  </r>
  <r>
    <x v="268"/>
    <n v="26"/>
    <x v="268"/>
    <x v="8"/>
    <x v="8"/>
    <x v="1"/>
    <n v="0"/>
    <n v="1"/>
    <n v="105.91"/>
    <n v="243.58"/>
    <s v="PROMO10"/>
    <n v="0.1"/>
    <x v="1"/>
    <x v="262"/>
    <x v="1"/>
    <d v="2025-07-03T00:00:00"/>
    <d v="2025-07-13T00:00:00"/>
    <d v="2025-07-11T00:00:00"/>
    <x v="0"/>
    <x v="0"/>
    <s v="Entrega no prazo e produto conforme descrito."/>
    <x v="268"/>
    <n v="105.91"/>
    <x v="268"/>
    <x v="268"/>
    <x v="2"/>
    <x v="0"/>
  </r>
  <r>
    <x v="269"/>
    <n v="200"/>
    <x v="269"/>
    <x v="8"/>
    <x v="8"/>
    <x v="1"/>
    <n v="0"/>
    <n v="3"/>
    <n v="26.46"/>
    <n v="153.18"/>
    <m/>
    <n v="0"/>
    <x v="3"/>
    <x v="263"/>
    <x v="4"/>
    <d v="2025-07-03T00:00:00"/>
    <d v="2025-07-12T00:00:00"/>
    <d v="2025-07-09T00:00:00"/>
    <x v="0"/>
    <x v="3"/>
    <s v="Tudo certo, nota 10!"/>
    <x v="269"/>
    <n v="79.38"/>
    <x v="269"/>
    <x v="269"/>
    <x v="0"/>
    <x v="0"/>
  </r>
  <r>
    <x v="270"/>
    <n v="21"/>
    <x v="270"/>
    <x v="2"/>
    <x v="2"/>
    <x v="1"/>
    <n v="0"/>
    <n v="1"/>
    <n v="48.51"/>
    <n v="81.95"/>
    <m/>
    <n v="0"/>
    <x v="1"/>
    <x v="264"/>
    <x v="4"/>
    <d v="2025-07-04T00:00:00"/>
    <d v="2025-07-12T00:00:00"/>
    <m/>
    <x v="3"/>
    <x v="4"/>
    <s v="Produto não era o que esperava."/>
    <x v="270"/>
    <n v="48.51"/>
    <x v="270"/>
    <x v="270"/>
    <x v="3"/>
    <x v="1"/>
  </r>
  <r>
    <x v="271"/>
    <n v="128"/>
    <x v="271"/>
    <x v="7"/>
    <x v="7"/>
    <x v="0"/>
    <n v="2943"/>
    <n v="2"/>
    <n v="2473.56"/>
    <n v="4552.16"/>
    <m/>
    <n v="0"/>
    <x v="2"/>
    <x v="265"/>
    <x v="1"/>
    <d v="2025-07-04T00:00:00"/>
    <d v="2025-07-11T00:00:00"/>
    <d v="2025-07-09T00:00:00"/>
    <x v="0"/>
    <x v="3"/>
    <s v="Entrega rápida, muito satisfeito!"/>
    <x v="271"/>
    <n v="4947.12"/>
    <x v="271"/>
    <x v="271"/>
    <x v="2"/>
    <x v="0"/>
  </r>
  <r>
    <x v="272"/>
    <n v="83"/>
    <x v="272"/>
    <x v="19"/>
    <x v="19"/>
    <x v="0"/>
    <n v="4566"/>
    <n v="2"/>
    <n v="542.04999999999995"/>
    <n v="876.38"/>
    <s v="OFF20"/>
    <n v="0.2"/>
    <x v="2"/>
    <x v="266"/>
    <x v="7"/>
    <d v="2025-07-04T00:00:00"/>
    <d v="2025-07-10T00:00:00"/>
    <d v="2025-07-14T00:00:00"/>
    <x v="0"/>
    <x v="2"/>
    <s v="Decepcionante do início ao fim."/>
    <x v="272"/>
    <n v="1084.0999999999999"/>
    <x v="272"/>
    <x v="272"/>
    <x v="7"/>
    <x v="2"/>
  </r>
  <r>
    <x v="273"/>
    <n v="110"/>
    <x v="273"/>
    <x v="9"/>
    <x v="9"/>
    <x v="1"/>
    <n v="0"/>
    <n v="2"/>
    <n v="30.86"/>
    <n v="74.19"/>
    <m/>
    <n v="0"/>
    <x v="3"/>
    <x v="267"/>
    <x v="12"/>
    <d v="2025-07-04T00:00:00"/>
    <d v="2025-07-12T00:00:00"/>
    <d v="2025-07-07T00:00:00"/>
    <x v="0"/>
    <x v="3"/>
    <s v="Frete rápido, adorei!"/>
    <x v="273"/>
    <n v="61.72"/>
    <x v="273"/>
    <x v="273"/>
    <x v="5"/>
    <x v="0"/>
  </r>
  <r>
    <x v="274"/>
    <n v="37"/>
    <x v="274"/>
    <x v="11"/>
    <x v="11"/>
    <x v="2"/>
    <n v="203"/>
    <n v="3"/>
    <n v="52.03"/>
    <n v="72.03"/>
    <m/>
    <n v="0"/>
    <x v="0"/>
    <x v="268"/>
    <x v="1"/>
    <d v="2025-07-04T00:00:00"/>
    <d v="2025-07-12T00:00:00"/>
    <d v="2025-07-12T00:00:00"/>
    <x v="0"/>
    <x v="0"/>
    <s v="Embalagem perfeita, produto intacto."/>
    <x v="274"/>
    <n v="156.09"/>
    <x v="274"/>
    <x v="274"/>
    <x v="4"/>
    <x v="0"/>
  </r>
  <r>
    <x v="275"/>
    <n v="161"/>
    <x v="275"/>
    <x v="18"/>
    <x v="18"/>
    <x v="0"/>
    <n v="3164"/>
    <n v="2"/>
    <n v="357.93"/>
    <n v="766.1"/>
    <m/>
    <n v="0"/>
    <x v="3"/>
    <x v="269"/>
    <x v="3"/>
    <d v="2025-07-04T00:00:00"/>
    <d v="2025-07-11T00:00:00"/>
    <d v="2025-07-07T00:00:00"/>
    <x v="0"/>
    <x v="0"/>
    <s v="Produto de qualidade, entrega pontual."/>
    <x v="275"/>
    <n v="715.86"/>
    <x v="275"/>
    <x v="275"/>
    <x v="1"/>
    <x v="0"/>
  </r>
  <r>
    <x v="276"/>
    <n v="44"/>
    <x v="276"/>
    <x v="3"/>
    <x v="3"/>
    <x v="2"/>
    <n v="797"/>
    <n v="2"/>
    <n v="183.57"/>
    <n v="315.75"/>
    <m/>
    <n v="0"/>
    <x v="1"/>
    <x v="270"/>
    <x v="7"/>
    <d v="2025-07-05T00:00:00"/>
    <d v="2025-07-14T00:00:00"/>
    <d v="2025-07-08T00:00:00"/>
    <x v="0"/>
    <x v="3"/>
    <s v="Produto de qualidade, entrega pontual."/>
    <x v="276"/>
    <n v="367.14"/>
    <x v="276"/>
    <x v="276"/>
    <x v="12"/>
    <x v="0"/>
  </r>
  <r>
    <x v="277"/>
    <n v="74"/>
    <x v="277"/>
    <x v="6"/>
    <x v="6"/>
    <x v="2"/>
    <n v="341"/>
    <n v="3"/>
    <n v="52.54"/>
    <n v="137.82"/>
    <m/>
    <n v="0"/>
    <x v="2"/>
    <x v="271"/>
    <x v="10"/>
    <d v="2025-07-05T00:00:00"/>
    <d v="2025-07-13T00:00:00"/>
    <d v="2025-07-09T00:00:00"/>
    <x v="0"/>
    <x v="3"/>
    <s v="Frete rápido, adorei!"/>
    <x v="277"/>
    <n v="157.62"/>
    <x v="277"/>
    <x v="277"/>
    <x v="1"/>
    <x v="0"/>
  </r>
  <r>
    <x v="278"/>
    <n v="187"/>
    <x v="278"/>
    <x v="9"/>
    <x v="9"/>
    <x v="1"/>
    <n v="0"/>
    <n v="3"/>
    <n v="43.44"/>
    <n v="188.54"/>
    <m/>
    <n v="0"/>
    <x v="0"/>
    <x v="272"/>
    <x v="12"/>
    <d v="2025-07-06T00:00:00"/>
    <d v="2025-07-16T00:00:00"/>
    <d v="2025-07-10T00:00:00"/>
    <x v="0"/>
    <x v="0"/>
    <s v="Qualidade impecável, voltarei a comprar."/>
    <x v="278"/>
    <n v="130.32"/>
    <x v="278"/>
    <x v="278"/>
    <x v="12"/>
    <x v="0"/>
  </r>
  <r>
    <x v="279"/>
    <n v="97"/>
    <x v="279"/>
    <x v="1"/>
    <x v="1"/>
    <x v="0"/>
    <n v="2639"/>
    <n v="3"/>
    <n v="470.28"/>
    <n v="1316.05"/>
    <s v="PROMO10"/>
    <n v="0.1"/>
    <x v="1"/>
    <x v="273"/>
    <x v="8"/>
    <d v="2025-07-06T00:00:00"/>
    <d v="2025-07-16T00:00:00"/>
    <d v="2025-07-17T00:00:00"/>
    <x v="0"/>
    <x v="4"/>
    <s v="Frete caro e entrega lenta."/>
    <x v="279"/>
    <n v="1410.84"/>
    <x v="279"/>
    <x v="279"/>
    <x v="8"/>
    <x v="2"/>
  </r>
  <r>
    <x v="280"/>
    <n v="26"/>
    <x v="280"/>
    <x v="14"/>
    <x v="14"/>
    <x v="0"/>
    <n v="2122"/>
    <n v="1"/>
    <n v="1412.22"/>
    <n v="1757.2"/>
    <s v="OFF20"/>
    <n v="0.2"/>
    <x v="1"/>
    <x v="274"/>
    <x v="4"/>
    <d v="2025-07-06T00:00:00"/>
    <d v="2025-07-12T00:00:00"/>
    <d v="2025-07-11T00:00:00"/>
    <x v="0"/>
    <x v="0"/>
    <s v="Chegou antes do prazo, excelente!"/>
    <x v="280"/>
    <n v="1412.22"/>
    <x v="280"/>
    <x v="280"/>
    <x v="6"/>
    <x v="0"/>
  </r>
  <r>
    <x v="281"/>
    <n v="73"/>
    <x v="281"/>
    <x v="20"/>
    <x v="20"/>
    <x v="3"/>
    <n v="0"/>
    <n v="1"/>
    <n v="340.24"/>
    <n v="402.68"/>
    <m/>
    <n v="0"/>
    <x v="1"/>
    <x v="275"/>
    <x v="7"/>
    <d v="2025-07-08T00:00:00"/>
    <d v="2025-07-15T00:00:00"/>
    <d v="2025-07-12T00:00:00"/>
    <x v="0"/>
    <x v="3"/>
    <s v="Superou minhas expectativas!"/>
    <x v="281"/>
    <n v="340.24"/>
    <x v="281"/>
    <x v="281"/>
    <x v="0"/>
    <x v="0"/>
  </r>
  <r>
    <x v="282"/>
    <n v="44"/>
    <x v="282"/>
    <x v="0"/>
    <x v="0"/>
    <x v="0"/>
    <n v="2151"/>
    <n v="1"/>
    <n v="2195.77"/>
    <n v="3623.55"/>
    <m/>
    <n v="0"/>
    <x v="0"/>
    <x v="276"/>
    <x v="4"/>
    <d v="2025-07-08T00:00:00"/>
    <d v="2025-07-14T00:00:00"/>
    <d v="2025-07-14T00:00:00"/>
    <x v="0"/>
    <x v="0"/>
    <s v="Excelente atendimento e entrega."/>
    <x v="282"/>
    <n v="2195.77"/>
    <x v="282"/>
    <x v="282"/>
    <x v="4"/>
    <x v="0"/>
  </r>
  <r>
    <x v="283"/>
    <n v="67"/>
    <x v="283"/>
    <x v="7"/>
    <x v="7"/>
    <x v="0"/>
    <n v="2995"/>
    <n v="3"/>
    <n v="2474.79"/>
    <n v="3819.87"/>
    <m/>
    <n v="0"/>
    <x v="0"/>
    <x v="277"/>
    <x v="2"/>
    <d v="2025-07-08T00:00:00"/>
    <d v="2025-07-13T00:00:00"/>
    <d v="2025-07-12T00:00:00"/>
    <x v="0"/>
    <x v="0"/>
    <s v="Ótimo custo-benefício!"/>
    <x v="283"/>
    <n v="7424.37"/>
    <x v="283"/>
    <x v="283"/>
    <x v="6"/>
    <x v="0"/>
  </r>
  <r>
    <x v="284"/>
    <n v="154"/>
    <x v="284"/>
    <x v="22"/>
    <x v="22"/>
    <x v="3"/>
    <n v="0"/>
    <n v="2"/>
    <n v="486.06"/>
    <n v="688.86"/>
    <m/>
    <n v="0"/>
    <x v="3"/>
    <x v="278"/>
    <x v="1"/>
    <d v="2025-07-08T00:00:00"/>
    <d v="2025-07-18T00:00:00"/>
    <d v="2025-07-12T00:00:00"/>
    <x v="0"/>
    <x v="3"/>
    <s v="Produto top, recomendo!"/>
    <x v="284"/>
    <n v="972.12"/>
    <x v="284"/>
    <x v="284"/>
    <x v="12"/>
    <x v="0"/>
  </r>
  <r>
    <x v="285"/>
    <n v="168"/>
    <x v="285"/>
    <x v="21"/>
    <x v="21"/>
    <x v="3"/>
    <n v="0"/>
    <n v="1"/>
    <n v="172.6"/>
    <n v="479.93"/>
    <m/>
    <n v="0"/>
    <x v="3"/>
    <x v="279"/>
    <x v="2"/>
    <d v="2025-07-07T00:00:00"/>
    <d v="2025-07-15T00:00:00"/>
    <d v="2025-07-14T00:00:00"/>
    <x v="0"/>
    <x v="3"/>
    <s v="Ótimo custo-benefício!"/>
    <x v="285"/>
    <n v="172.6"/>
    <x v="285"/>
    <x v="285"/>
    <x v="6"/>
    <x v="0"/>
  </r>
  <r>
    <x v="286"/>
    <n v="142"/>
    <x v="286"/>
    <x v="15"/>
    <x v="15"/>
    <x v="3"/>
    <n v="0"/>
    <n v="2"/>
    <n v="292.14999999999998"/>
    <n v="453.4"/>
    <m/>
    <n v="0"/>
    <x v="2"/>
    <x v="280"/>
    <x v="7"/>
    <d v="2025-07-07T00:00:00"/>
    <d v="2025-07-12T00:00:00"/>
    <d v="2025-07-16T00:00:00"/>
    <x v="0"/>
    <x v="4"/>
    <s v="Decepcionante do início ao fim."/>
    <x v="286"/>
    <n v="584.29999999999995"/>
    <x v="286"/>
    <x v="286"/>
    <x v="7"/>
    <x v="2"/>
  </r>
  <r>
    <x v="287"/>
    <n v="164"/>
    <x v="287"/>
    <x v="10"/>
    <x v="10"/>
    <x v="2"/>
    <n v="283"/>
    <n v="2"/>
    <n v="59.37"/>
    <n v="173.37"/>
    <m/>
    <n v="0"/>
    <x v="1"/>
    <x v="281"/>
    <x v="7"/>
    <d v="2025-07-07T00:00:00"/>
    <d v="2025-07-14T00:00:00"/>
    <m/>
    <x v="2"/>
    <x v="2"/>
    <s v="Frete caro e entrega lenta."/>
    <x v="287"/>
    <n v="118.74"/>
    <x v="287"/>
    <x v="287"/>
    <x v="3"/>
    <x v="1"/>
  </r>
  <r>
    <x v="288"/>
    <n v="46"/>
    <x v="288"/>
    <x v="2"/>
    <x v="2"/>
    <x v="1"/>
    <n v="0"/>
    <n v="2"/>
    <n v="36.590000000000003"/>
    <n v="91.28"/>
    <s v="OFF20"/>
    <n v="0.2"/>
    <x v="2"/>
    <x v="282"/>
    <x v="11"/>
    <d v="2025-07-09T00:00:00"/>
    <d v="2025-07-16T00:00:00"/>
    <d v="2025-07-15T00:00:00"/>
    <x v="0"/>
    <x v="3"/>
    <s v="Excelente atendimento e entrega."/>
    <x v="288"/>
    <n v="73.180000000000007"/>
    <x v="288"/>
    <x v="288"/>
    <x v="6"/>
    <x v="0"/>
  </r>
  <r>
    <x v="289"/>
    <n v="186"/>
    <x v="289"/>
    <x v="9"/>
    <x v="9"/>
    <x v="1"/>
    <n v="0"/>
    <n v="1"/>
    <n v="31.33"/>
    <n v="175.41"/>
    <s v="PROMO10"/>
    <n v="0.1"/>
    <x v="2"/>
    <x v="283"/>
    <x v="2"/>
    <d v="2025-07-10T00:00:00"/>
    <d v="2025-07-17T00:00:00"/>
    <d v="2025-07-13T00:00:00"/>
    <x v="0"/>
    <x v="0"/>
    <s v="Tudo certo, nota 10!"/>
    <x v="289"/>
    <n v="31.33"/>
    <x v="289"/>
    <x v="289"/>
    <x v="1"/>
    <x v="0"/>
  </r>
  <r>
    <x v="290"/>
    <n v="125"/>
    <x v="290"/>
    <x v="10"/>
    <x v="10"/>
    <x v="2"/>
    <n v="225"/>
    <n v="3"/>
    <n v="74.569999999999993"/>
    <n v="127.73"/>
    <m/>
    <n v="0"/>
    <x v="0"/>
    <x v="284"/>
    <x v="2"/>
    <d v="2025-07-10T00:00:00"/>
    <d v="2025-07-16T00:00:00"/>
    <d v="2025-07-18T00:00:00"/>
    <x v="0"/>
    <x v="2"/>
    <s v="Não recomendo, péssima experiência."/>
    <x v="290"/>
    <n v="223.71"/>
    <x v="290"/>
    <x v="290"/>
    <x v="14"/>
    <x v="2"/>
  </r>
  <r>
    <x v="291"/>
    <n v="85"/>
    <x v="291"/>
    <x v="18"/>
    <x v="18"/>
    <x v="0"/>
    <n v="3204"/>
    <n v="3"/>
    <n v="468.21"/>
    <n v="617.89"/>
    <m/>
    <n v="0"/>
    <x v="2"/>
    <x v="285"/>
    <x v="13"/>
    <d v="2025-07-10T00:00:00"/>
    <d v="2025-07-15T00:00:00"/>
    <d v="2025-07-12T00:00:00"/>
    <x v="0"/>
    <x v="0"/>
    <s v="Produto de qualidade, entrega pontual."/>
    <x v="291"/>
    <n v="1404.63"/>
    <x v="291"/>
    <x v="291"/>
    <x v="0"/>
    <x v="0"/>
  </r>
  <r>
    <x v="292"/>
    <n v="177"/>
    <x v="292"/>
    <x v="12"/>
    <x v="12"/>
    <x v="2"/>
    <n v="561"/>
    <n v="3"/>
    <n v="37.96"/>
    <n v="63.88"/>
    <m/>
    <n v="0"/>
    <x v="0"/>
    <x v="286"/>
    <x v="2"/>
    <d v="2025-07-11T00:00:00"/>
    <d v="2025-07-17T00:00:00"/>
    <d v="2025-07-13T00:00:00"/>
    <x v="0"/>
    <x v="3"/>
    <s v="Frete rápido, adorei!"/>
    <x v="292"/>
    <n v="113.88"/>
    <x v="292"/>
    <x v="292"/>
    <x v="1"/>
    <x v="0"/>
  </r>
  <r>
    <x v="293"/>
    <n v="58"/>
    <x v="293"/>
    <x v="7"/>
    <x v="7"/>
    <x v="0"/>
    <n v="2326"/>
    <n v="2"/>
    <n v="2748.38"/>
    <n v="4834.67"/>
    <m/>
    <n v="0"/>
    <x v="2"/>
    <x v="287"/>
    <x v="4"/>
    <d v="2025-07-11T00:00:00"/>
    <d v="2025-07-19T00:00:00"/>
    <d v="2025-07-14T00:00:00"/>
    <x v="0"/>
    <x v="0"/>
    <s v="Produto de qualidade, entrega pontual."/>
    <x v="293"/>
    <n v="5496.76"/>
    <x v="293"/>
    <x v="293"/>
    <x v="5"/>
    <x v="0"/>
  </r>
  <r>
    <x v="294"/>
    <n v="16"/>
    <x v="294"/>
    <x v="8"/>
    <x v="8"/>
    <x v="1"/>
    <n v="0"/>
    <n v="1"/>
    <n v="119.9"/>
    <n v="202.7"/>
    <m/>
    <n v="0"/>
    <x v="3"/>
    <x v="288"/>
    <x v="2"/>
    <d v="2025-07-11T00:00:00"/>
    <d v="2025-07-17T00:00:00"/>
    <d v="2025-07-13T00:00:00"/>
    <x v="0"/>
    <x v="3"/>
    <s v="Qualidade impecável, voltarei a comprar."/>
    <x v="294"/>
    <n v="119.9"/>
    <x v="294"/>
    <x v="294"/>
    <x v="1"/>
    <x v="0"/>
  </r>
  <r>
    <x v="295"/>
    <n v="119"/>
    <x v="295"/>
    <x v="22"/>
    <x v="22"/>
    <x v="3"/>
    <n v="0"/>
    <n v="1"/>
    <n v="319.52"/>
    <n v="740.2"/>
    <m/>
    <n v="0"/>
    <x v="2"/>
    <x v="289"/>
    <x v="9"/>
    <d v="2025-07-11T00:00:00"/>
    <d v="2025-07-18T00:00:00"/>
    <d v="2025-07-15T00:00:00"/>
    <x v="0"/>
    <x v="0"/>
    <s v="Produto de qualidade, entrega pontual."/>
    <x v="295"/>
    <n v="319.52"/>
    <x v="295"/>
    <x v="295"/>
    <x v="0"/>
    <x v="0"/>
  </r>
  <r>
    <x v="296"/>
    <n v="32"/>
    <x v="296"/>
    <x v="16"/>
    <x v="16"/>
    <x v="1"/>
    <n v="0"/>
    <n v="1"/>
    <n v="225.01"/>
    <n v="480.75"/>
    <m/>
    <n v="0"/>
    <x v="2"/>
    <x v="290"/>
    <x v="12"/>
    <d v="2025-07-10T00:00:00"/>
    <d v="2025-07-18T00:00:00"/>
    <d v="2025-07-17T00:00:00"/>
    <x v="0"/>
    <x v="0"/>
    <s v="Excelente atendimento e entrega."/>
    <x v="296"/>
    <n v="225.01"/>
    <x v="296"/>
    <x v="296"/>
    <x v="6"/>
    <x v="0"/>
  </r>
  <r>
    <x v="297"/>
    <n v="154"/>
    <x v="297"/>
    <x v="8"/>
    <x v="8"/>
    <x v="1"/>
    <n v="0"/>
    <n v="2"/>
    <n v="114.22"/>
    <n v="163.93"/>
    <s v="PROMO10"/>
    <n v="0.1"/>
    <x v="2"/>
    <x v="291"/>
    <x v="2"/>
    <d v="2025-07-12T00:00:00"/>
    <d v="2025-07-22T00:00:00"/>
    <d v="2025-07-14T00:00:00"/>
    <x v="0"/>
    <x v="0"/>
    <s v="Entrega rápida, muito satisfeito!"/>
    <x v="297"/>
    <n v="228.44"/>
    <x v="297"/>
    <x v="297"/>
    <x v="13"/>
    <x v="0"/>
  </r>
  <r>
    <x v="298"/>
    <n v="197"/>
    <x v="298"/>
    <x v="4"/>
    <x v="4"/>
    <x v="0"/>
    <n v="4768"/>
    <n v="1"/>
    <n v="276.62"/>
    <n v="656.41"/>
    <m/>
    <n v="0"/>
    <x v="0"/>
    <x v="292"/>
    <x v="5"/>
    <d v="2025-07-12T00:00:00"/>
    <d v="2025-07-20T00:00:00"/>
    <d v="2025-07-22T00:00:00"/>
    <x v="0"/>
    <x v="2"/>
    <s v="Decepcionante do início ao fim."/>
    <x v="298"/>
    <n v="276.62"/>
    <x v="298"/>
    <x v="298"/>
    <x v="14"/>
    <x v="2"/>
  </r>
  <r>
    <x v="299"/>
    <n v="109"/>
    <x v="299"/>
    <x v="15"/>
    <x v="15"/>
    <x v="3"/>
    <n v="0"/>
    <n v="2"/>
    <n v="480.61"/>
    <n v="690.5"/>
    <m/>
    <n v="0"/>
    <x v="2"/>
    <x v="293"/>
    <x v="3"/>
    <d v="2025-07-11T00:00:00"/>
    <d v="2025-07-21T00:00:00"/>
    <d v="2025-07-14T00:00:00"/>
    <x v="0"/>
    <x v="0"/>
    <s v="Muito bom, sem reclamações."/>
    <x v="299"/>
    <n v="961.22"/>
    <x v="299"/>
    <x v="299"/>
    <x v="9"/>
    <x v="0"/>
  </r>
  <r>
    <x v="300"/>
    <n v="152"/>
    <x v="300"/>
    <x v="18"/>
    <x v="18"/>
    <x v="0"/>
    <n v="2538"/>
    <n v="2"/>
    <n v="358.33"/>
    <n v="575.30999999999995"/>
    <m/>
    <n v="0"/>
    <x v="2"/>
    <x v="294"/>
    <x v="0"/>
    <d v="2025-07-12T00:00:00"/>
    <d v="2025-07-20T00:00:00"/>
    <m/>
    <x v="1"/>
    <x v="3"/>
    <s v="Entrega no prazo e produto conforme descrito."/>
    <x v="300"/>
    <n v="716.66"/>
    <x v="300"/>
    <x v="300"/>
    <x v="3"/>
    <x v="1"/>
  </r>
  <r>
    <x v="301"/>
    <n v="119"/>
    <x v="301"/>
    <x v="12"/>
    <x v="12"/>
    <x v="2"/>
    <n v="501"/>
    <n v="3"/>
    <n v="16.760000000000002"/>
    <n v="89.58"/>
    <s v="OFF20"/>
    <n v="0.2"/>
    <x v="2"/>
    <x v="295"/>
    <x v="0"/>
    <d v="2025-07-11T00:00:00"/>
    <d v="2025-07-16T00:00:00"/>
    <d v="2025-07-16T00:00:00"/>
    <x v="0"/>
    <x v="3"/>
    <s v="Excelente atendimento e entrega."/>
    <x v="301"/>
    <n v="50.28"/>
    <x v="301"/>
    <x v="301"/>
    <x v="4"/>
    <x v="0"/>
  </r>
  <r>
    <x v="302"/>
    <n v="168"/>
    <x v="302"/>
    <x v="11"/>
    <x v="11"/>
    <x v="2"/>
    <n v="215"/>
    <n v="1"/>
    <n v="27.06"/>
    <n v="79.22"/>
    <s v="PROMO10"/>
    <n v="0.1"/>
    <x v="2"/>
    <x v="213"/>
    <x v="1"/>
    <d v="2025-07-12T00:00:00"/>
    <d v="2025-07-17T00:00:00"/>
    <d v="2025-07-16T00:00:00"/>
    <x v="0"/>
    <x v="3"/>
    <s v="Tudo certo, nota 10!"/>
    <x v="302"/>
    <n v="27.06"/>
    <x v="302"/>
    <x v="302"/>
    <x v="6"/>
    <x v="0"/>
  </r>
  <r>
    <x v="303"/>
    <n v="111"/>
    <x v="303"/>
    <x v="1"/>
    <x v="1"/>
    <x v="0"/>
    <n v="2130"/>
    <n v="2"/>
    <n v="761.04"/>
    <n v="1113.3800000000001"/>
    <s v="PROMO10"/>
    <n v="0.1"/>
    <x v="0"/>
    <x v="296"/>
    <x v="7"/>
    <d v="2025-07-12T00:00:00"/>
    <d v="2025-07-20T00:00:00"/>
    <m/>
    <x v="1"/>
    <x v="1"/>
    <s v="Produto ok, mas a entrega atrasou um pouco."/>
    <x v="303"/>
    <n v="1522.08"/>
    <x v="303"/>
    <x v="303"/>
    <x v="3"/>
    <x v="1"/>
  </r>
  <r>
    <x v="304"/>
    <n v="103"/>
    <x v="304"/>
    <x v="4"/>
    <x v="4"/>
    <x v="0"/>
    <n v="4194"/>
    <n v="3"/>
    <n v="211.37"/>
    <n v="706.01"/>
    <s v="PROMO10"/>
    <n v="0.1"/>
    <x v="3"/>
    <x v="297"/>
    <x v="13"/>
    <d v="2025-07-13T00:00:00"/>
    <d v="2025-07-21T00:00:00"/>
    <m/>
    <x v="2"/>
    <x v="4"/>
    <s v="Nunca mais compro aqui."/>
    <x v="304"/>
    <n v="634.11"/>
    <x v="304"/>
    <x v="304"/>
    <x v="3"/>
    <x v="1"/>
  </r>
  <r>
    <x v="305"/>
    <n v="112"/>
    <x v="305"/>
    <x v="14"/>
    <x v="14"/>
    <x v="0"/>
    <n v="2015"/>
    <n v="2"/>
    <n v="1199.98"/>
    <n v="2161"/>
    <m/>
    <n v="0"/>
    <x v="1"/>
    <x v="298"/>
    <x v="14"/>
    <d v="2025-07-12T00:00:00"/>
    <d v="2025-07-17T00:00:00"/>
    <d v="2025-07-15T00:00:00"/>
    <x v="0"/>
    <x v="3"/>
    <s v="Parabéns pela agilidade!"/>
    <x v="305"/>
    <n v="2399.96"/>
    <x v="305"/>
    <x v="305"/>
    <x v="2"/>
    <x v="0"/>
  </r>
  <r>
    <x v="306"/>
    <n v="33"/>
    <x v="306"/>
    <x v="11"/>
    <x v="11"/>
    <x v="2"/>
    <n v="287"/>
    <n v="2"/>
    <n v="29.26"/>
    <n v="100.19"/>
    <s v="OFF20"/>
    <n v="0.2"/>
    <x v="1"/>
    <x v="299"/>
    <x v="2"/>
    <d v="2025-07-12T00:00:00"/>
    <d v="2025-07-20T00:00:00"/>
    <d v="2025-07-20T00:00:00"/>
    <x v="0"/>
    <x v="0"/>
    <s v="Tudo certo, nota 10!"/>
    <x v="306"/>
    <n v="58.52"/>
    <x v="306"/>
    <x v="306"/>
    <x v="4"/>
    <x v="0"/>
  </r>
  <r>
    <x v="307"/>
    <n v="169"/>
    <x v="307"/>
    <x v="9"/>
    <x v="9"/>
    <x v="1"/>
    <n v="0"/>
    <n v="3"/>
    <n v="90.75"/>
    <n v="184.15"/>
    <m/>
    <n v="0"/>
    <x v="2"/>
    <x v="300"/>
    <x v="0"/>
    <d v="2025-07-13T00:00:00"/>
    <d v="2025-07-18T00:00:00"/>
    <m/>
    <x v="1"/>
    <x v="1"/>
    <s v="Esperava mais pela qualidade do produto."/>
    <x v="307"/>
    <n v="272.25"/>
    <x v="307"/>
    <x v="307"/>
    <x v="3"/>
    <x v="1"/>
  </r>
  <r>
    <x v="308"/>
    <n v="136"/>
    <x v="308"/>
    <x v="19"/>
    <x v="19"/>
    <x v="0"/>
    <n v="3798"/>
    <n v="3"/>
    <n v="662.24"/>
    <n v="1203.8699999999999"/>
    <m/>
    <n v="0"/>
    <x v="0"/>
    <x v="301"/>
    <x v="5"/>
    <d v="2025-07-14T00:00:00"/>
    <d v="2025-07-19T00:00:00"/>
    <d v="2025-07-18T00:00:00"/>
    <x v="0"/>
    <x v="3"/>
    <s v="Superou minhas expectativas!"/>
    <x v="308"/>
    <n v="1986.72"/>
    <x v="308"/>
    <x v="308"/>
    <x v="6"/>
    <x v="0"/>
  </r>
  <r>
    <x v="309"/>
    <n v="195"/>
    <x v="309"/>
    <x v="6"/>
    <x v="6"/>
    <x v="2"/>
    <n v="232"/>
    <n v="3"/>
    <n v="79.23"/>
    <n v="118.45"/>
    <m/>
    <n v="0"/>
    <x v="1"/>
    <x v="302"/>
    <x v="11"/>
    <d v="2025-07-14T00:00:00"/>
    <d v="2025-07-19T00:00:00"/>
    <d v="2025-07-16T00:00:00"/>
    <x v="0"/>
    <x v="0"/>
    <s v="Chegou antes do prazo, excelente!"/>
    <x v="309"/>
    <n v="237.69"/>
    <x v="309"/>
    <x v="309"/>
    <x v="0"/>
    <x v="0"/>
  </r>
  <r>
    <x v="310"/>
    <n v="22"/>
    <x v="310"/>
    <x v="15"/>
    <x v="15"/>
    <x v="3"/>
    <n v="0"/>
    <n v="1"/>
    <n v="493.84"/>
    <n v="714.49"/>
    <m/>
    <n v="0"/>
    <x v="1"/>
    <x v="303"/>
    <x v="13"/>
    <d v="2025-07-14T00:00:00"/>
    <d v="2025-07-22T00:00:00"/>
    <d v="2025-07-20T00:00:00"/>
    <x v="0"/>
    <x v="0"/>
    <s v="Entrega rápida, muito satisfeito!"/>
    <x v="310"/>
    <n v="493.84"/>
    <x v="310"/>
    <x v="310"/>
    <x v="2"/>
    <x v="0"/>
  </r>
  <r>
    <x v="311"/>
    <n v="166"/>
    <x v="311"/>
    <x v="1"/>
    <x v="1"/>
    <x v="0"/>
    <n v="2255"/>
    <n v="2"/>
    <n v="762.32"/>
    <n v="1377.09"/>
    <s v="PROMO10"/>
    <n v="0.1"/>
    <x v="0"/>
    <x v="304"/>
    <x v="0"/>
    <d v="2025-07-14T00:00:00"/>
    <d v="2025-07-20T00:00:00"/>
    <d v="2025-07-18T00:00:00"/>
    <x v="0"/>
    <x v="3"/>
    <s v="Ótimo custo-benefício!"/>
    <x v="311"/>
    <n v="1524.64"/>
    <x v="311"/>
    <x v="311"/>
    <x v="2"/>
    <x v="0"/>
  </r>
  <r>
    <x v="312"/>
    <n v="12"/>
    <x v="312"/>
    <x v="4"/>
    <x v="4"/>
    <x v="0"/>
    <n v="4278"/>
    <n v="2"/>
    <n v="207.35"/>
    <n v="484.15"/>
    <m/>
    <n v="0"/>
    <x v="0"/>
    <x v="305"/>
    <x v="14"/>
    <d v="2025-07-14T00:00:00"/>
    <d v="2025-07-21T00:00:00"/>
    <d v="2025-07-16T00:00:00"/>
    <x v="0"/>
    <x v="3"/>
    <s v="Produto de qualidade, entrega pontual."/>
    <x v="312"/>
    <n v="414.7"/>
    <x v="312"/>
    <x v="312"/>
    <x v="5"/>
    <x v="0"/>
  </r>
  <r>
    <x v="313"/>
    <n v="187"/>
    <x v="313"/>
    <x v="22"/>
    <x v="22"/>
    <x v="3"/>
    <n v="0"/>
    <n v="1"/>
    <n v="301.08"/>
    <n v="566.33000000000004"/>
    <s v="PROMO10"/>
    <n v="0.1"/>
    <x v="3"/>
    <x v="12"/>
    <x v="8"/>
    <d v="2025-07-16T00:00:00"/>
    <d v="2025-07-26T00:00:00"/>
    <d v="2025-07-26T00:00:00"/>
    <x v="0"/>
    <x v="3"/>
    <s v="Chegou antes do prazo, excelente!"/>
    <x v="313"/>
    <n v="301.08"/>
    <x v="313"/>
    <x v="313"/>
    <x v="4"/>
    <x v="0"/>
  </r>
  <r>
    <x v="314"/>
    <n v="179"/>
    <x v="314"/>
    <x v="16"/>
    <x v="16"/>
    <x v="1"/>
    <n v="0"/>
    <n v="1"/>
    <n v="116.99"/>
    <n v="200.2"/>
    <s v="OFF20"/>
    <n v="0.2"/>
    <x v="1"/>
    <x v="306"/>
    <x v="6"/>
    <d v="2025-07-17T00:00:00"/>
    <d v="2025-07-25T00:00:00"/>
    <d v="2025-07-21T00:00:00"/>
    <x v="0"/>
    <x v="0"/>
    <s v="Muito bom, sem reclamações."/>
    <x v="314"/>
    <n v="116.99"/>
    <x v="314"/>
    <x v="314"/>
    <x v="1"/>
    <x v="0"/>
  </r>
  <r>
    <x v="315"/>
    <n v="194"/>
    <x v="315"/>
    <x v="10"/>
    <x v="10"/>
    <x v="2"/>
    <n v="207"/>
    <n v="1"/>
    <n v="77.78"/>
    <n v="96"/>
    <m/>
    <n v="0"/>
    <x v="1"/>
    <x v="307"/>
    <x v="2"/>
    <d v="2025-07-16T00:00:00"/>
    <d v="2025-07-26T00:00:00"/>
    <d v="2025-07-18T00:00:00"/>
    <x v="0"/>
    <x v="0"/>
    <s v="Excelente atendimento e entrega."/>
    <x v="315"/>
    <n v="77.78"/>
    <x v="315"/>
    <x v="315"/>
    <x v="13"/>
    <x v="0"/>
  </r>
  <r>
    <x v="316"/>
    <n v="80"/>
    <x v="316"/>
    <x v="22"/>
    <x v="22"/>
    <x v="3"/>
    <n v="0"/>
    <n v="3"/>
    <n v="384.4"/>
    <n v="778.32"/>
    <s v="OFF20"/>
    <n v="0.2"/>
    <x v="3"/>
    <x v="308"/>
    <x v="3"/>
    <d v="2025-07-17T00:00:00"/>
    <d v="2025-07-26T00:00:00"/>
    <d v="2025-07-30T00:00:00"/>
    <x v="0"/>
    <x v="2"/>
    <s v="Embalagem danificada, produto riscado."/>
    <x v="316"/>
    <n v="1153.2"/>
    <x v="316"/>
    <x v="316"/>
    <x v="7"/>
    <x v="2"/>
  </r>
  <r>
    <x v="317"/>
    <n v="110"/>
    <x v="317"/>
    <x v="12"/>
    <x v="12"/>
    <x v="2"/>
    <n v="454"/>
    <n v="2"/>
    <n v="48.07"/>
    <n v="74.3"/>
    <m/>
    <n v="0"/>
    <x v="2"/>
    <x v="309"/>
    <x v="8"/>
    <d v="2025-07-17T00:00:00"/>
    <d v="2025-07-25T00:00:00"/>
    <m/>
    <x v="1"/>
    <x v="2"/>
    <s v="Nunca mais compro aqui."/>
    <x v="317"/>
    <n v="96.14"/>
    <x v="317"/>
    <x v="317"/>
    <x v="3"/>
    <x v="1"/>
  </r>
  <r>
    <x v="318"/>
    <n v="40"/>
    <x v="318"/>
    <x v="6"/>
    <x v="6"/>
    <x v="2"/>
    <n v="266"/>
    <n v="1"/>
    <n v="37.520000000000003"/>
    <n v="122.49"/>
    <m/>
    <n v="0"/>
    <x v="0"/>
    <x v="310"/>
    <x v="7"/>
    <d v="2025-07-18T00:00:00"/>
    <d v="2025-07-24T00:00:00"/>
    <d v="2025-07-29T00:00:00"/>
    <x v="0"/>
    <x v="4"/>
    <s v="Produto extraviado, tive que abrir reclamação."/>
    <x v="318"/>
    <n v="37.520000000000003"/>
    <x v="318"/>
    <x v="318"/>
    <x v="10"/>
    <x v="2"/>
  </r>
  <r>
    <x v="319"/>
    <n v="46"/>
    <x v="319"/>
    <x v="11"/>
    <x v="11"/>
    <x v="2"/>
    <n v="221"/>
    <n v="3"/>
    <n v="54.69"/>
    <n v="74.16"/>
    <s v="OFF20"/>
    <n v="0.2"/>
    <x v="0"/>
    <x v="311"/>
    <x v="5"/>
    <d v="2025-07-19T00:00:00"/>
    <d v="2025-07-25T00:00:00"/>
    <d v="2025-07-21T00:00:00"/>
    <x v="0"/>
    <x v="3"/>
    <s v="Parabéns pela agilidade!"/>
    <x v="319"/>
    <n v="164.07"/>
    <x v="319"/>
    <x v="319"/>
    <x v="1"/>
    <x v="0"/>
  </r>
  <r>
    <x v="320"/>
    <n v="40"/>
    <x v="320"/>
    <x v="9"/>
    <x v="9"/>
    <x v="1"/>
    <n v="0"/>
    <n v="2"/>
    <n v="89.48"/>
    <n v="171.29"/>
    <m/>
    <n v="0"/>
    <x v="2"/>
    <x v="312"/>
    <x v="1"/>
    <d v="2025-07-18T00:00:00"/>
    <d v="2025-07-23T00:00:00"/>
    <d v="2025-07-22T00:00:00"/>
    <x v="0"/>
    <x v="0"/>
    <s v="Entrega rápida, muito satisfeito!"/>
    <x v="320"/>
    <n v="178.96"/>
    <x v="320"/>
    <x v="320"/>
    <x v="6"/>
    <x v="0"/>
  </r>
  <r>
    <x v="321"/>
    <n v="43"/>
    <x v="321"/>
    <x v="14"/>
    <x v="14"/>
    <x v="0"/>
    <n v="2020"/>
    <n v="1"/>
    <n v="810.43"/>
    <n v="2415.2800000000002"/>
    <m/>
    <n v="0"/>
    <x v="0"/>
    <x v="313"/>
    <x v="1"/>
    <d v="2025-07-19T00:00:00"/>
    <d v="2025-07-28T00:00:00"/>
    <d v="2025-07-27T00:00:00"/>
    <x v="0"/>
    <x v="0"/>
    <s v="Chegou antes do prazo, excelente!"/>
    <x v="321"/>
    <n v="810.43"/>
    <x v="321"/>
    <x v="321"/>
    <x v="6"/>
    <x v="0"/>
  </r>
  <r>
    <x v="322"/>
    <n v="120"/>
    <x v="322"/>
    <x v="5"/>
    <x v="5"/>
    <x v="2"/>
    <n v="260"/>
    <n v="2"/>
    <n v="67.7"/>
    <n v="119.81"/>
    <m/>
    <n v="0"/>
    <x v="0"/>
    <x v="314"/>
    <x v="13"/>
    <d v="2025-07-21T00:00:00"/>
    <d v="2025-07-29T00:00:00"/>
    <m/>
    <x v="2"/>
    <x v="4"/>
    <s v="Não recomendo, péssima experiência."/>
    <x v="322"/>
    <n v="135.4"/>
    <x v="322"/>
    <x v="322"/>
    <x v="3"/>
    <x v="1"/>
  </r>
  <r>
    <x v="323"/>
    <n v="137"/>
    <x v="323"/>
    <x v="8"/>
    <x v="8"/>
    <x v="1"/>
    <n v="0"/>
    <n v="1"/>
    <n v="100.9"/>
    <n v="150.82"/>
    <m/>
    <n v="0"/>
    <x v="1"/>
    <x v="315"/>
    <x v="14"/>
    <d v="2025-07-21T00:00:00"/>
    <d v="2025-07-27T00:00:00"/>
    <d v="2025-07-24T00:00:00"/>
    <x v="0"/>
    <x v="0"/>
    <s v="Qualidade impecável, voltarei a comprar."/>
    <x v="323"/>
    <n v="100.9"/>
    <x v="323"/>
    <x v="323"/>
    <x v="0"/>
    <x v="0"/>
  </r>
  <r>
    <x v="324"/>
    <n v="173"/>
    <x v="324"/>
    <x v="11"/>
    <x v="11"/>
    <x v="2"/>
    <n v="260"/>
    <n v="3"/>
    <n v="45.7"/>
    <n v="90.97"/>
    <s v="PROMO10"/>
    <n v="0.1"/>
    <x v="3"/>
    <x v="316"/>
    <x v="2"/>
    <d v="2025-07-21T00:00:00"/>
    <d v="2025-07-28T00:00:00"/>
    <d v="2025-07-23T00:00:00"/>
    <x v="0"/>
    <x v="0"/>
    <s v="Parabéns pela agilidade!"/>
    <x v="324"/>
    <n v="137.1"/>
    <x v="324"/>
    <x v="324"/>
    <x v="5"/>
    <x v="0"/>
  </r>
  <r>
    <x v="325"/>
    <n v="105"/>
    <x v="325"/>
    <x v="5"/>
    <x v="5"/>
    <x v="2"/>
    <n v="269"/>
    <n v="2"/>
    <n v="76.12"/>
    <n v="135.33000000000001"/>
    <s v="PROMO10"/>
    <n v="0.1"/>
    <x v="3"/>
    <x v="317"/>
    <x v="9"/>
    <d v="2025-07-22T00:00:00"/>
    <d v="2025-07-30T00:00:00"/>
    <m/>
    <x v="2"/>
    <x v="1"/>
    <s v="Produto bom, mas o frete foi caro."/>
    <x v="325"/>
    <n v="152.24"/>
    <x v="325"/>
    <x v="325"/>
    <x v="3"/>
    <x v="1"/>
  </r>
  <r>
    <x v="326"/>
    <n v="49"/>
    <x v="326"/>
    <x v="7"/>
    <x v="7"/>
    <x v="0"/>
    <n v="2489"/>
    <n v="1"/>
    <n v="2319.36"/>
    <n v="4356.67"/>
    <m/>
    <n v="0"/>
    <x v="3"/>
    <x v="318"/>
    <x v="2"/>
    <d v="2025-07-21T00:00:00"/>
    <d v="2025-07-31T00:00:00"/>
    <m/>
    <x v="2"/>
    <x v="4"/>
    <s v="Pior experiência de compra online."/>
    <x v="326"/>
    <n v="2319.36"/>
    <x v="326"/>
    <x v="326"/>
    <x v="3"/>
    <x v="1"/>
  </r>
  <r>
    <x v="327"/>
    <n v="41"/>
    <x v="327"/>
    <x v="17"/>
    <x v="17"/>
    <x v="2"/>
    <n v="479"/>
    <n v="2"/>
    <n v="74.42"/>
    <n v="108.77"/>
    <m/>
    <n v="0"/>
    <x v="0"/>
    <x v="319"/>
    <x v="8"/>
    <d v="2025-07-22T00:00:00"/>
    <d v="2025-07-30T00:00:00"/>
    <d v="2025-07-29T00:00:00"/>
    <x v="0"/>
    <x v="0"/>
    <s v="Produto top, recomendo!"/>
    <x v="327"/>
    <n v="148.84"/>
    <x v="327"/>
    <x v="327"/>
    <x v="6"/>
    <x v="0"/>
  </r>
  <r>
    <x v="328"/>
    <n v="1"/>
    <x v="328"/>
    <x v="7"/>
    <x v="7"/>
    <x v="0"/>
    <n v="2448"/>
    <n v="2"/>
    <n v="2981.45"/>
    <n v="4056.15"/>
    <s v="OFF20"/>
    <n v="0.2"/>
    <x v="2"/>
    <x v="320"/>
    <x v="4"/>
    <d v="2025-07-22T00:00:00"/>
    <d v="2025-07-30T00:00:00"/>
    <d v="2025-07-24T00:00:00"/>
    <x v="0"/>
    <x v="0"/>
    <s v="Tudo certo, nota 10!"/>
    <x v="328"/>
    <n v="5962.9"/>
    <x v="328"/>
    <x v="328"/>
    <x v="12"/>
    <x v="0"/>
  </r>
  <r>
    <x v="329"/>
    <n v="33"/>
    <x v="329"/>
    <x v="13"/>
    <x v="13"/>
    <x v="0"/>
    <n v="2049"/>
    <n v="1"/>
    <n v="286.7"/>
    <n v="551.45000000000005"/>
    <m/>
    <n v="0"/>
    <x v="1"/>
    <x v="321"/>
    <x v="0"/>
    <d v="2025-07-23T00:00:00"/>
    <d v="2025-07-30T00:00:00"/>
    <d v="2025-07-30T00:00:00"/>
    <x v="0"/>
    <x v="0"/>
    <s v="Embalagem perfeita, produto intacto."/>
    <x v="329"/>
    <n v="286.7"/>
    <x v="329"/>
    <x v="329"/>
    <x v="4"/>
    <x v="0"/>
  </r>
  <r>
    <x v="330"/>
    <n v="127"/>
    <x v="330"/>
    <x v="18"/>
    <x v="18"/>
    <x v="0"/>
    <n v="2810"/>
    <n v="3"/>
    <n v="303.29000000000002"/>
    <n v="987.5"/>
    <m/>
    <n v="0"/>
    <x v="1"/>
    <x v="322"/>
    <x v="6"/>
    <d v="2025-07-24T00:00:00"/>
    <d v="2025-08-03T00:00:00"/>
    <d v="2025-08-03T00:00:00"/>
    <x v="0"/>
    <x v="0"/>
    <s v="Entrega rápida, muito satisfeito!"/>
    <x v="330"/>
    <n v="909.87000000000012"/>
    <x v="330"/>
    <x v="330"/>
    <x v="4"/>
    <x v="0"/>
  </r>
  <r>
    <x v="331"/>
    <n v="96"/>
    <x v="331"/>
    <x v="17"/>
    <x v="17"/>
    <x v="2"/>
    <n v="313"/>
    <n v="2"/>
    <n v="126.27"/>
    <n v="209.86"/>
    <m/>
    <n v="0"/>
    <x v="3"/>
    <x v="323"/>
    <x v="10"/>
    <d v="2025-07-24T00:00:00"/>
    <d v="2025-07-31T00:00:00"/>
    <d v="2025-07-28T00:00:00"/>
    <x v="0"/>
    <x v="0"/>
    <s v="Excelente atendimento e entrega."/>
    <x v="331"/>
    <n v="252.54"/>
    <x v="331"/>
    <x v="331"/>
    <x v="0"/>
    <x v="0"/>
  </r>
  <r>
    <x v="332"/>
    <n v="117"/>
    <x v="332"/>
    <x v="8"/>
    <x v="8"/>
    <x v="1"/>
    <n v="0"/>
    <n v="1"/>
    <n v="83.35"/>
    <n v="129.19"/>
    <m/>
    <n v="0"/>
    <x v="3"/>
    <x v="324"/>
    <x v="4"/>
    <d v="2025-07-24T00:00:00"/>
    <d v="2025-08-01T00:00:00"/>
    <d v="2025-07-28T00:00:00"/>
    <x v="0"/>
    <x v="3"/>
    <s v="Qualidade impecável, voltarei a comprar."/>
    <x v="332"/>
    <n v="83.35"/>
    <x v="332"/>
    <x v="332"/>
    <x v="1"/>
    <x v="0"/>
  </r>
  <r>
    <x v="333"/>
    <n v="180"/>
    <x v="333"/>
    <x v="17"/>
    <x v="17"/>
    <x v="2"/>
    <n v="448"/>
    <n v="1"/>
    <n v="85.67"/>
    <n v="234.03"/>
    <s v="OFF20"/>
    <n v="0.2"/>
    <x v="3"/>
    <x v="325"/>
    <x v="7"/>
    <d v="2025-07-25T00:00:00"/>
    <d v="2025-07-30T00:00:00"/>
    <m/>
    <x v="1"/>
    <x v="1"/>
    <s v="Produto ok, mas a entrega atrasou um pouco."/>
    <x v="333"/>
    <n v="85.67"/>
    <x v="333"/>
    <x v="333"/>
    <x v="3"/>
    <x v="1"/>
  </r>
  <r>
    <x v="334"/>
    <n v="83"/>
    <x v="334"/>
    <x v="9"/>
    <x v="9"/>
    <x v="1"/>
    <n v="0"/>
    <n v="1"/>
    <n v="58.34"/>
    <n v="78.89"/>
    <s v="PROMO10"/>
    <n v="0.1"/>
    <x v="3"/>
    <x v="326"/>
    <x v="12"/>
    <d v="2025-07-24T00:00:00"/>
    <d v="2025-07-31T00:00:00"/>
    <d v="2025-08-02T00:00:00"/>
    <x v="0"/>
    <x v="1"/>
    <s v="Esperava mais pela qualidade do produto."/>
    <x v="334"/>
    <n v="58.34"/>
    <x v="334"/>
    <x v="334"/>
    <x v="14"/>
    <x v="2"/>
  </r>
  <r>
    <x v="335"/>
    <n v="112"/>
    <x v="335"/>
    <x v="18"/>
    <x v="18"/>
    <x v="0"/>
    <n v="3032"/>
    <n v="3"/>
    <n v="429.35"/>
    <n v="894.31"/>
    <m/>
    <n v="0"/>
    <x v="2"/>
    <x v="327"/>
    <x v="10"/>
    <d v="2025-07-24T00:00:00"/>
    <d v="2025-07-30T00:00:00"/>
    <d v="2025-07-29T00:00:00"/>
    <x v="0"/>
    <x v="0"/>
    <s v="Embalagem perfeita, produto intacto."/>
    <x v="335"/>
    <n v="1288.05"/>
    <x v="335"/>
    <x v="335"/>
    <x v="6"/>
    <x v="0"/>
  </r>
  <r>
    <x v="336"/>
    <n v="21"/>
    <x v="336"/>
    <x v="5"/>
    <x v="5"/>
    <x v="2"/>
    <n v="247"/>
    <n v="3"/>
    <n v="66.3"/>
    <n v="112.48"/>
    <m/>
    <n v="0"/>
    <x v="0"/>
    <x v="328"/>
    <x v="8"/>
    <d v="2025-07-25T00:00:00"/>
    <d v="2025-08-04T00:00:00"/>
    <m/>
    <x v="1"/>
    <x v="2"/>
    <s v="Veio errado, tive que devolver."/>
    <x v="336"/>
    <n v="198.9"/>
    <x v="336"/>
    <x v="336"/>
    <x v="3"/>
    <x v="1"/>
  </r>
  <r>
    <x v="337"/>
    <n v="146"/>
    <x v="337"/>
    <x v="14"/>
    <x v="14"/>
    <x v="0"/>
    <n v="2056"/>
    <n v="3"/>
    <n v="1323.35"/>
    <n v="1563.42"/>
    <m/>
    <n v="0"/>
    <x v="1"/>
    <x v="329"/>
    <x v="4"/>
    <d v="2025-07-25T00:00:00"/>
    <d v="2025-07-30T00:00:00"/>
    <d v="2025-07-28T00:00:00"/>
    <x v="0"/>
    <x v="3"/>
    <s v="Frete rápido, adorei!"/>
    <x v="337"/>
    <n v="3970.05"/>
    <x v="337"/>
    <x v="337"/>
    <x v="2"/>
    <x v="0"/>
  </r>
  <r>
    <x v="338"/>
    <n v="180"/>
    <x v="338"/>
    <x v="5"/>
    <x v="5"/>
    <x v="2"/>
    <n v="232"/>
    <n v="1"/>
    <n v="46.93"/>
    <n v="91.38"/>
    <s v="OFF20"/>
    <n v="0.2"/>
    <x v="0"/>
    <x v="330"/>
    <x v="7"/>
    <d v="2025-07-24T00:00:00"/>
    <d v="2025-07-30T00:00:00"/>
    <m/>
    <x v="1"/>
    <x v="3"/>
    <s v="Embalagem perfeita, produto intacto."/>
    <x v="338"/>
    <n v="46.93"/>
    <x v="338"/>
    <x v="338"/>
    <x v="3"/>
    <x v="1"/>
  </r>
  <r>
    <x v="339"/>
    <n v="47"/>
    <x v="339"/>
    <x v="14"/>
    <x v="14"/>
    <x v="0"/>
    <n v="2008"/>
    <n v="2"/>
    <n v="886.09"/>
    <n v="2085.59"/>
    <m/>
    <n v="0"/>
    <x v="0"/>
    <x v="331"/>
    <x v="7"/>
    <d v="2025-07-24T00:00:00"/>
    <d v="2025-07-31T00:00:00"/>
    <d v="2025-07-30T00:00:00"/>
    <x v="0"/>
    <x v="3"/>
    <s v="Frete rápido, adorei!"/>
    <x v="339"/>
    <n v="1772.18"/>
    <x v="339"/>
    <x v="339"/>
    <x v="6"/>
    <x v="0"/>
  </r>
  <r>
    <x v="340"/>
    <n v="127"/>
    <x v="340"/>
    <x v="6"/>
    <x v="6"/>
    <x v="2"/>
    <n v="228"/>
    <n v="2"/>
    <n v="70.7"/>
    <n v="132.97"/>
    <m/>
    <n v="0"/>
    <x v="3"/>
    <x v="332"/>
    <x v="8"/>
    <d v="2025-07-25T00:00:00"/>
    <d v="2025-08-03T00:00:00"/>
    <d v="2025-08-03T00:00:00"/>
    <x v="0"/>
    <x v="0"/>
    <s v="Chegou antes do prazo, excelente!"/>
    <x v="340"/>
    <n v="141.4"/>
    <x v="340"/>
    <x v="340"/>
    <x v="4"/>
    <x v="0"/>
  </r>
  <r>
    <x v="341"/>
    <n v="20"/>
    <x v="341"/>
    <x v="5"/>
    <x v="5"/>
    <x v="2"/>
    <n v="235"/>
    <n v="1"/>
    <n v="57.62"/>
    <n v="75.069999999999993"/>
    <m/>
    <n v="0"/>
    <x v="2"/>
    <x v="333"/>
    <x v="8"/>
    <d v="2025-07-25T00:00:00"/>
    <d v="2025-07-31T00:00:00"/>
    <d v="2025-07-28T00:00:00"/>
    <x v="0"/>
    <x v="0"/>
    <s v="Entrega no prazo e produto conforme descrito."/>
    <x v="341"/>
    <n v="57.62"/>
    <x v="341"/>
    <x v="341"/>
    <x v="0"/>
    <x v="0"/>
  </r>
  <r>
    <x v="342"/>
    <n v="16"/>
    <x v="342"/>
    <x v="13"/>
    <x v="13"/>
    <x v="0"/>
    <n v="2092"/>
    <n v="3"/>
    <n v="266.36"/>
    <n v="562.71"/>
    <s v="PROMO10"/>
    <n v="0.1"/>
    <x v="3"/>
    <x v="334"/>
    <x v="1"/>
    <d v="2025-07-26T00:00:00"/>
    <d v="2025-08-02T00:00:00"/>
    <d v="2025-07-28T00:00:00"/>
    <x v="0"/>
    <x v="0"/>
    <s v="Ótimo custo-benefício!"/>
    <x v="342"/>
    <n v="799.08"/>
    <x v="342"/>
    <x v="342"/>
    <x v="5"/>
    <x v="0"/>
  </r>
  <r>
    <x v="343"/>
    <n v="19"/>
    <x v="343"/>
    <x v="6"/>
    <x v="6"/>
    <x v="2"/>
    <n v="266"/>
    <n v="1"/>
    <n v="44.98"/>
    <n v="147.6"/>
    <s v="OFF20"/>
    <n v="0.2"/>
    <x v="3"/>
    <x v="335"/>
    <x v="4"/>
    <d v="2025-07-26T00:00:00"/>
    <d v="2025-08-05T00:00:00"/>
    <d v="2025-08-01T00:00:00"/>
    <x v="0"/>
    <x v="3"/>
    <s v="Entrega rápida, muito satisfeito!"/>
    <x v="343"/>
    <n v="44.98"/>
    <x v="343"/>
    <x v="343"/>
    <x v="1"/>
    <x v="0"/>
  </r>
  <r>
    <x v="344"/>
    <n v="43"/>
    <x v="344"/>
    <x v="14"/>
    <x v="14"/>
    <x v="0"/>
    <n v="2019"/>
    <n v="1"/>
    <n v="1247.6400000000001"/>
    <n v="1566.5"/>
    <s v="PROMO10"/>
    <n v="0.1"/>
    <x v="0"/>
    <x v="336"/>
    <x v="1"/>
    <d v="2025-07-26T00:00:00"/>
    <d v="2025-08-01T00:00:00"/>
    <d v="2025-07-31T00:00:00"/>
    <x v="0"/>
    <x v="3"/>
    <s v="Tudo certo, nota 10!"/>
    <x v="344"/>
    <n v="1247.6400000000001"/>
    <x v="344"/>
    <x v="344"/>
    <x v="6"/>
    <x v="0"/>
  </r>
  <r>
    <x v="345"/>
    <n v="98"/>
    <x v="345"/>
    <x v="12"/>
    <x v="12"/>
    <x v="2"/>
    <n v="521"/>
    <n v="1"/>
    <n v="27.43"/>
    <n v="41.13"/>
    <m/>
    <n v="0"/>
    <x v="3"/>
    <x v="337"/>
    <x v="12"/>
    <d v="2025-07-27T00:00:00"/>
    <d v="2025-08-05T00:00:00"/>
    <d v="2025-08-03T00:00:00"/>
    <x v="0"/>
    <x v="0"/>
    <s v="Qualidade impecável, voltarei a comprar."/>
    <x v="345"/>
    <n v="27.43"/>
    <x v="345"/>
    <x v="345"/>
    <x v="2"/>
    <x v="0"/>
  </r>
  <r>
    <x v="346"/>
    <n v="68"/>
    <x v="346"/>
    <x v="20"/>
    <x v="20"/>
    <x v="3"/>
    <n v="0"/>
    <n v="2"/>
    <n v="364.28"/>
    <n v="747.07"/>
    <s v="OFF20"/>
    <n v="0.2"/>
    <x v="3"/>
    <x v="338"/>
    <x v="7"/>
    <d v="2025-07-27T00:00:00"/>
    <d v="2025-08-01T00:00:00"/>
    <d v="2025-07-30T00:00:00"/>
    <x v="0"/>
    <x v="3"/>
    <s v="Frete rápido, adorei!"/>
    <x v="346"/>
    <n v="728.56"/>
    <x v="346"/>
    <x v="346"/>
    <x v="2"/>
    <x v="0"/>
  </r>
  <r>
    <x v="347"/>
    <n v="24"/>
    <x v="347"/>
    <x v="5"/>
    <x v="5"/>
    <x v="2"/>
    <n v="239"/>
    <n v="1"/>
    <n v="41.64"/>
    <n v="120.34"/>
    <s v="OFF20"/>
    <n v="0.2"/>
    <x v="0"/>
    <x v="339"/>
    <x v="13"/>
    <d v="2025-07-28T00:00:00"/>
    <d v="2025-08-07T00:00:00"/>
    <m/>
    <x v="3"/>
    <x v="4"/>
    <s v="Suporte ruim, difícil contato."/>
    <x v="347"/>
    <n v="41.64"/>
    <x v="347"/>
    <x v="347"/>
    <x v="3"/>
    <x v="1"/>
  </r>
  <r>
    <x v="348"/>
    <n v="106"/>
    <x v="348"/>
    <x v="21"/>
    <x v="21"/>
    <x v="3"/>
    <n v="0"/>
    <n v="1"/>
    <n v="312.54000000000002"/>
    <n v="513.92999999999995"/>
    <m/>
    <n v="0"/>
    <x v="3"/>
    <x v="340"/>
    <x v="4"/>
    <d v="2025-07-28T00:00:00"/>
    <d v="2025-08-03T00:00:00"/>
    <d v="2025-08-04T00:00:00"/>
    <x v="0"/>
    <x v="2"/>
    <s v="Pior experiência de compra online."/>
    <x v="348"/>
    <n v="312.54000000000002"/>
    <x v="348"/>
    <x v="348"/>
    <x v="8"/>
    <x v="2"/>
  </r>
  <r>
    <x v="349"/>
    <n v="13"/>
    <x v="349"/>
    <x v="5"/>
    <x v="5"/>
    <x v="2"/>
    <n v="294"/>
    <n v="2"/>
    <n v="36.950000000000003"/>
    <n v="94.33"/>
    <s v="PROMO10"/>
    <n v="0.1"/>
    <x v="1"/>
    <x v="341"/>
    <x v="4"/>
    <d v="2025-07-29T00:00:00"/>
    <d v="2025-08-08T00:00:00"/>
    <d v="2025-08-05T00:00:00"/>
    <x v="0"/>
    <x v="0"/>
    <s v="Entrega rápida, muito satisfeito!"/>
    <x v="349"/>
    <n v="73.900000000000006"/>
    <x v="349"/>
    <x v="349"/>
    <x v="0"/>
    <x v="0"/>
  </r>
  <r>
    <x v="350"/>
    <n v="147"/>
    <x v="350"/>
    <x v="22"/>
    <x v="22"/>
    <x v="3"/>
    <n v="0"/>
    <n v="2"/>
    <n v="495.95"/>
    <n v="602.96"/>
    <s v="PROMO10"/>
    <n v="0.1"/>
    <x v="1"/>
    <x v="342"/>
    <x v="4"/>
    <d v="2025-07-28T00:00:00"/>
    <d v="2025-08-03T00:00:00"/>
    <d v="2025-07-30T00:00:00"/>
    <x v="0"/>
    <x v="0"/>
    <s v="Tudo certo, nota 10!"/>
    <x v="350"/>
    <n v="991.9"/>
    <x v="350"/>
    <x v="350"/>
    <x v="1"/>
    <x v="0"/>
  </r>
  <r>
    <x v="351"/>
    <n v="57"/>
    <x v="351"/>
    <x v="5"/>
    <x v="5"/>
    <x v="2"/>
    <n v="263"/>
    <n v="1"/>
    <n v="34.49"/>
    <n v="105.12"/>
    <m/>
    <n v="0"/>
    <x v="0"/>
    <x v="343"/>
    <x v="2"/>
    <d v="2025-07-28T00:00:00"/>
    <d v="2025-08-06T00:00:00"/>
    <d v="2025-08-04T00:00:00"/>
    <x v="0"/>
    <x v="3"/>
    <s v="Produto original, vendedor confiável."/>
    <x v="351"/>
    <n v="34.49"/>
    <x v="351"/>
    <x v="351"/>
    <x v="2"/>
    <x v="0"/>
  </r>
  <r>
    <x v="352"/>
    <n v="181"/>
    <x v="352"/>
    <x v="2"/>
    <x v="2"/>
    <x v="1"/>
    <n v="0"/>
    <n v="2"/>
    <n v="22.86"/>
    <n v="144.74"/>
    <s v="OFF20"/>
    <n v="0.2"/>
    <x v="0"/>
    <x v="344"/>
    <x v="8"/>
    <d v="2025-07-28T00:00:00"/>
    <d v="2025-08-06T00:00:00"/>
    <m/>
    <x v="2"/>
    <x v="1"/>
    <s v="Produto ok, mas a entrega atrasou um pouco."/>
    <x v="352"/>
    <n v="45.72"/>
    <x v="352"/>
    <x v="352"/>
    <x v="3"/>
    <x v="1"/>
  </r>
  <r>
    <x v="353"/>
    <n v="149"/>
    <x v="353"/>
    <x v="9"/>
    <x v="9"/>
    <x v="1"/>
    <n v="0"/>
    <n v="2"/>
    <n v="52.15"/>
    <n v="155.22999999999999"/>
    <m/>
    <n v="0"/>
    <x v="2"/>
    <x v="345"/>
    <x v="7"/>
    <d v="2025-07-29T00:00:00"/>
    <d v="2025-08-05T00:00:00"/>
    <d v="2025-08-05T00:00:00"/>
    <x v="0"/>
    <x v="0"/>
    <s v="Qualidade impecável, voltarei a comprar."/>
    <x v="353"/>
    <n v="104.3"/>
    <x v="353"/>
    <x v="353"/>
    <x v="4"/>
    <x v="0"/>
  </r>
  <r>
    <x v="354"/>
    <n v="120"/>
    <x v="354"/>
    <x v="17"/>
    <x v="17"/>
    <x v="2"/>
    <n v="316"/>
    <n v="1"/>
    <n v="138.80000000000001"/>
    <n v="249.72"/>
    <m/>
    <n v="0"/>
    <x v="0"/>
    <x v="346"/>
    <x v="5"/>
    <d v="2025-07-30T00:00:00"/>
    <d v="2025-08-04T00:00:00"/>
    <d v="2025-08-02T00:00:00"/>
    <x v="0"/>
    <x v="3"/>
    <s v="Embalagem perfeita, produto intacto."/>
    <x v="354"/>
    <n v="138.80000000000001"/>
    <x v="354"/>
    <x v="354"/>
    <x v="2"/>
    <x v="0"/>
  </r>
  <r>
    <x v="355"/>
    <n v="66"/>
    <x v="355"/>
    <x v="5"/>
    <x v="5"/>
    <x v="2"/>
    <n v="286"/>
    <n v="1"/>
    <n v="50.02"/>
    <n v="148.66999999999999"/>
    <m/>
    <n v="0"/>
    <x v="3"/>
    <x v="254"/>
    <x v="4"/>
    <d v="2025-07-31T00:00:00"/>
    <d v="2025-08-10T00:00:00"/>
    <m/>
    <x v="2"/>
    <x v="1"/>
    <s v="Razoável, poderia ser melhor."/>
    <x v="355"/>
    <n v="50.02"/>
    <x v="355"/>
    <x v="355"/>
    <x v="3"/>
    <x v="1"/>
  </r>
  <r>
    <x v="356"/>
    <n v="104"/>
    <x v="356"/>
    <x v="18"/>
    <x v="18"/>
    <x v="0"/>
    <n v="2985"/>
    <n v="2"/>
    <n v="424.86"/>
    <n v="856.8"/>
    <s v="OFF20"/>
    <n v="0.2"/>
    <x v="2"/>
    <x v="347"/>
    <x v="7"/>
    <d v="2025-07-30T00:00:00"/>
    <d v="2025-08-09T00:00:00"/>
    <d v="2025-08-06T00:00:00"/>
    <x v="0"/>
    <x v="0"/>
    <s v="Produto original, vendedor confiável."/>
    <x v="356"/>
    <n v="849.72"/>
    <x v="356"/>
    <x v="356"/>
    <x v="0"/>
    <x v="0"/>
  </r>
  <r>
    <x v="357"/>
    <n v="181"/>
    <x v="357"/>
    <x v="17"/>
    <x v="17"/>
    <x v="2"/>
    <n v="301"/>
    <n v="1"/>
    <n v="66.19"/>
    <n v="261.04000000000002"/>
    <s v="OFF20"/>
    <n v="0.2"/>
    <x v="1"/>
    <x v="348"/>
    <x v="8"/>
    <d v="2025-07-31T00:00:00"/>
    <d v="2025-08-07T00:00:00"/>
    <d v="2025-08-06T00:00:00"/>
    <x v="0"/>
    <x v="0"/>
    <s v="Produto top, recomendo!"/>
    <x v="357"/>
    <n v="66.19"/>
    <x v="357"/>
    <x v="357"/>
    <x v="6"/>
    <x v="0"/>
  </r>
  <r>
    <x v="358"/>
    <n v="65"/>
    <x v="358"/>
    <x v="1"/>
    <x v="1"/>
    <x v="0"/>
    <n v="2668"/>
    <n v="3"/>
    <n v="862.83"/>
    <n v="1143.94"/>
    <m/>
    <n v="0"/>
    <x v="3"/>
    <x v="349"/>
    <x v="5"/>
    <d v="2025-07-31T00:00:00"/>
    <d v="2025-08-07T00:00:00"/>
    <d v="2025-08-02T00:00:00"/>
    <x v="0"/>
    <x v="0"/>
    <s v="Muito bom, sem reclamações."/>
    <x v="358"/>
    <n v="2588.4899999999998"/>
    <x v="358"/>
    <x v="358"/>
    <x v="5"/>
    <x v="0"/>
  </r>
  <r>
    <x v="359"/>
    <n v="63"/>
    <x v="359"/>
    <x v="14"/>
    <x v="14"/>
    <x v="0"/>
    <n v="2071"/>
    <n v="1"/>
    <n v="949.53"/>
    <n v="2484.4299999999998"/>
    <s v="OFF20"/>
    <n v="0.2"/>
    <x v="2"/>
    <x v="350"/>
    <x v="5"/>
    <d v="2025-08-01T00:00:00"/>
    <d v="2025-08-06T00:00:00"/>
    <m/>
    <x v="1"/>
    <x v="3"/>
    <s v="Produto original, vendedor confiável."/>
    <x v="359"/>
    <n v="949.53"/>
    <x v="359"/>
    <x v="359"/>
    <x v="3"/>
    <x v="1"/>
  </r>
  <r>
    <x v="360"/>
    <n v="49"/>
    <x v="360"/>
    <x v="3"/>
    <x v="3"/>
    <x v="2"/>
    <n v="643"/>
    <n v="1"/>
    <n v="98.23"/>
    <n v="154.76"/>
    <s v="OFF20"/>
    <n v="0.2"/>
    <x v="1"/>
    <x v="351"/>
    <x v="1"/>
    <d v="2025-08-01T00:00:00"/>
    <d v="2025-08-08T00:00:00"/>
    <m/>
    <x v="1"/>
    <x v="3"/>
    <s v="Excelente atendimento e entrega."/>
    <x v="360"/>
    <n v="98.23"/>
    <x v="360"/>
    <x v="360"/>
    <x v="3"/>
    <x v="1"/>
  </r>
  <r>
    <x v="361"/>
    <n v="113"/>
    <x v="361"/>
    <x v="20"/>
    <x v="20"/>
    <x v="3"/>
    <n v="0"/>
    <n v="3"/>
    <n v="442.06"/>
    <n v="613.79999999999995"/>
    <s v="PROMO10"/>
    <n v="0.1"/>
    <x v="3"/>
    <x v="352"/>
    <x v="4"/>
    <d v="2025-08-01T00:00:00"/>
    <d v="2025-08-06T00:00:00"/>
    <m/>
    <x v="1"/>
    <x v="1"/>
    <s v="Chegou com pequeno atraso, mas o produto é bom."/>
    <x v="361"/>
    <n v="1326.18"/>
    <x v="361"/>
    <x v="361"/>
    <x v="3"/>
    <x v="1"/>
  </r>
  <r>
    <x v="362"/>
    <n v="112"/>
    <x v="362"/>
    <x v="17"/>
    <x v="17"/>
    <x v="2"/>
    <n v="412"/>
    <n v="3"/>
    <n v="145.46"/>
    <n v="241.79"/>
    <s v="OFF20"/>
    <n v="0.2"/>
    <x v="1"/>
    <x v="353"/>
    <x v="1"/>
    <d v="2025-08-01T00:00:00"/>
    <d v="2025-08-07T00:00:00"/>
    <d v="2025-08-12T00:00:00"/>
    <x v="0"/>
    <x v="4"/>
    <s v="Muito atraso na entrega."/>
    <x v="362"/>
    <n v="436.38"/>
    <x v="362"/>
    <x v="362"/>
    <x v="10"/>
    <x v="2"/>
  </r>
  <r>
    <x v="363"/>
    <n v="182"/>
    <x v="363"/>
    <x v="2"/>
    <x v="2"/>
    <x v="1"/>
    <n v="0"/>
    <n v="1"/>
    <n v="24.68"/>
    <n v="128.38999999999999"/>
    <m/>
    <n v="0"/>
    <x v="2"/>
    <x v="354"/>
    <x v="2"/>
    <d v="2025-07-31T00:00:00"/>
    <d v="2025-08-10T00:00:00"/>
    <m/>
    <x v="1"/>
    <x v="1"/>
    <s v="Produto bom, mas o frete foi caro."/>
    <x v="363"/>
    <n v="24.68"/>
    <x v="363"/>
    <x v="363"/>
    <x v="3"/>
    <x v="1"/>
  </r>
  <r>
    <x v="364"/>
    <n v="182"/>
    <x v="364"/>
    <x v="11"/>
    <x v="11"/>
    <x v="2"/>
    <n v="243"/>
    <n v="3"/>
    <n v="55.67"/>
    <n v="113.06"/>
    <m/>
    <n v="0"/>
    <x v="1"/>
    <x v="355"/>
    <x v="5"/>
    <d v="2025-08-01T00:00:00"/>
    <d v="2025-08-09T00:00:00"/>
    <d v="2025-08-04T00:00:00"/>
    <x v="0"/>
    <x v="0"/>
    <s v="Frete rápido, adorei!"/>
    <x v="364"/>
    <n v="167.01"/>
    <x v="364"/>
    <x v="364"/>
    <x v="5"/>
    <x v="0"/>
  </r>
  <r>
    <x v="365"/>
    <n v="167"/>
    <x v="365"/>
    <x v="14"/>
    <x v="14"/>
    <x v="0"/>
    <n v="2095"/>
    <n v="2"/>
    <n v="1055.51"/>
    <n v="1234.06"/>
    <s v="OFF20"/>
    <n v="0.2"/>
    <x v="2"/>
    <x v="356"/>
    <x v="2"/>
    <d v="2025-07-31T00:00:00"/>
    <d v="2025-08-08T00:00:00"/>
    <m/>
    <x v="2"/>
    <x v="4"/>
    <s v="Pior experiência de compra online."/>
    <x v="365"/>
    <n v="2111.02"/>
    <x v="365"/>
    <x v="365"/>
    <x v="3"/>
    <x v="1"/>
  </r>
  <r>
    <x v="366"/>
    <n v="179"/>
    <x v="366"/>
    <x v="14"/>
    <x v="14"/>
    <x v="0"/>
    <n v="2165"/>
    <n v="2"/>
    <n v="1370.03"/>
    <n v="1720.37"/>
    <m/>
    <n v="0"/>
    <x v="0"/>
    <x v="357"/>
    <x v="2"/>
    <d v="2025-08-02T00:00:00"/>
    <d v="2025-08-12T00:00:00"/>
    <d v="2025-08-12T00:00:00"/>
    <x v="0"/>
    <x v="3"/>
    <s v="Ótimo custo-benefício!"/>
    <x v="366"/>
    <n v="2740.06"/>
    <x v="366"/>
    <x v="366"/>
    <x v="4"/>
    <x v="0"/>
  </r>
  <r>
    <x v="367"/>
    <n v="135"/>
    <x v="367"/>
    <x v="6"/>
    <x v="6"/>
    <x v="2"/>
    <n v="310"/>
    <n v="3"/>
    <n v="42.52"/>
    <n v="106.4"/>
    <m/>
    <n v="0"/>
    <x v="3"/>
    <x v="358"/>
    <x v="7"/>
    <d v="2025-08-02T00:00:00"/>
    <d v="2025-08-08T00:00:00"/>
    <m/>
    <x v="1"/>
    <x v="1"/>
    <s v="Razoável, poderia ser melhor."/>
    <x v="367"/>
    <n v="127.56"/>
    <x v="367"/>
    <x v="367"/>
    <x v="3"/>
    <x v="1"/>
  </r>
  <r>
    <x v="368"/>
    <n v="65"/>
    <x v="368"/>
    <x v="10"/>
    <x v="10"/>
    <x v="2"/>
    <n v="349"/>
    <n v="1"/>
    <n v="62.04"/>
    <n v="201.28"/>
    <s v="OFF20"/>
    <n v="0.2"/>
    <x v="1"/>
    <x v="359"/>
    <x v="7"/>
    <d v="2025-08-02T00:00:00"/>
    <d v="2025-08-08T00:00:00"/>
    <m/>
    <x v="3"/>
    <x v="4"/>
    <s v="Atrasou e a caixa veio amassada."/>
    <x v="368"/>
    <n v="62.04"/>
    <x v="368"/>
    <x v="368"/>
    <x v="3"/>
    <x v="1"/>
  </r>
  <r>
    <x v="369"/>
    <n v="64"/>
    <x v="369"/>
    <x v="10"/>
    <x v="10"/>
    <x v="2"/>
    <n v="284"/>
    <n v="3"/>
    <n v="47.3"/>
    <n v="116.89"/>
    <s v="PROMO10"/>
    <n v="0.1"/>
    <x v="3"/>
    <x v="360"/>
    <x v="1"/>
    <d v="2025-08-03T00:00:00"/>
    <d v="2025-08-10T00:00:00"/>
    <m/>
    <x v="3"/>
    <x v="2"/>
    <s v="Nunca mais compro aqui."/>
    <x v="369"/>
    <n v="141.9"/>
    <x v="369"/>
    <x v="369"/>
    <x v="3"/>
    <x v="1"/>
  </r>
  <r>
    <x v="370"/>
    <n v="46"/>
    <x v="370"/>
    <x v="22"/>
    <x v="22"/>
    <x v="3"/>
    <n v="0"/>
    <n v="3"/>
    <n v="363.02"/>
    <n v="579.33000000000004"/>
    <m/>
    <n v="0"/>
    <x v="0"/>
    <x v="361"/>
    <x v="6"/>
    <d v="2025-08-03T00:00:00"/>
    <d v="2025-08-08T00:00:00"/>
    <d v="2025-08-10T00:00:00"/>
    <x v="0"/>
    <x v="1"/>
    <s v="Embalagem poderia ser melhor."/>
    <x v="370"/>
    <n v="1089.06"/>
    <x v="370"/>
    <x v="370"/>
    <x v="14"/>
    <x v="2"/>
  </r>
  <r>
    <x v="371"/>
    <n v="139"/>
    <x v="371"/>
    <x v="9"/>
    <x v="9"/>
    <x v="1"/>
    <n v="0"/>
    <n v="2"/>
    <n v="71.260000000000005"/>
    <n v="96.88"/>
    <s v="OFF20"/>
    <n v="0.2"/>
    <x v="3"/>
    <x v="362"/>
    <x v="2"/>
    <d v="2025-08-03T00:00:00"/>
    <d v="2025-08-08T00:00:00"/>
    <m/>
    <x v="2"/>
    <x v="1"/>
    <s v="Entrega demorou mais que o previsto."/>
    <x v="371"/>
    <n v="142.52000000000001"/>
    <x v="371"/>
    <x v="371"/>
    <x v="3"/>
    <x v="1"/>
  </r>
  <r>
    <x v="372"/>
    <n v="1"/>
    <x v="372"/>
    <x v="21"/>
    <x v="21"/>
    <x v="3"/>
    <n v="0"/>
    <n v="3"/>
    <n v="194.02"/>
    <n v="516.12"/>
    <s v="PROMO10"/>
    <n v="0.1"/>
    <x v="0"/>
    <x v="363"/>
    <x v="2"/>
    <d v="2025-08-04T00:00:00"/>
    <d v="2025-08-11T00:00:00"/>
    <d v="2025-08-16T00:00:00"/>
    <x v="0"/>
    <x v="1"/>
    <s v="Esperava mais pela qualidade do produto."/>
    <x v="372"/>
    <n v="582.06000000000006"/>
    <x v="372"/>
    <x v="372"/>
    <x v="10"/>
    <x v="2"/>
  </r>
  <r>
    <x v="373"/>
    <n v="115"/>
    <x v="373"/>
    <x v="5"/>
    <x v="5"/>
    <x v="2"/>
    <n v="225"/>
    <n v="2"/>
    <n v="69.069999999999993"/>
    <n v="134.37"/>
    <m/>
    <n v="0"/>
    <x v="0"/>
    <x v="364"/>
    <x v="5"/>
    <d v="2025-08-05T00:00:00"/>
    <d v="2025-08-13T00:00:00"/>
    <d v="2025-08-10T00:00:00"/>
    <x v="0"/>
    <x v="0"/>
    <s v="Chegou antes do prazo, excelente!"/>
    <x v="373"/>
    <n v="138.13999999999999"/>
    <x v="373"/>
    <x v="373"/>
    <x v="0"/>
    <x v="0"/>
  </r>
  <r>
    <x v="374"/>
    <n v="119"/>
    <x v="374"/>
    <x v="10"/>
    <x v="10"/>
    <x v="2"/>
    <n v="290"/>
    <n v="1"/>
    <n v="90.51"/>
    <n v="215.79"/>
    <m/>
    <n v="0"/>
    <x v="3"/>
    <x v="365"/>
    <x v="12"/>
    <d v="2025-08-04T00:00:00"/>
    <d v="2025-08-13T00:00:00"/>
    <d v="2025-08-17T00:00:00"/>
    <x v="0"/>
    <x v="2"/>
    <s v="Embalagem danificada, produto riscado."/>
    <x v="374"/>
    <n v="90.51"/>
    <x v="374"/>
    <x v="374"/>
    <x v="7"/>
    <x v="2"/>
  </r>
  <r>
    <x v="375"/>
    <n v="63"/>
    <x v="375"/>
    <x v="13"/>
    <x v="13"/>
    <x v="0"/>
    <n v="2046"/>
    <n v="2"/>
    <n v="392.45"/>
    <n v="666.51"/>
    <s v="OFF20"/>
    <n v="0.2"/>
    <x v="3"/>
    <x v="366"/>
    <x v="2"/>
    <d v="2025-08-06T00:00:00"/>
    <d v="2025-08-14T00:00:00"/>
    <m/>
    <x v="1"/>
    <x v="1"/>
    <s v="Nada de especial, cumpriu o básico."/>
    <x v="375"/>
    <n v="784.9"/>
    <x v="375"/>
    <x v="375"/>
    <x v="3"/>
    <x v="1"/>
  </r>
  <r>
    <x v="376"/>
    <n v="197"/>
    <x v="376"/>
    <x v="9"/>
    <x v="9"/>
    <x v="1"/>
    <n v="0"/>
    <n v="3"/>
    <n v="52.58"/>
    <n v="141.9"/>
    <s v="PROMO10"/>
    <n v="0.1"/>
    <x v="2"/>
    <x v="367"/>
    <x v="12"/>
    <d v="2025-08-06T00:00:00"/>
    <d v="2025-08-12T00:00:00"/>
    <d v="2025-08-11T00:00:00"/>
    <x v="0"/>
    <x v="3"/>
    <s v="Produto original, vendedor confiável."/>
    <x v="376"/>
    <n v="157.74"/>
    <x v="376"/>
    <x v="376"/>
    <x v="6"/>
    <x v="0"/>
  </r>
  <r>
    <x v="377"/>
    <n v="92"/>
    <x v="377"/>
    <x v="9"/>
    <x v="9"/>
    <x v="1"/>
    <n v="0"/>
    <n v="1"/>
    <n v="37.32"/>
    <n v="124.15"/>
    <m/>
    <n v="0"/>
    <x v="3"/>
    <x v="368"/>
    <x v="1"/>
    <d v="2025-08-07T00:00:00"/>
    <d v="2025-08-15T00:00:00"/>
    <m/>
    <x v="2"/>
    <x v="4"/>
    <s v="Não recomendo, péssima experiência."/>
    <x v="377"/>
    <n v="37.32"/>
    <x v="377"/>
    <x v="377"/>
    <x v="3"/>
    <x v="1"/>
  </r>
  <r>
    <x v="378"/>
    <n v="192"/>
    <x v="378"/>
    <x v="16"/>
    <x v="16"/>
    <x v="1"/>
    <n v="0"/>
    <n v="1"/>
    <n v="263.44"/>
    <n v="372.44"/>
    <m/>
    <n v="0"/>
    <x v="1"/>
    <x v="272"/>
    <x v="4"/>
    <d v="2025-08-06T00:00:00"/>
    <d v="2025-08-14T00:00:00"/>
    <d v="2025-08-13T00:00:00"/>
    <x v="0"/>
    <x v="0"/>
    <s v="Entrega no prazo e produto conforme descrito."/>
    <x v="378"/>
    <n v="263.44"/>
    <x v="378"/>
    <x v="378"/>
    <x v="6"/>
    <x v="0"/>
  </r>
  <r>
    <x v="379"/>
    <n v="103"/>
    <x v="379"/>
    <x v="0"/>
    <x v="0"/>
    <x v="0"/>
    <n v="2665"/>
    <n v="2"/>
    <n v="2016.49"/>
    <n v="2445.39"/>
    <m/>
    <n v="0"/>
    <x v="3"/>
    <x v="369"/>
    <x v="5"/>
    <d v="2025-08-08T00:00:00"/>
    <d v="2025-08-14T00:00:00"/>
    <d v="2025-08-10T00:00:00"/>
    <x v="0"/>
    <x v="3"/>
    <s v="Excelente atendimento e entrega."/>
    <x v="379"/>
    <n v="4032.98"/>
    <x v="379"/>
    <x v="379"/>
    <x v="1"/>
    <x v="0"/>
  </r>
  <r>
    <x v="380"/>
    <n v="66"/>
    <x v="380"/>
    <x v="15"/>
    <x v="15"/>
    <x v="3"/>
    <n v="0"/>
    <n v="2"/>
    <n v="220.01"/>
    <n v="749.15"/>
    <s v="PROMO10"/>
    <n v="0.1"/>
    <x v="0"/>
    <x v="370"/>
    <x v="4"/>
    <d v="2025-08-09T00:00:00"/>
    <d v="2025-08-18T00:00:00"/>
    <m/>
    <x v="2"/>
    <x v="2"/>
    <s v="Atendimento ao cliente inexistente."/>
    <x v="380"/>
    <n v="440.02"/>
    <x v="380"/>
    <x v="380"/>
    <x v="3"/>
    <x v="1"/>
  </r>
  <r>
    <x v="381"/>
    <n v="178"/>
    <x v="381"/>
    <x v="3"/>
    <x v="3"/>
    <x v="2"/>
    <n v="664"/>
    <n v="3"/>
    <n v="149.74"/>
    <n v="280.8"/>
    <m/>
    <n v="0"/>
    <x v="1"/>
    <x v="371"/>
    <x v="2"/>
    <d v="2025-08-09T00:00:00"/>
    <d v="2025-08-14T00:00:00"/>
    <d v="2025-08-11T00:00:00"/>
    <x v="0"/>
    <x v="0"/>
    <s v="Entrega no prazo e produto conforme descrito."/>
    <x v="381"/>
    <n v="449.22"/>
    <x v="381"/>
    <x v="381"/>
    <x v="0"/>
    <x v="0"/>
  </r>
  <r>
    <x v="382"/>
    <n v="100"/>
    <x v="382"/>
    <x v="3"/>
    <x v="3"/>
    <x v="2"/>
    <n v="727"/>
    <n v="2"/>
    <n v="162.63999999999999"/>
    <n v="314.11"/>
    <m/>
    <n v="0"/>
    <x v="3"/>
    <x v="372"/>
    <x v="1"/>
    <d v="2025-08-08T00:00:00"/>
    <d v="2025-08-14T00:00:00"/>
    <m/>
    <x v="1"/>
    <x v="2"/>
    <s v="Produto não era o que esperava."/>
    <x v="382"/>
    <n v="325.27999999999997"/>
    <x v="382"/>
    <x v="382"/>
    <x v="3"/>
    <x v="1"/>
  </r>
  <r>
    <x v="383"/>
    <n v="6"/>
    <x v="383"/>
    <x v="17"/>
    <x v="17"/>
    <x v="2"/>
    <n v="410"/>
    <n v="1"/>
    <n v="96.89"/>
    <n v="230.07"/>
    <s v="PROMO10"/>
    <n v="0.1"/>
    <x v="3"/>
    <x v="373"/>
    <x v="5"/>
    <d v="2025-08-10T00:00:00"/>
    <d v="2025-08-20T00:00:00"/>
    <d v="2025-08-19T00:00:00"/>
    <x v="0"/>
    <x v="0"/>
    <s v="Entrega rápida, muito satisfeito!"/>
    <x v="383"/>
    <n v="96.89"/>
    <x v="383"/>
    <x v="383"/>
    <x v="6"/>
    <x v="0"/>
  </r>
  <r>
    <x v="384"/>
    <n v="77"/>
    <x v="384"/>
    <x v="4"/>
    <x v="4"/>
    <x v="0"/>
    <n v="4167"/>
    <n v="3"/>
    <n v="486.34"/>
    <n v="827.85"/>
    <m/>
    <n v="0"/>
    <x v="1"/>
    <x v="374"/>
    <x v="12"/>
    <d v="2025-08-09T00:00:00"/>
    <d v="2025-08-18T00:00:00"/>
    <d v="2025-08-17T00:00:00"/>
    <x v="0"/>
    <x v="0"/>
    <s v="Excelente atendimento e entrega."/>
    <x v="384"/>
    <n v="1459.02"/>
    <x v="384"/>
    <x v="384"/>
    <x v="6"/>
    <x v="0"/>
  </r>
  <r>
    <x v="385"/>
    <n v="5"/>
    <x v="385"/>
    <x v="15"/>
    <x v="15"/>
    <x v="3"/>
    <n v="0"/>
    <n v="1"/>
    <n v="377.34"/>
    <n v="601.86"/>
    <m/>
    <n v="0"/>
    <x v="1"/>
    <x v="151"/>
    <x v="1"/>
    <d v="2025-08-10T00:00:00"/>
    <d v="2025-08-18T00:00:00"/>
    <d v="2025-08-17T00:00:00"/>
    <x v="0"/>
    <x v="0"/>
    <s v="Superou minhas expectativas!"/>
    <x v="385"/>
    <n v="377.34"/>
    <x v="385"/>
    <x v="385"/>
    <x v="6"/>
    <x v="0"/>
  </r>
  <r>
    <x v="386"/>
    <n v="2"/>
    <x v="386"/>
    <x v="13"/>
    <x v="13"/>
    <x v="0"/>
    <n v="2077"/>
    <n v="2"/>
    <n v="233.86"/>
    <n v="576.47"/>
    <m/>
    <n v="0"/>
    <x v="0"/>
    <x v="375"/>
    <x v="1"/>
    <d v="2025-08-10T00:00:00"/>
    <d v="2025-08-18T00:00:00"/>
    <d v="2025-08-16T00:00:00"/>
    <x v="0"/>
    <x v="0"/>
    <s v="Embalagem perfeita, produto intacto."/>
    <x v="386"/>
    <n v="467.72"/>
    <x v="386"/>
    <x v="386"/>
    <x v="2"/>
    <x v="0"/>
  </r>
  <r>
    <x v="387"/>
    <n v="119"/>
    <x v="387"/>
    <x v="14"/>
    <x v="14"/>
    <x v="0"/>
    <n v="2089"/>
    <n v="3"/>
    <n v="847.73"/>
    <n v="2373.19"/>
    <m/>
    <n v="0"/>
    <x v="1"/>
    <x v="376"/>
    <x v="7"/>
    <d v="2025-08-09T00:00:00"/>
    <d v="2025-08-17T00:00:00"/>
    <d v="2025-08-16T00:00:00"/>
    <x v="0"/>
    <x v="3"/>
    <s v="Excelente atendimento e entrega."/>
    <x v="387"/>
    <n v="2543.19"/>
    <x v="387"/>
    <x v="387"/>
    <x v="6"/>
    <x v="0"/>
  </r>
  <r>
    <x v="388"/>
    <n v="143"/>
    <x v="388"/>
    <x v="4"/>
    <x v="4"/>
    <x v="0"/>
    <n v="4164"/>
    <n v="1"/>
    <n v="342.87"/>
    <n v="654.62"/>
    <m/>
    <n v="0"/>
    <x v="3"/>
    <x v="377"/>
    <x v="5"/>
    <d v="2025-08-11T00:00:00"/>
    <d v="2025-08-19T00:00:00"/>
    <m/>
    <x v="1"/>
    <x v="3"/>
    <s v="Produto de qualidade, entrega pontual."/>
    <x v="388"/>
    <n v="342.87"/>
    <x v="388"/>
    <x v="388"/>
    <x v="3"/>
    <x v="1"/>
  </r>
  <r>
    <x v="389"/>
    <n v="154"/>
    <x v="389"/>
    <x v="10"/>
    <x v="10"/>
    <x v="2"/>
    <n v="265"/>
    <n v="1"/>
    <n v="97.03"/>
    <n v="147.61000000000001"/>
    <s v="OFF20"/>
    <n v="0.2"/>
    <x v="1"/>
    <x v="378"/>
    <x v="5"/>
    <d v="2025-08-11T00:00:00"/>
    <d v="2025-08-17T00:00:00"/>
    <d v="2025-08-16T00:00:00"/>
    <x v="0"/>
    <x v="0"/>
    <s v="Ótimo custo-benefício!"/>
    <x v="389"/>
    <n v="97.03"/>
    <x v="389"/>
    <x v="389"/>
    <x v="6"/>
    <x v="0"/>
  </r>
  <r>
    <x v="390"/>
    <n v="33"/>
    <x v="390"/>
    <x v="6"/>
    <x v="6"/>
    <x v="2"/>
    <n v="284"/>
    <n v="1"/>
    <n v="39.14"/>
    <n v="81.430000000000007"/>
    <s v="OFF20"/>
    <n v="0.2"/>
    <x v="3"/>
    <x v="379"/>
    <x v="14"/>
    <d v="2025-08-10T00:00:00"/>
    <d v="2025-08-16T00:00:00"/>
    <d v="2025-08-21T00:00:00"/>
    <x v="0"/>
    <x v="4"/>
    <s v="Atrasou e a caixa veio amassada."/>
    <x v="390"/>
    <n v="39.14"/>
    <x v="390"/>
    <x v="390"/>
    <x v="10"/>
    <x v="2"/>
  </r>
  <r>
    <x v="391"/>
    <n v="167"/>
    <x v="391"/>
    <x v="21"/>
    <x v="21"/>
    <x v="3"/>
    <n v="0"/>
    <n v="1"/>
    <n v="190.71"/>
    <n v="469.68"/>
    <m/>
    <n v="0"/>
    <x v="3"/>
    <x v="380"/>
    <x v="2"/>
    <d v="2025-08-11T00:00:00"/>
    <d v="2025-08-19T00:00:00"/>
    <m/>
    <x v="1"/>
    <x v="1"/>
    <s v="Entrega demorou mais que o previsto."/>
    <x v="391"/>
    <n v="190.71"/>
    <x v="391"/>
    <x v="391"/>
    <x v="3"/>
    <x v="1"/>
  </r>
  <r>
    <x v="392"/>
    <n v="110"/>
    <x v="392"/>
    <x v="14"/>
    <x v="14"/>
    <x v="0"/>
    <n v="2066"/>
    <n v="2"/>
    <n v="807.31"/>
    <n v="1814.25"/>
    <m/>
    <n v="0"/>
    <x v="0"/>
    <x v="381"/>
    <x v="14"/>
    <d v="2025-08-12T00:00:00"/>
    <d v="2025-08-20T00:00:00"/>
    <d v="2025-08-19T00:00:00"/>
    <x v="0"/>
    <x v="0"/>
    <s v="Embalagem perfeita, produto intacto."/>
    <x v="392"/>
    <n v="1614.62"/>
    <x v="392"/>
    <x v="392"/>
    <x v="6"/>
    <x v="0"/>
  </r>
  <r>
    <x v="393"/>
    <n v="169"/>
    <x v="393"/>
    <x v="5"/>
    <x v="5"/>
    <x v="2"/>
    <n v="240"/>
    <n v="3"/>
    <n v="44.57"/>
    <n v="51.5"/>
    <s v="PROMO10"/>
    <n v="0.1"/>
    <x v="2"/>
    <x v="382"/>
    <x v="11"/>
    <d v="2025-08-11T00:00:00"/>
    <d v="2025-08-16T00:00:00"/>
    <d v="2025-08-14T00:00:00"/>
    <x v="0"/>
    <x v="3"/>
    <s v="Produto top, recomendo!"/>
    <x v="393"/>
    <n v="133.71"/>
    <x v="393"/>
    <x v="393"/>
    <x v="2"/>
    <x v="0"/>
  </r>
  <r>
    <x v="394"/>
    <n v="168"/>
    <x v="394"/>
    <x v="14"/>
    <x v="14"/>
    <x v="0"/>
    <n v="2083"/>
    <n v="1"/>
    <n v="1145.94"/>
    <n v="2412.8200000000002"/>
    <m/>
    <n v="0"/>
    <x v="0"/>
    <x v="383"/>
    <x v="7"/>
    <d v="2025-08-12T00:00:00"/>
    <d v="2025-08-22T00:00:00"/>
    <d v="2025-08-17T00:00:00"/>
    <x v="0"/>
    <x v="3"/>
    <s v="Qualidade impecável, voltarei a comprar."/>
    <x v="394"/>
    <n v="1145.94"/>
    <x v="394"/>
    <x v="394"/>
    <x v="5"/>
    <x v="0"/>
  </r>
  <r>
    <x v="395"/>
    <n v="14"/>
    <x v="395"/>
    <x v="14"/>
    <x v="14"/>
    <x v="0"/>
    <n v="2076"/>
    <n v="2"/>
    <n v="1448.88"/>
    <n v="1785.87"/>
    <s v="OFF20"/>
    <n v="0.2"/>
    <x v="2"/>
    <x v="384"/>
    <x v="4"/>
    <d v="2025-08-11T00:00:00"/>
    <d v="2025-08-21T00:00:00"/>
    <d v="2025-08-20T00:00:00"/>
    <x v="0"/>
    <x v="0"/>
    <s v="Qualidade impecável, voltarei a comprar."/>
    <x v="395"/>
    <n v="2897.76"/>
    <x v="395"/>
    <x v="395"/>
    <x v="6"/>
    <x v="0"/>
  </r>
  <r>
    <x v="396"/>
    <n v="49"/>
    <x v="396"/>
    <x v="0"/>
    <x v="0"/>
    <x v="0"/>
    <n v="2587"/>
    <n v="1"/>
    <n v="1738.38"/>
    <n v="2761.18"/>
    <m/>
    <n v="0"/>
    <x v="3"/>
    <x v="385"/>
    <x v="2"/>
    <d v="2025-08-12T00:00:00"/>
    <d v="2025-08-18T00:00:00"/>
    <d v="2025-08-18T00:00:00"/>
    <x v="0"/>
    <x v="3"/>
    <s v="Produto top, recomendo!"/>
    <x v="396"/>
    <n v="1738.38"/>
    <x v="396"/>
    <x v="396"/>
    <x v="4"/>
    <x v="0"/>
  </r>
  <r>
    <x v="397"/>
    <n v="13"/>
    <x v="397"/>
    <x v="4"/>
    <x v="4"/>
    <x v="0"/>
    <n v="4535"/>
    <n v="3"/>
    <n v="418.02"/>
    <n v="867.42"/>
    <m/>
    <n v="0"/>
    <x v="0"/>
    <x v="386"/>
    <x v="2"/>
    <d v="2025-08-13T00:00:00"/>
    <d v="2025-08-20T00:00:00"/>
    <d v="2025-08-19T00:00:00"/>
    <x v="0"/>
    <x v="3"/>
    <s v="Embalagem perfeita, produto intacto."/>
    <x v="397"/>
    <n v="1254.06"/>
    <x v="397"/>
    <x v="397"/>
    <x v="6"/>
    <x v="0"/>
  </r>
  <r>
    <x v="398"/>
    <n v="71"/>
    <x v="398"/>
    <x v="0"/>
    <x v="0"/>
    <x v="0"/>
    <n v="2024"/>
    <n v="3"/>
    <n v="1585.53"/>
    <n v="2983.64"/>
    <m/>
    <n v="0"/>
    <x v="0"/>
    <x v="387"/>
    <x v="14"/>
    <d v="2025-08-13T00:00:00"/>
    <d v="2025-08-18T00:00:00"/>
    <m/>
    <x v="1"/>
    <x v="3"/>
    <s v="Superou minhas expectativas!"/>
    <x v="398"/>
    <n v="4756.59"/>
    <x v="398"/>
    <x v="398"/>
    <x v="3"/>
    <x v="1"/>
  </r>
  <r>
    <x v="399"/>
    <n v="146"/>
    <x v="399"/>
    <x v="19"/>
    <x v="19"/>
    <x v="0"/>
    <n v="4860"/>
    <n v="3"/>
    <n v="901.81"/>
    <n v="1458.19"/>
    <m/>
    <n v="0"/>
    <x v="2"/>
    <x v="388"/>
    <x v="4"/>
    <d v="2025-08-13T00:00:00"/>
    <d v="2025-08-20T00:00:00"/>
    <d v="2025-08-17T00:00:00"/>
    <x v="0"/>
    <x v="3"/>
    <s v="Parabéns pela agilidade!"/>
    <x v="399"/>
    <n v="2705.43"/>
    <x v="399"/>
    <x v="399"/>
    <x v="0"/>
    <x v="0"/>
  </r>
  <r>
    <x v="400"/>
    <n v="141"/>
    <x v="400"/>
    <x v="16"/>
    <x v="16"/>
    <x v="1"/>
    <n v="0"/>
    <n v="3"/>
    <n v="84.68"/>
    <n v="400.73"/>
    <m/>
    <n v="0"/>
    <x v="2"/>
    <x v="389"/>
    <x v="2"/>
    <d v="2025-08-13T00:00:00"/>
    <d v="2025-08-19T00:00:00"/>
    <m/>
    <x v="2"/>
    <x v="1"/>
    <s v="Razoável, poderia ser melhor."/>
    <x v="400"/>
    <n v="254.04"/>
    <x v="400"/>
    <x v="400"/>
    <x v="3"/>
    <x v="1"/>
  </r>
  <r>
    <x v="401"/>
    <n v="79"/>
    <x v="401"/>
    <x v="16"/>
    <x v="16"/>
    <x v="1"/>
    <n v="0"/>
    <n v="2"/>
    <n v="133.94999999999999"/>
    <n v="245.79"/>
    <m/>
    <n v="0"/>
    <x v="3"/>
    <x v="390"/>
    <x v="12"/>
    <d v="2025-08-13T00:00:00"/>
    <d v="2025-08-20T00:00:00"/>
    <d v="2025-08-17T00:00:00"/>
    <x v="0"/>
    <x v="0"/>
    <s v="Excelente atendimento e entrega."/>
    <x v="401"/>
    <n v="267.89999999999998"/>
    <x v="401"/>
    <x v="401"/>
    <x v="0"/>
    <x v="0"/>
  </r>
  <r>
    <x v="402"/>
    <n v="60"/>
    <x v="402"/>
    <x v="12"/>
    <x v="12"/>
    <x v="2"/>
    <n v="594"/>
    <n v="3"/>
    <n v="46.32"/>
    <n v="80.02"/>
    <m/>
    <n v="0"/>
    <x v="3"/>
    <x v="391"/>
    <x v="1"/>
    <d v="2025-08-12T00:00:00"/>
    <d v="2025-08-18T00:00:00"/>
    <d v="2025-08-14T00:00:00"/>
    <x v="0"/>
    <x v="3"/>
    <s v="Qualidade impecável, voltarei a comprar."/>
    <x v="402"/>
    <n v="138.96"/>
    <x v="402"/>
    <x v="402"/>
    <x v="1"/>
    <x v="0"/>
  </r>
  <r>
    <x v="403"/>
    <n v="85"/>
    <x v="403"/>
    <x v="6"/>
    <x v="6"/>
    <x v="2"/>
    <n v="302"/>
    <n v="2"/>
    <n v="72.790000000000006"/>
    <n v="114.11"/>
    <s v="OFF20"/>
    <n v="0.2"/>
    <x v="2"/>
    <x v="392"/>
    <x v="12"/>
    <d v="2025-08-13T00:00:00"/>
    <d v="2025-08-18T00:00:00"/>
    <m/>
    <x v="1"/>
    <x v="3"/>
    <s v="Frete rápido, adorei!"/>
    <x v="403"/>
    <n v="145.58000000000001"/>
    <x v="403"/>
    <x v="403"/>
    <x v="3"/>
    <x v="1"/>
  </r>
  <r>
    <x v="404"/>
    <n v="138"/>
    <x v="404"/>
    <x v="18"/>
    <x v="18"/>
    <x v="0"/>
    <n v="2754"/>
    <n v="2"/>
    <n v="418.14"/>
    <n v="908.37"/>
    <m/>
    <n v="0"/>
    <x v="3"/>
    <x v="393"/>
    <x v="2"/>
    <d v="2025-08-13T00:00:00"/>
    <d v="2025-08-23T00:00:00"/>
    <d v="2025-08-17T00:00:00"/>
    <x v="0"/>
    <x v="0"/>
    <s v="Produto de qualidade, entrega pontual."/>
    <x v="404"/>
    <n v="836.28"/>
    <x v="404"/>
    <x v="404"/>
    <x v="12"/>
    <x v="0"/>
  </r>
  <r>
    <x v="405"/>
    <n v="167"/>
    <x v="405"/>
    <x v="17"/>
    <x v="17"/>
    <x v="2"/>
    <n v="437"/>
    <n v="1"/>
    <n v="87.11"/>
    <n v="230.58"/>
    <m/>
    <n v="0"/>
    <x v="0"/>
    <x v="394"/>
    <x v="2"/>
    <d v="2025-08-14T00:00:00"/>
    <d v="2025-08-23T00:00:00"/>
    <d v="2025-08-17T00:00:00"/>
    <x v="0"/>
    <x v="0"/>
    <s v="Embalagem perfeita, produto intacto."/>
    <x v="405"/>
    <n v="87.11"/>
    <x v="405"/>
    <x v="405"/>
    <x v="12"/>
    <x v="0"/>
  </r>
  <r>
    <x v="406"/>
    <n v="149"/>
    <x v="406"/>
    <x v="13"/>
    <x v="13"/>
    <x v="0"/>
    <n v="2043"/>
    <n v="2"/>
    <n v="332.34"/>
    <n v="678.03"/>
    <m/>
    <n v="0"/>
    <x v="1"/>
    <x v="395"/>
    <x v="8"/>
    <d v="2025-08-13T00:00:00"/>
    <d v="2025-08-23T00:00:00"/>
    <m/>
    <x v="2"/>
    <x v="2"/>
    <s v="Suporte ruim, difícil contato."/>
    <x v="406"/>
    <n v="664.68"/>
    <x v="406"/>
    <x v="406"/>
    <x v="3"/>
    <x v="1"/>
  </r>
  <r>
    <x v="407"/>
    <n v="15"/>
    <x v="407"/>
    <x v="21"/>
    <x v="21"/>
    <x v="3"/>
    <n v="0"/>
    <n v="2"/>
    <n v="179.78"/>
    <n v="543.21"/>
    <s v="OFF20"/>
    <n v="0.2"/>
    <x v="1"/>
    <x v="235"/>
    <x v="2"/>
    <d v="2025-08-13T00:00:00"/>
    <d v="2025-08-18T00:00:00"/>
    <d v="2025-08-18T00:00:00"/>
    <x v="0"/>
    <x v="0"/>
    <s v="Excelente atendimento e entrega."/>
    <x v="407"/>
    <n v="359.56"/>
    <x v="407"/>
    <x v="407"/>
    <x v="4"/>
    <x v="0"/>
  </r>
  <r>
    <x v="408"/>
    <n v="122"/>
    <x v="408"/>
    <x v="5"/>
    <x v="5"/>
    <x v="2"/>
    <n v="244"/>
    <n v="1"/>
    <n v="56.34"/>
    <n v="93.21"/>
    <m/>
    <n v="0"/>
    <x v="0"/>
    <x v="396"/>
    <x v="10"/>
    <d v="2025-08-13T00:00:00"/>
    <d v="2025-08-23T00:00:00"/>
    <d v="2025-08-16T00:00:00"/>
    <x v="0"/>
    <x v="0"/>
    <s v="Entrega no prazo e produto conforme descrito."/>
    <x v="408"/>
    <n v="56.34"/>
    <x v="408"/>
    <x v="408"/>
    <x v="9"/>
    <x v="0"/>
  </r>
  <r>
    <x v="409"/>
    <n v="147"/>
    <x v="409"/>
    <x v="4"/>
    <x v="4"/>
    <x v="0"/>
    <n v="4807"/>
    <n v="1"/>
    <n v="348.48"/>
    <n v="617.59"/>
    <m/>
    <n v="0"/>
    <x v="2"/>
    <x v="397"/>
    <x v="7"/>
    <d v="2025-08-13T00:00:00"/>
    <d v="2025-08-18T00:00:00"/>
    <d v="2025-08-17T00:00:00"/>
    <x v="0"/>
    <x v="3"/>
    <s v="Ótimo custo-benefício!"/>
    <x v="409"/>
    <n v="348.48"/>
    <x v="409"/>
    <x v="409"/>
    <x v="6"/>
    <x v="0"/>
  </r>
  <r>
    <x v="410"/>
    <n v="187"/>
    <x v="410"/>
    <x v="4"/>
    <x v="4"/>
    <x v="0"/>
    <n v="4249"/>
    <n v="2"/>
    <n v="287.42"/>
    <n v="621.20000000000005"/>
    <s v="PROMO10"/>
    <n v="0.1"/>
    <x v="3"/>
    <x v="398"/>
    <x v="7"/>
    <d v="2025-08-13T00:00:00"/>
    <d v="2025-08-20T00:00:00"/>
    <d v="2025-08-21T00:00:00"/>
    <x v="0"/>
    <x v="1"/>
    <s v="Produto ok, mas a entrega atrasou um pouco."/>
    <x v="410"/>
    <n v="574.84"/>
    <x v="410"/>
    <x v="410"/>
    <x v="8"/>
    <x v="2"/>
  </r>
  <r>
    <x v="411"/>
    <n v="82"/>
    <x v="411"/>
    <x v="19"/>
    <x v="19"/>
    <x v="0"/>
    <n v="4152"/>
    <n v="2"/>
    <n v="1005.82"/>
    <n v="1776.64"/>
    <m/>
    <n v="0"/>
    <x v="2"/>
    <x v="399"/>
    <x v="13"/>
    <d v="2025-08-15T00:00:00"/>
    <d v="2025-08-20T00:00:00"/>
    <d v="2025-08-17T00:00:00"/>
    <x v="0"/>
    <x v="0"/>
    <s v="Entrega rápida, muito satisfeito!"/>
    <x v="411"/>
    <n v="2011.64"/>
    <x v="411"/>
    <x v="411"/>
    <x v="0"/>
    <x v="0"/>
  </r>
  <r>
    <x v="412"/>
    <n v="29"/>
    <x v="412"/>
    <x v="10"/>
    <x v="10"/>
    <x v="2"/>
    <n v="322"/>
    <n v="3"/>
    <n v="61.2"/>
    <n v="177.48"/>
    <m/>
    <n v="0"/>
    <x v="3"/>
    <x v="400"/>
    <x v="8"/>
    <d v="2025-08-14T00:00:00"/>
    <d v="2025-08-19T00:00:00"/>
    <d v="2025-08-18T00:00:00"/>
    <x v="0"/>
    <x v="3"/>
    <s v="Entrega no prazo e produto conforme descrito."/>
    <x v="412"/>
    <n v="183.6"/>
    <x v="412"/>
    <x v="412"/>
    <x v="6"/>
    <x v="0"/>
  </r>
  <r>
    <x v="413"/>
    <n v="26"/>
    <x v="413"/>
    <x v="11"/>
    <x v="11"/>
    <x v="2"/>
    <n v="245"/>
    <n v="1"/>
    <n v="59.26"/>
    <n v="111.9"/>
    <s v="PROMO10"/>
    <n v="0.1"/>
    <x v="0"/>
    <x v="401"/>
    <x v="7"/>
    <d v="2025-08-15T00:00:00"/>
    <d v="2025-08-23T00:00:00"/>
    <d v="2025-08-23T00:00:00"/>
    <x v="0"/>
    <x v="3"/>
    <s v="Produto original, vendedor confiável."/>
    <x v="413"/>
    <n v="59.26"/>
    <x v="413"/>
    <x v="413"/>
    <x v="4"/>
    <x v="0"/>
  </r>
  <r>
    <x v="414"/>
    <n v="11"/>
    <x v="414"/>
    <x v="5"/>
    <x v="5"/>
    <x v="2"/>
    <n v="234"/>
    <n v="3"/>
    <n v="33.46"/>
    <n v="137.38999999999999"/>
    <s v="PROMO10"/>
    <n v="0.1"/>
    <x v="2"/>
    <x v="402"/>
    <x v="7"/>
    <d v="2025-08-16T00:00:00"/>
    <d v="2025-08-23T00:00:00"/>
    <d v="2025-08-19T00:00:00"/>
    <x v="0"/>
    <x v="3"/>
    <s v="Produto original, vendedor confiável."/>
    <x v="414"/>
    <n v="100.38"/>
    <x v="414"/>
    <x v="414"/>
    <x v="1"/>
    <x v="0"/>
  </r>
  <r>
    <x v="415"/>
    <n v="195"/>
    <x v="415"/>
    <x v="8"/>
    <x v="8"/>
    <x v="1"/>
    <n v="0"/>
    <n v="3"/>
    <n v="70.14"/>
    <n v="234.01"/>
    <s v="OFF20"/>
    <n v="0.2"/>
    <x v="3"/>
    <x v="403"/>
    <x v="1"/>
    <d v="2025-08-18T00:00:00"/>
    <d v="2025-08-26T00:00:00"/>
    <m/>
    <x v="3"/>
    <x v="4"/>
    <s v="Nunca mais compro aqui."/>
    <x v="415"/>
    <n v="210.42"/>
    <x v="415"/>
    <x v="415"/>
    <x v="3"/>
    <x v="1"/>
  </r>
  <r>
    <x v="416"/>
    <n v="9"/>
    <x v="416"/>
    <x v="6"/>
    <x v="6"/>
    <x v="2"/>
    <n v="301"/>
    <n v="3"/>
    <n v="41.56"/>
    <n v="142.1"/>
    <s v="PROMO10"/>
    <n v="0.1"/>
    <x v="0"/>
    <x v="404"/>
    <x v="2"/>
    <d v="2025-08-17T00:00:00"/>
    <d v="2025-08-25T00:00:00"/>
    <d v="2025-08-29T00:00:00"/>
    <x v="0"/>
    <x v="4"/>
    <s v="Decepcionante do início ao fim."/>
    <x v="416"/>
    <n v="124.68"/>
    <x v="416"/>
    <x v="416"/>
    <x v="7"/>
    <x v="2"/>
  </r>
  <r>
    <x v="417"/>
    <n v="157"/>
    <x v="417"/>
    <x v="4"/>
    <x v="4"/>
    <x v="0"/>
    <n v="4416"/>
    <n v="3"/>
    <n v="482.52"/>
    <n v="871.57"/>
    <m/>
    <n v="0"/>
    <x v="1"/>
    <x v="405"/>
    <x v="3"/>
    <d v="2025-08-19T00:00:00"/>
    <d v="2025-08-29T00:00:00"/>
    <d v="2025-08-27T00:00:00"/>
    <x v="0"/>
    <x v="0"/>
    <s v="Entrega rápida, muito satisfeito!"/>
    <x v="417"/>
    <n v="1447.56"/>
    <x v="417"/>
    <x v="417"/>
    <x v="2"/>
    <x v="0"/>
  </r>
  <r>
    <x v="418"/>
    <n v="37"/>
    <x v="418"/>
    <x v="10"/>
    <x v="10"/>
    <x v="2"/>
    <n v="223"/>
    <n v="2"/>
    <n v="86.63"/>
    <n v="150.24"/>
    <m/>
    <n v="0"/>
    <x v="0"/>
    <x v="212"/>
    <x v="2"/>
    <d v="2025-08-18T00:00:00"/>
    <d v="2025-08-27T00:00:00"/>
    <d v="2025-08-20T00:00:00"/>
    <x v="0"/>
    <x v="0"/>
    <s v="Entrega no prazo e produto conforme descrito."/>
    <x v="418"/>
    <n v="173.26"/>
    <x v="418"/>
    <x v="418"/>
    <x v="9"/>
    <x v="0"/>
  </r>
  <r>
    <x v="419"/>
    <n v="96"/>
    <x v="419"/>
    <x v="4"/>
    <x v="4"/>
    <x v="0"/>
    <n v="4071"/>
    <n v="2"/>
    <n v="399.88"/>
    <n v="773.22"/>
    <m/>
    <n v="0"/>
    <x v="2"/>
    <x v="406"/>
    <x v="1"/>
    <d v="2025-08-20T00:00:00"/>
    <d v="2025-08-26T00:00:00"/>
    <m/>
    <x v="2"/>
    <x v="4"/>
    <s v="Veio errado, tive que devolver."/>
    <x v="419"/>
    <n v="799.76"/>
    <x v="419"/>
    <x v="419"/>
    <x v="3"/>
    <x v="1"/>
  </r>
  <r>
    <x v="420"/>
    <n v="8"/>
    <x v="420"/>
    <x v="1"/>
    <x v="1"/>
    <x v="0"/>
    <n v="2610"/>
    <n v="3"/>
    <n v="782.29"/>
    <n v="1064.8800000000001"/>
    <s v="OFF20"/>
    <n v="0.2"/>
    <x v="2"/>
    <x v="407"/>
    <x v="5"/>
    <d v="2025-08-19T00:00:00"/>
    <d v="2025-08-26T00:00:00"/>
    <m/>
    <x v="1"/>
    <x v="3"/>
    <s v="Embalagem perfeita, produto intacto."/>
    <x v="420"/>
    <n v="2346.87"/>
    <x v="420"/>
    <x v="420"/>
    <x v="3"/>
    <x v="1"/>
  </r>
  <r>
    <x v="421"/>
    <n v="144"/>
    <x v="421"/>
    <x v="15"/>
    <x v="15"/>
    <x v="3"/>
    <n v="0"/>
    <n v="3"/>
    <n v="379.59"/>
    <n v="749.85"/>
    <m/>
    <n v="0"/>
    <x v="1"/>
    <x v="408"/>
    <x v="8"/>
    <d v="2025-08-19T00:00:00"/>
    <d v="2025-08-29T00:00:00"/>
    <d v="2025-08-27T00:00:00"/>
    <x v="0"/>
    <x v="0"/>
    <s v="Entrega rápida, muito satisfeito!"/>
    <x v="421"/>
    <n v="1138.77"/>
    <x v="421"/>
    <x v="421"/>
    <x v="2"/>
    <x v="0"/>
  </r>
  <r>
    <x v="422"/>
    <n v="3"/>
    <x v="422"/>
    <x v="20"/>
    <x v="20"/>
    <x v="3"/>
    <n v="0"/>
    <n v="3"/>
    <n v="315.89"/>
    <n v="676.38"/>
    <m/>
    <n v="0"/>
    <x v="1"/>
    <x v="409"/>
    <x v="8"/>
    <d v="2025-08-19T00:00:00"/>
    <d v="2025-08-26T00:00:00"/>
    <d v="2025-08-25T00:00:00"/>
    <x v="0"/>
    <x v="3"/>
    <s v="Superou minhas expectativas!"/>
    <x v="422"/>
    <n v="947.67"/>
    <x v="422"/>
    <x v="422"/>
    <x v="6"/>
    <x v="0"/>
  </r>
  <r>
    <x v="423"/>
    <n v="144"/>
    <x v="423"/>
    <x v="9"/>
    <x v="9"/>
    <x v="1"/>
    <n v="0"/>
    <n v="3"/>
    <n v="37.46"/>
    <n v="175.31"/>
    <m/>
    <n v="0"/>
    <x v="0"/>
    <x v="410"/>
    <x v="7"/>
    <d v="2025-08-19T00:00:00"/>
    <d v="2025-08-29T00:00:00"/>
    <d v="2025-08-22T00:00:00"/>
    <x v="0"/>
    <x v="3"/>
    <s v="Ótimo custo-benefício!"/>
    <x v="423"/>
    <n v="112.38"/>
    <x v="423"/>
    <x v="423"/>
    <x v="9"/>
    <x v="0"/>
  </r>
  <r>
    <x v="424"/>
    <n v="62"/>
    <x v="424"/>
    <x v="19"/>
    <x v="19"/>
    <x v="0"/>
    <n v="4605"/>
    <n v="3"/>
    <n v="692.01"/>
    <n v="1224.05"/>
    <m/>
    <n v="0"/>
    <x v="2"/>
    <x v="411"/>
    <x v="3"/>
    <d v="2025-08-19T00:00:00"/>
    <d v="2025-08-28T00:00:00"/>
    <d v="2025-08-26T00:00:00"/>
    <x v="0"/>
    <x v="3"/>
    <s v="Produto original, vendedor confiável."/>
    <x v="424"/>
    <n v="2076.0300000000002"/>
    <x v="424"/>
    <x v="424"/>
    <x v="2"/>
    <x v="0"/>
  </r>
  <r>
    <x v="425"/>
    <n v="54"/>
    <x v="425"/>
    <x v="5"/>
    <x v="5"/>
    <x v="2"/>
    <n v="259"/>
    <n v="3"/>
    <n v="53.87"/>
    <n v="71.47"/>
    <m/>
    <n v="0"/>
    <x v="0"/>
    <x v="412"/>
    <x v="2"/>
    <d v="2025-08-21T00:00:00"/>
    <d v="2025-08-26T00:00:00"/>
    <d v="2025-08-26T00:00:00"/>
    <x v="0"/>
    <x v="3"/>
    <s v="Muito bom, sem reclamações."/>
    <x v="425"/>
    <n v="161.61000000000001"/>
    <x v="425"/>
    <x v="425"/>
    <x v="4"/>
    <x v="0"/>
  </r>
  <r>
    <x v="426"/>
    <n v="103"/>
    <x v="426"/>
    <x v="18"/>
    <x v="18"/>
    <x v="0"/>
    <n v="2860"/>
    <n v="2"/>
    <n v="318.37"/>
    <n v="817.12"/>
    <m/>
    <n v="0"/>
    <x v="0"/>
    <x v="413"/>
    <x v="13"/>
    <d v="2025-08-20T00:00:00"/>
    <d v="2025-08-29T00:00:00"/>
    <d v="2025-08-25T00:00:00"/>
    <x v="0"/>
    <x v="0"/>
    <s v="Qualidade impecável, voltarei a comprar."/>
    <x v="426"/>
    <n v="636.74"/>
    <x v="426"/>
    <x v="426"/>
    <x v="1"/>
    <x v="0"/>
  </r>
  <r>
    <x v="427"/>
    <n v="49"/>
    <x v="427"/>
    <x v="6"/>
    <x v="6"/>
    <x v="2"/>
    <n v="292"/>
    <n v="2"/>
    <n v="52.95"/>
    <n v="63.96"/>
    <m/>
    <n v="0"/>
    <x v="3"/>
    <x v="414"/>
    <x v="11"/>
    <d v="2025-08-20T00:00:00"/>
    <d v="2025-08-26T00:00:00"/>
    <d v="2025-08-23T00:00:00"/>
    <x v="0"/>
    <x v="3"/>
    <s v="Muito bom, sem reclamações."/>
    <x v="427"/>
    <n v="105.9"/>
    <x v="427"/>
    <x v="427"/>
    <x v="0"/>
    <x v="0"/>
  </r>
  <r>
    <x v="428"/>
    <n v="200"/>
    <x v="428"/>
    <x v="18"/>
    <x v="18"/>
    <x v="0"/>
    <n v="3007"/>
    <n v="3"/>
    <n v="584.51"/>
    <n v="776.2"/>
    <m/>
    <n v="0"/>
    <x v="0"/>
    <x v="415"/>
    <x v="1"/>
    <d v="2025-08-21T00:00:00"/>
    <d v="2025-08-30T00:00:00"/>
    <d v="2025-09-03T00:00:00"/>
    <x v="0"/>
    <x v="1"/>
    <s v="Embalagem poderia ser melhor."/>
    <x v="428"/>
    <n v="1753.53"/>
    <x v="428"/>
    <x v="428"/>
    <x v="7"/>
    <x v="2"/>
  </r>
  <r>
    <x v="429"/>
    <n v="38"/>
    <x v="429"/>
    <x v="6"/>
    <x v="6"/>
    <x v="2"/>
    <n v="230"/>
    <n v="2"/>
    <n v="54.38"/>
    <n v="78.5"/>
    <m/>
    <n v="0"/>
    <x v="0"/>
    <x v="416"/>
    <x v="1"/>
    <d v="2025-08-22T00:00:00"/>
    <d v="2025-08-30T00:00:00"/>
    <d v="2025-08-25T00:00:00"/>
    <x v="0"/>
    <x v="0"/>
    <s v="Chegou antes do prazo, excelente!"/>
    <x v="429"/>
    <n v="108.76"/>
    <x v="429"/>
    <x v="429"/>
    <x v="5"/>
    <x v="0"/>
  </r>
  <r>
    <x v="430"/>
    <n v="141"/>
    <x v="430"/>
    <x v="21"/>
    <x v="21"/>
    <x v="3"/>
    <n v="0"/>
    <n v="3"/>
    <n v="216.14"/>
    <n v="314.14"/>
    <m/>
    <n v="0"/>
    <x v="3"/>
    <x v="417"/>
    <x v="2"/>
    <d v="2025-08-22T00:00:00"/>
    <d v="2025-08-27T00:00:00"/>
    <d v="2025-08-25T00:00:00"/>
    <x v="0"/>
    <x v="0"/>
    <s v="Chegou antes do prazo, excelente!"/>
    <x v="430"/>
    <n v="648.41999999999996"/>
    <x v="430"/>
    <x v="430"/>
    <x v="2"/>
    <x v="0"/>
  </r>
  <r>
    <x v="431"/>
    <n v="153"/>
    <x v="431"/>
    <x v="10"/>
    <x v="10"/>
    <x v="2"/>
    <n v="294"/>
    <n v="3"/>
    <n v="41.2"/>
    <n v="166.44"/>
    <s v="PROMO10"/>
    <n v="0.1"/>
    <x v="1"/>
    <x v="418"/>
    <x v="2"/>
    <d v="2025-08-23T00:00:00"/>
    <d v="2025-08-30T00:00:00"/>
    <d v="2025-08-29T00:00:00"/>
    <x v="0"/>
    <x v="0"/>
    <s v="Produto original, vendedor confiável."/>
    <x v="431"/>
    <n v="123.6"/>
    <x v="431"/>
    <x v="431"/>
    <x v="6"/>
    <x v="0"/>
  </r>
  <r>
    <x v="432"/>
    <n v="128"/>
    <x v="432"/>
    <x v="3"/>
    <x v="3"/>
    <x v="2"/>
    <n v="685"/>
    <n v="2"/>
    <n v="81.91"/>
    <n v="203.64"/>
    <m/>
    <n v="0"/>
    <x v="3"/>
    <x v="419"/>
    <x v="7"/>
    <d v="2025-08-24T00:00:00"/>
    <d v="2025-09-03T00:00:00"/>
    <d v="2025-09-03T00:00:00"/>
    <x v="0"/>
    <x v="0"/>
    <s v="Produto original, vendedor confiável."/>
    <x v="432"/>
    <n v="163.82"/>
    <x v="432"/>
    <x v="432"/>
    <x v="4"/>
    <x v="0"/>
  </r>
  <r>
    <x v="433"/>
    <n v="134"/>
    <x v="433"/>
    <x v="19"/>
    <x v="19"/>
    <x v="0"/>
    <n v="3503"/>
    <n v="1"/>
    <n v="937.74"/>
    <n v="1234.29"/>
    <m/>
    <n v="0"/>
    <x v="0"/>
    <x v="420"/>
    <x v="7"/>
    <d v="2025-08-24T00:00:00"/>
    <d v="2025-09-02T00:00:00"/>
    <m/>
    <x v="1"/>
    <x v="2"/>
    <s v="Frete caro e entrega lenta."/>
    <x v="433"/>
    <n v="937.74"/>
    <x v="433"/>
    <x v="433"/>
    <x v="3"/>
    <x v="1"/>
  </r>
  <r>
    <x v="434"/>
    <n v="143"/>
    <x v="434"/>
    <x v="9"/>
    <x v="9"/>
    <x v="1"/>
    <n v="0"/>
    <n v="3"/>
    <n v="69.78"/>
    <n v="143.19999999999999"/>
    <m/>
    <n v="0"/>
    <x v="2"/>
    <x v="421"/>
    <x v="14"/>
    <d v="2025-08-24T00:00:00"/>
    <d v="2025-09-01T00:00:00"/>
    <d v="2025-08-30T00:00:00"/>
    <x v="0"/>
    <x v="3"/>
    <s v="Qualidade impecável, voltarei a comprar."/>
    <x v="434"/>
    <n v="209.34"/>
    <x v="434"/>
    <x v="434"/>
    <x v="2"/>
    <x v="0"/>
  </r>
  <r>
    <x v="435"/>
    <n v="83"/>
    <x v="435"/>
    <x v="1"/>
    <x v="1"/>
    <x v="0"/>
    <n v="2051"/>
    <n v="1"/>
    <n v="670.69"/>
    <n v="906.66"/>
    <m/>
    <n v="0"/>
    <x v="3"/>
    <x v="422"/>
    <x v="5"/>
    <d v="2025-08-24T00:00:00"/>
    <d v="2025-09-02T00:00:00"/>
    <m/>
    <x v="3"/>
    <x v="2"/>
    <s v="Produto extraviado, tive que abrir reclamação."/>
    <x v="435"/>
    <n v="670.69"/>
    <x v="435"/>
    <x v="435"/>
    <x v="3"/>
    <x v="1"/>
  </r>
  <r>
    <x v="436"/>
    <n v="118"/>
    <x v="436"/>
    <x v="4"/>
    <x v="4"/>
    <x v="0"/>
    <n v="4567"/>
    <n v="3"/>
    <n v="434.27"/>
    <n v="556.86"/>
    <m/>
    <n v="0"/>
    <x v="3"/>
    <x v="423"/>
    <x v="13"/>
    <d v="2025-08-25T00:00:00"/>
    <d v="2025-09-03T00:00:00"/>
    <d v="2025-09-02T00:00:00"/>
    <x v="0"/>
    <x v="3"/>
    <s v="Muito bom, sem reclamações."/>
    <x v="436"/>
    <n v="1302.81"/>
    <x v="436"/>
    <x v="436"/>
    <x v="6"/>
    <x v="0"/>
  </r>
  <r>
    <x v="437"/>
    <n v="54"/>
    <x v="437"/>
    <x v="4"/>
    <x v="4"/>
    <x v="0"/>
    <n v="4828"/>
    <n v="2"/>
    <n v="203.09"/>
    <n v="368.02"/>
    <s v="OFF20"/>
    <n v="0.2"/>
    <x v="2"/>
    <x v="424"/>
    <x v="8"/>
    <d v="2025-08-25T00:00:00"/>
    <d v="2025-09-04T00:00:00"/>
    <d v="2025-09-02T00:00:00"/>
    <x v="0"/>
    <x v="3"/>
    <s v="Embalagem perfeita, produto intacto."/>
    <x v="437"/>
    <n v="406.18"/>
    <x v="437"/>
    <x v="437"/>
    <x v="2"/>
    <x v="0"/>
  </r>
  <r>
    <x v="438"/>
    <n v="40"/>
    <x v="438"/>
    <x v="7"/>
    <x v="7"/>
    <x v="0"/>
    <n v="2870"/>
    <n v="2"/>
    <n v="2590.9899999999998"/>
    <n v="4111.34"/>
    <m/>
    <n v="0"/>
    <x v="2"/>
    <x v="425"/>
    <x v="4"/>
    <d v="2025-08-24T00:00:00"/>
    <d v="2025-09-02T00:00:00"/>
    <d v="2025-08-26T00:00:00"/>
    <x v="0"/>
    <x v="0"/>
    <s v="Embalagem perfeita, produto intacto."/>
    <x v="438"/>
    <n v="5181.9799999999996"/>
    <x v="438"/>
    <x v="438"/>
    <x v="9"/>
    <x v="0"/>
  </r>
  <r>
    <x v="439"/>
    <n v="30"/>
    <x v="439"/>
    <x v="18"/>
    <x v="18"/>
    <x v="0"/>
    <n v="3116"/>
    <n v="3"/>
    <n v="524.41"/>
    <n v="951.11"/>
    <m/>
    <n v="0"/>
    <x v="0"/>
    <x v="426"/>
    <x v="3"/>
    <d v="2025-08-24T00:00:00"/>
    <d v="2025-09-01T00:00:00"/>
    <d v="2025-08-28T00:00:00"/>
    <x v="0"/>
    <x v="3"/>
    <s v="Embalagem perfeita, produto intacto."/>
    <x v="439"/>
    <n v="1573.23"/>
    <x v="439"/>
    <x v="439"/>
    <x v="1"/>
    <x v="0"/>
  </r>
  <r>
    <x v="440"/>
    <n v="183"/>
    <x v="440"/>
    <x v="3"/>
    <x v="3"/>
    <x v="2"/>
    <n v="633"/>
    <n v="2"/>
    <n v="155.22"/>
    <n v="220.83"/>
    <m/>
    <n v="0"/>
    <x v="0"/>
    <x v="427"/>
    <x v="2"/>
    <d v="2025-08-24T00:00:00"/>
    <d v="2025-09-02T00:00:00"/>
    <d v="2025-08-31T00:00:00"/>
    <x v="0"/>
    <x v="3"/>
    <s v="Parabéns pela agilidade!"/>
    <x v="440"/>
    <n v="310.44"/>
    <x v="440"/>
    <x v="440"/>
    <x v="2"/>
    <x v="0"/>
  </r>
  <r>
    <x v="441"/>
    <n v="195"/>
    <x v="441"/>
    <x v="7"/>
    <x v="7"/>
    <x v="0"/>
    <n v="2451"/>
    <n v="2"/>
    <n v="2014.02"/>
    <n v="4142.21"/>
    <s v="OFF20"/>
    <n v="0.2"/>
    <x v="0"/>
    <x v="428"/>
    <x v="2"/>
    <d v="2025-08-25T00:00:00"/>
    <d v="2025-09-01T00:00:00"/>
    <d v="2025-09-06T00:00:00"/>
    <x v="0"/>
    <x v="4"/>
    <s v="Atrasou e a caixa veio amassada."/>
    <x v="441"/>
    <n v="4028.04"/>
    <x v="441"/>
    <x v="441"/>
    <x v="10"/>
    <x v="2"/>
  </r>
  <r>
    <x v="442"/>
    <n v="126"/>
    <x v="442"/>
    <x v="2"/>
    <x v="2"/>
    <x v="1"/>
    <n v="0"/>
    <n v="2"/>
    <n v="76.5"/>
    <n v="145.29"/>
    <m/>
    <n v="0"/>
    <x v="2"/>
    <x v="429"/>
    <x v="1"/>
    <d v="2025-08-26T00:00:00"/>
    <d v="2025-09-01T00:00:00"/>
    <d v="2025-08-29T00:00:00"/>
    <x v="0"/>
    <x v="0"/>
    <s v="Entrega no prazo e produto conforme descrito."/>
    <x v="442"/>
    <n v="153"/>
    <x v="442"/>
    <x v="442"/>
    <x v="0"/>
    <x v="0"/>
  </r>
  <r>
    <x v="443"/>
    <n v="145"/>
    <x v="443"/>
    <x v="4"/>
    <x v="4"/>
    <x v="0"/>
    <n v="4122"/>
    <n v="3"/>
    <n v="292.95999999999998"/>
    <n v="735.71"/>
    <m/>
    <n v="0"/>
    <x v="0"/>
    <x v="430"/>
    <x v="5"/>
    <d v="2025-08-26T00:00:00"/>
    <d v="2025-09-01T00:00:00"/>
    <d v="2025-08-30T00:00:00"/>
    <x v="0"/>
    <x v="0"/>
    <s v="Superou minhas expectativas!"/>
    <x v="443"/>
    <n v="878.87999999999988"/>
    <x v="443"/>
    <x v="443"/>
    <x v="2"/>
    <x v="0"/>
  </r>
  <r>
    <x v="444"/>
    <n v="167"/>
    <x v="444"/>
    <x v="20"/>
    <x v="20"/>
    <x v="3"/>
    <n v="0"/>
    <n v="2"/>
    <n v="206.2"/>
    <n v="598.29999999999995"/>
    <s v="PROMO10"/>
    <n v="0.1"/>
    <x v="2"/>
    <x v="431"/>
    <x v="2"/>
    <d v="2025-08-25T00:00:00"/>
    <d v="2025-08-30T00:00:00"/>
    <m/>
    <x v="2"/>
    <x v="1"/>
    <s v="Produto bom, mas o frete foi caro."/>
    <x v="444"/>
    <n v="412.4"/>
    <x v="444"/>
    <x v="444"/>
    <x v="3"/>
    <x v="1"/>
  </r>
  <r>
    <x v="445"/>
    <n v="118"/>
    <x v="445"/>
    <x v="5"/>
    <x v="5"/>
    <x v="2"/>
    <n v="226"/>
    <n v="3"/>
    <n v="30.26"/>
    <n v="65.209999999999994"/>
    <s v="PROMO10"/>
    <n v="0.1"/>
    <x v="2"/>
    <x v="432"/>
    <x v="0"/>
    <d v="2025-08-26T00:00:00"/>
    <d v="2025-09-05T00:00:00"/>
    <d v="2025-09-08T00:00:00"/>
    <x v="0"/>
    <x v="1"/>
    <s v="Nada de especial, cumpriu o básico."/>
    <x v="445"/>
    <n v="90.78"/>
    <x v="445"/>
    <x v="445"/>
    <x v="11"/>
    <x v="2"/>
  </r>
  <r>
    <x v="446"/>
    <n v="50"/>
    <x v="446"/>
    <x v="2"/>
    <x v="2"/>
    <x v="1"/>
    <n v="0"/>
    <n v="1"/>
    <n v="25.45"/>
    <n v="103.94"/>
    <m/>
    <n v="0"/>
    <x v="2"/>
    <x v="433"/>
    <x v="3"/>
    <d v="2025-08-27T00:00:00"/>
    <d v="2025-09-01T00:00:00"/>
    <d v="2025-08-29T00:00:00"/>
    <x v="0"/>
    <x v="3"/>
    <s v="Produto de qualidade, entrega pontual."/>
    <x v="446"/>
    <n v="25.45"/>
    <x v="446"/>
    <x v="446"/>
    <x v="0"/>
    <x v="0"/>
  </r>
  <r>
    <x v="447"/>
    <n v="113"/>
    <x v="447"/>
    <x v="10"/>
    <x v="10"/>
    <x v="2"/>
    <n v="253"/>
    <n v="2"/>
    <n v="90.27"/>
    <n v="106.56"/>
    <s v="OFF20"/>
    <n v="0.2"/>
    <x v="2"/>
    <x v="434"/>
    <x v="13"/>
    <d v="2025-08-26T00:00:00"/>
    <d v="2025-09-01T00:00:00"/>
    <d v="2025-08-28T00:00:00"/>
    <x v="0"/>
    <x v="3"/>
    <s v="Qualidade impecável, voltarei a comprar."/>
    <x v="447"/>
    <n v="180.54"/>
    <x v="447"/>
    <x v="447"/>
    <x v="1"/>
    <x v="0"/>
  </r>
  <r>
    <x v="448"/>
    <n v="129"/>
    <x v="448"/>
    <x v="13"/>
    <x v="13"/>
    <x v="0"/>
    <n v="2095"/>
    <n v="1"/>
    <n v="361.16"/>
    <n v="645.53"/>
    <m/>
    <n v="0"/>
    <x v="2"/>
    <x v="435"/>
    <x v="1"/>
    <d v="2025-08-28T00:00:00"/>
    <d v="2025-09-07T00:00:00"/>
    <d v="2025-09-08T00:00:00"/>
    <x v="0"/>
    <x v="2"/>
    <s v="Não recomendo, péssima experiência."/>
    <x v="448"/>
    <n v="361.16"/>
    <x v="448"/>
    <x v="448"/>
    <x v="8"/>
    <x v="2"/>
  </r>
  <r>
    <x v="449"/>
    <n v="20"/>
    <x v="449"/>
    <x v="10"/>
    <x v="10"/>
    <x v="2"/>
    <n v="316"/>
    <n v="2"/>
    <n v="60.55"/>
    <n v="163.97"/>
    <s v="OFF20"/>
    <n v="0.2"/>
    <x v="1"/>
    <x v="436"/>
    <x v="5"/>
    <d v="2025-08-28T00:00:00"/>
    <d v="2025-09-04T00:00:00"/>
    <d v="2025-08-31T00:00:00"/>
    <x v="0"/>
    <x v="0"/>
    <s v="Tudo certo, nota 10!"/>
    <x v="449"/>
    <n v="121.1"/>
    <x v="449"/>
    <x v="449"/>
    <x v="1"/>
    <x v="0"/>
  </r>
  <r>
    <x v="450"/>
    <n v="97"/>
    <x v="450"/>
    <x v="16"/>
    <x v="16"/>
    <x v="1"/>
    <n v="0"/>
    <n v="3"/>
    <n v="191.72"/>
    <n v="432"/>
    <m/>
    <n v="0"/>
    <x v="3"/>
    <x v="437"/>
    <x v="2"/>
    <d v="2025-08-28T00:00:00"/>
    <d v="2025-09-05T00:00:00"/>
    <d v="2025-09-10T00:00:00"/>
    <x v="0"/>
    <x v="1"/>
    <s v="Razoável, poderia ser melhor."/>
    <x v="450"/>
    <n v="575.16"/>
    <x v="450"/>
    <x v="450"/>
    <x v="10"/>
    <x v="2"/>
  </r>
  <r>
    <x v="451"/>
    <n v="69"/>
    <x v="451"/>
    <x v="5"/>
    <x v="5"/>
    <x v="2"/>
    <n v="203"/>
    <n v="3"/>
    <n v="39.880000000000003"/>
    <n v="137.22"/>
    <m/>
    <n v="0"/>
    <x v="1"/>
    <x v="438"/>
    <x v="8"/>
    <d v="2025-08-28T00:00:00"/>
    <d v="2025-09-07T00:00:00"/>
    <d v="2025-09-05T00:00:00"/>
    <x v="0"/>
    <x v="0"/>
    <s v="Muito bom, sem reclamações."/>
    <x v="451"/>
    <n v="119.64"/>
    <x v="451"/>
    <x v="451"/>
    <x v="2"/>
    <x v="0"/>
  </r>
  <r>
    <x v="452"/>
    <n v="101"/>
    <x v="452"/>
    <x v="4"/>
    <x v="4"/>
    <x v="0"/>
    <n v="4832"/>
    <n v="2"/>
    <n v="387.14"/>
    <n v="591.39"/>
    <m/>
    <n v="0"/>
    <x v="0"/>
    <x v="439"/>
    <x v="1"/>
    <d v="2025-08-28T00:00:00"/>
    <d v="2025-09-06T00:00:00"/>
    <d v="2025-09-01T00:00:00"/>
    <x v="0"/>
    <x v="0"/>
    <s v="Produto de qualidade, entrega pontual."/>
    <x v="452"/>
    <n v="774.28"/>
    <x v="452"/>
    <x v="452"/>
    <x v="5"/>
    <x v="0"/>
  </r>
  <r>
    <x v="453"/>
    <n v="139"/>
    <x v="453"/>
    <x v="2"/>
    <x v="2"/>
    <x v="1"/>
    <n v="0"/>
    <n v="3"/>
    <n v="35.36"/>
    <n v="75.180000000000007"/>
    <m/>
    <n v="0"/>
    <x v="3"/>
    <x v="440"/>
    <x v="1"/>
    <d v="2025-08-29T00:00:00"/>
    <d v="2025-09-05T00:00:00"/>
    <d v="2025-08-31T00:00:00"/>
    <x v="0"/>
    <x v="3"/>
    <s v="Embalagem perfeita, produto intacto."/>
    <x v="453"/>
    <n v="106.08"/>
    <x v="453"/>
    <x v="453"/>
    <x v="5"/>
    <x v="0"/>
  </r>
  <r>
    <x v="454"/>
    <n v="185"/>
    <x v="454"/>
    <x v="21"/>
    <x v="21"/>
    <x v="3"/>
    <n v="0"/>
    <n v="3"/>
    <n v="237.18"/>
    <n v="375.82"/>
    <m/>
    <n v="0"/>
    <x v="0"/>
    <x v="441"/>
    <x v="1"/>
    <d v="2025-08-30T00:00:00"/>
    <d v="2025-09-06T00:00:00"/>
    <d v="2025-09-07T00:00:00"/>
    <x v="0"/>
    <x v="1"/>
    <s v="Razoável, poderia ser melhor."/>
    <x v="454"/>
    <n v="711.54"/>
    <x v="454"/>
    <x v="454"/>
    <x v="8"/>
    <x v="2"/>
  </r>
  <r>
    <x v="455"/>
    <n v="166"/>
    <x v="455"/>
    <x v="11"/>
    <x v="11"/>
    <x v="2"/>
    <n v="280"/>
    <n v="3"/>
    <n v="44.15"/>
    <n v="85.67"/>
    <s v="PROMO10"/>
    <n v="0.1"/>
    <x v="0"/>
    <x v="442"/>
    <x v="1"/>
    <d v="2025-08-29T00:00:00"/>
    <d v="2025-09-08T00:00:00"/>
    <m/>
    <x v="1"/>
    <x v="3"/>
    <s v="Chegou antes do prazo, excelente!"/>
    <x v="455"/>
    <n v="132.44999999999999"/>
    <x v="455"/>
    <x v="455"/>
    <x v="3"/>
    <x v="1"/>
  </r>
  <r>
    <x v="456"/>
    <n v="117"/>
    <x v="456"/>
    <x v="6"/>
    <x v="6"/>
    <x v="2"/>
    <n v="290"/>
    <n v="3"/>
    <n v="45.48"/>
    <n v="131.63"/>
    <s v="OFF20"/>
    <n v="0.2"/>
    <x v="2"/>
    <x v="443"/>
    <x v="13"/>
    <d v="2025-08-29T00:00:00"/>
    <d v="2025-09-03T00:00:00"/>
    <d v="2025-08-31T00:00:00"/>
    <x v="0"/>
    <x v="3"/>
    <s v="Entrega no prazo e produto conforme descrito."/>
    <x v="456"/>
    <n v="136.44"/>
    <x v="456"/>
    <x v="456"/>
    <x v="0"/>
    <x v="0"/>
  </r>
  <r>
    <x v="457"/>
    <n v="135"/>
    <x v="457"/>
    <x v="18"/>
    <x v="18"/>
    <x v="0"/>
    <n v="3336"/>
    <n v="3"/>
    <n v="345.69"/>
    <n v="643.45000000000005"/>
    <m/>
    <n v="0"/>
    <x v="2"/>
    <x v="444"/>
    <x v="10"/>
    <d v="2025-08-29T00:00:00"/>
    <d v="2025-09-06T00:00:00"/>
    <d v="2025-09-08T00:00:00"/>
    <x v="0"/>
    <x v="1"/>
    <s v="Nada de especial, cumpriu o básico."/>
    <x v="457"/>
    <n v="1037.07"/>
    <x v="457"/>
    <x v="457"/>
    <x v="14"/>
    <x v="2"/>
  </r>
  <r>
    <x v="458"/>
    <n v="27"/>
    <x v="458"/>
    <x v="19"/>
    <x v="19"/>
    <x v="0"/>
    <n v="4774"/>
    <n v="2"/>
    <n v="933.2"/>
    <n v="1964.44"/>
    <m/>
    <n v="0"/>
    <x v="1"/>
    <x v="445"/>
    <x v="2"/>
    <d v="2025-08-30T00:00:00"/>
    <d v="2025-09-04T00:00:00"/>
    <d v="2025-09-03T00:00:00"/>
    <x v="0"/>
    <x v="0"/>
    <s v="Excelente atendimento e entrega."/>
    <x v="458"/>
    <n v="1866.4"/>
    <x v="458"/>
    <x v="458"/>
    <x v="6"/>
    <x v="0"/>
  </r>
  <r>
    <x v="459"/>
    <n v="178"/>
    <x v="459"/>
    <x v="6"/>
    <x v="6"/>
    <x v="2"/>
    <n v="222"/>
    <n v="3"/>
    <n v="49.01"/>
    <n v="85.55"/>
    <m/>
    <n v="0"/>
    <x v="1"/>
    <x v="446"/>
    <x v="4"/>
    <d v="2025-08-31T00:00:00"/>
    <d v="2025-09-05T00:00:00"/>
    <d v="2025-09-09T00:00:00"/>
    <x v="0"/>
    <x v="2"/>
    <s v="Produto extraviado, tive que abrir reclamação."/>
    <x v="459"/>
    <n v="147.03"/>
    <x v="459"/>
    <x v="459"/>
    <x v="7"/>
    <x v="2"/>
  </r>
  <r>
    <x v="460"/>
    <n v="140"/>
    <x v="460"/>
    <x v="12"/>
    <x v="12"/>
    <x v="2"/>
    <n v="398"/>
    <n v="2"/>
    <n v="38.909999999999997"/>
    <n v="69.89"/>
    <s v="OFF20"/>
    <n v="0.2"/>
    <x v="0"/>
    <x v="447"/>
    <x v="2"/>
    <d v="2025-08-31T00:00:00"/>
    <d v="2025-09-10T00:00:00"/>
    <d v="2025-09-08T00:00:00"/>
    <x v="0"/>
    <x v="0"/>
    <s v="Produto original, vendedor confiável."/>
    <x v="460"/>
    <n v="77.819999999999993"/>
    <x v="460"/>
    <x v="460"/>
    <x v="2"/>
    <x v="0"/>
  </r>
  <r>
    <x v="461"/>
    <n v="63"/>
    <x v="461"/>
    <x v="9"/>
    <x v="9"/>
    <x v="1"/>
    <n v="0"/>
    <n v="1"/>
    <n v="77.52"/>
    <n v="109.7"/>
    <m/>
    <n v="0"/>
    <x v="3"/>
    <x v="448"/>
    <x v="2"/>
    <d v="2025-08-31T00:00:00"/>
    <d v="2025-09-07T00:00:00"/>
    <d v="2025-09-02T00:00:00"/>
    <x v="0"/>
    <x v="0"/>
    <s v="Entrega no prazo e produto conforme descrito."/>
    <x v="461"/>
    <n v="77.52"/>
    <x v="461"/>
    <x v="461"/>
    <x v="5"/>
    <x v="0"/>
  </r>
  <r>
    <x v="462"/>
    <n v="135"/>
    <x v="462"/>
    <x v="0"/>
    <x v="0"/>
    <x v="0"/>
    <n v="2735"/>
    <n v="3"/>
    <n v="2381.44"/>
    <n v="3892.08"/>
    <m/>
    <n v="0"/>
    <x v="0"/>
    <x v="449"/>
    <x v="13"/>
    <d v="2025-08-31T00:00:00"/>
    <d v="2025-09-07T00:00:00"/>
    <d v="2025-09-04T00:00:00"/>
    <x v="0"/>
    <x v="0"/>
    <s v="Tudo certo, nota 10!"/>
    <x v="462"/>
    <n v="7144.32"/>
    <x v="462"/>
    <x v="462"/>
    <x v="0"/>
    <x v="0"/>
  </r>
  <r>
    <x v="463"/>
    <n v="130"/>
    <x v="463"/>
    <x v="16"/>
    <x v="16"/>
    <x v="1"/>
    <n v="0"/>
    <n v="1"/>
    <n v="237.37"/>
    <n v="362.05"/>
    <s v="OFF20"/>
    <n v="0.2"/>
    <x v="0"/>
    <x v="450"/>
    <x v="4"/>
    <d v="2025-09-01T00:00:00"/>
    <d v="2025-09-06T00:00:00"/>
    <d v="2025-09-06T00:00:00"/>
    <x v="0"/>
    <x v="0"/>
    <s v="Superou minhas expectativas!"/>
    <x v="463"/>
    <n v="237.37"/>
    <x v="463"/>
    <x v="463"/>
    <x v="4"/>
    <x v="0"/>
  </r>
  <r>
    <x v="464"/>
    <n v="169"/>
    <x v="464"/>
    <x v="7"/>
    <x v="7"/>
    <x v="0"/>
    <n v="2454"/>
    <n v="1"/>
    <n v="2209.41"/>
    <n v="4077.95"/>
    <s v="PROMO10"/>
    <n v="0.1"/>
    <x v="3"/>
    <x v="451"/>
    <x v="2"/>
    <d v="2025-09-01T00:00:00"/>
    <d v="2025-09-11T00:00:00"/>
    <d v="2025-09-10T00:00:00"/>
    <x v="0"/>
    <x v="0"/>
    <s v="Produto original, vendedor confiável."/>
    <x v="464"/>
    <n v="2209.41"/>
    <x v="464"/>
    <x v="464"/>
    <x v="6"/>
    <x v="0"/>
  </r>
  <r>
    <x v="465"/>
    <n v="45"/>
    <x v="465"/>
    <x v="17"/>
    <x v="17"/>
    <x v="2"/>
    <n v="356"/>
    <n v="1"/>
    <n v="102.78"/>
    <n v="244.65"/>
    <m/>
    <n v="0"/>
    <x v="1"/>
    <x v="452"/>
    <x v="13"/>
    <d v="2025-09-01T00:00:00"/>
    <d v="2025-09-09T00:00:00"/>
    <d v="2025-09-09T00:00:00"/>
    <x v="0"/>
    <x v="0"/>
    <s v="Ótimo custo-benefício!"/>
    <x v="465"/>
    <n v="102.78"/>
    <x v="252"/>
    <x v="465"/>
    <x v="4"/>
    <x v="0"/>
  </r>
  <r>
    <x v="466"/>
    <n v="97"/>
    <x v="466"/>
    <x v="7"/>
    <x v="7"/>
    <x v="0"/>
    <n v="2310"/>
    <n v="3"/>
    <n v="2340.36"/>
    <n v="4013.81"/>
    <m/>
    <n v="0"/>
    <x v="0"/>
    <x v="453"/>
    <x v="6"/>
    <d v="2025-09-02T00:00:00"/>
    <d v="2025-09-10T00:00:00"/>
    <d v="2025-09-05T00:00:00"/>
    <x v="0"/>
    <x v="3"/>
    <s v="Tudo certo, nota 10!"/>
    <x v="466"/>
    <n v="7021.08"/>
    <x v="465"/>
    <x v="466"/>
    <x v="5"/>
    <x v="0"/>
  </r>
  <r>
    <x v="467"/>
    <n v="16"/>
    <x v="467"/>
    <x v="3"/>
    <x v="3"/>
    <x v="2"/>
    <n v="636"/>
    <n v="1"/>
    <n v="187.6"/>
    <n v="250.74"/>
    <m/>
    <n v="0"/>
    <x v="0"/>
    <x v="454"/>
    <x v="8"/>
    <d v="2025-09-02T00:00:00"/>
    <d v="2025-09-07T00:00:00"/>
    <d v="2025-09-05T00:00:00"/>
    <x v="0"/>
    <x v="0"/>
    <s v="Superou minhas expectativas!"/>
    <x v="467"/>
    <n v="187.6"/>
    <x v="466"/>
    <x v="467"/>
    <x v="2"/>
    <x v="0"/>
  </r>
  <r>
    <x v="468"/>
    <n v="192"/>
    <x v="468"/>
    <x v="17"/>
    <x v="17"/>
    <x v="2"/>
    <n v="498"/>
    <n v="3"/>
    <n v="67.69"/>
    <n v="161.88999999999999"/>
    <m/>
    <n v="0"/>
    <x v="0"/>
    <x v="455"/>
    <x v="7"/>
    <d v="2025-09-04T00:00:00"/>
    <d v="2025-09-09T00:00:00"/>
    <d v="2025-09-09T00:00:00"/>
    <x v="0"/>
    <x v="3"/>
    <s v="Chegou antes do prazo, excelente!"/>
    <x v="468"/>
    <n v="203.07"/>
    <x v="467"/>
    <x v="468"/>
    <x v="4"/>
    <x v="0"/>
  </r>
  <r>
    <x v="469"/>
    <n v="127"/>
    <x v="469"/>
    <x v="9"/>
    <x v="9"/>
    <x v="1"/>
    <n v="0"/>
    <n v="3"/>
    <n v="42.87"/>
    <n v="129.54"/>
    <s v="PROMO10"/>
    <n v="0.1"/>
    <x v="1"/>
    <x v="456"/>
    <x v="2"/>
    <d v="2025-09-03T00:00:00"/>
    <d v="2025-09-10T00:00:00"/>
    <d v="2025-09-05T00:00:00"/>
    <x v="0"/>
    <x v="0"/>
    <s v="Superou minhas expectativas!"/>
    <x v="469"/>
    <n v="128.61000000000001"/>
    <x v="468"/>
    <x v="469"/>
    <x v="5"/>
    <x v="0"/>
  </r>
  <r>
    <x v="470"/>
    <n v="55"/>
    <x v="470"/>
    <x v="22"/>
    <x v="22"/>
    <x v="3"/>
    <n v="0"/>
    <n v="3"/>
    <n v="492.22"/>
    <n v="674.46"/>
    <m/>
    <n v="0"/>
    <x v="3"/>
    <x v="457"/>
    <x v="0"/>
    <d v="2025-09-03T00:00:00"/>
    <d v="2025-09-11T00:00:00"/>
    <m/>
    <x v="2"/>
    <x v="4"/>
    <s v="Pior experiência de compra online."/>
    <x v="470"/>
    <n v="1476.66"/>
    <x v="469"/>
    <x v="470"/>
    <x v="3"/>
    <x v="1"/>
  </r>
  <r>
    <x v="471"/>
    <n v="74"/>
    <x v="471"/>
    <x v="1"/>
    <x v="1"/>
    <x v="0"/>
    <n v="2693"/>
    <n v="1"/>
    <n v="564.04"/>
    <n v="888.6"/>
    <s v="PROMO10"/>
    <n v="0.1"/>
    <x v="1"/>
    <x v="458"/>
    <x v="12"/>
    <d v="2025-09-04T00:00:00"/>
    <d v="2025-09-14T00:00:00"/>
    <d v="2025-09-06T00:00:00"/>
    <x v="0"/>
    <x v="3"/>
    <s v="Produto top, recomendo!"/>
    <x v="471"/>
    <n v="564.04"/>
    <x v="470"/>
    <x v="471"/>
    <x v="13"/>
    <x v="0"/>
  </r>
  <r>
    <x v="472"/>
    <n v="80"/>
    <x v="472"/>
    <x v="8"/>
    <x v="8"/>
    <x v="1"/>
    <n v="0"/>
    <n v="2"/>
    <n v="95.32"/>
    <n v="113.18"/>
    <m/>
    <n v="0"/>
    <x v="1"/>
    <x v="459"/>
    <x v="12"/>
    <d v="2025-09-05T00:00:00"/>
    <d v="2025-09-15T00:00:00"/>
    <m/>
    <x v="1"/>
    <x v="1"/>
    <s v="Esperava mais pela qualidade do produto."/>
    <x v="472"/>
    <n v="190.64"/>
    <x v="471"/>
    <x v="472"/>
    <x v="3"/>
    <x v="1"/>
  </r>
  <r>
    <x v="473"/>
    <n v="192"/>
    <x v="473"/>
    <x v="19"/>
    <x v="19"/>
    <x v="0"/>
    <n v="4848"/>
    <n v="1"/>
    <n v="400.51"/>
    <n v="1477.42"/>
    <s v="PROMO10"/>
    <n v="0.1"/>
    <x v="3"/>
    <x v="460"/>
    <x v="7"/>
    <d v="2025-09-04T00:00:00"/>
    <d v="2025-09-12T00:00:00"/>
    <d v="2025-09-10T00:00:00"/>
    <x v="0"/>
    <x v="0"/>
    <s v="Excelente atendimento e entrega."/>
    <x v="473"/>
    <n v="400.51"/>
    <x v="472"/>
    <x v="473"/>
    <x v="2"/>
    <x v="0"/>
  </r>
  <r>
    <x v="474"/>
    <n v="19"/>
    <x v="474"/>
    <x v="19"/>
    <x v="19"/>
    <x v="0"/>
    <n v="3565"/>
    <n v="2"/>
    <n v="443.37"/>
    <n v="1133.81"/>
    <s v="PROMO10"/>
    <n v="0.1"/>
    <x v="2"/>
    <x v="461"/>
    <x v="1"/>
    <d v="2025-09-04T00:00:00"/>
    <d v="2025-09-11T00:00:00"/>
    <m/>
    <x v="2"/>
    <x v="2"/>
    <s v="Atrasou e a caixa veio amassada."/>
    <x v="474"/>
    <n v="886.74"/>
    <x v="473"/>
    <x v="474"/>
    <x v="3"/>
    <x v="1"/>
  </r>
  <r>
    <x v="475"/>
    <n v="158"/>
    <x v="475"/>
    <x v="3"/>
    <x v="3"/>
    <x v="2"/>
    <n v="742"/>
    <n v="1"/>
    <n v="186.9"/>
    <n v="336.3"/>
    <m/>
    <n v="0"/>
    <x v="2"/>
    <x v="462"/>
    <x v="9"/>
    <d v="2025-09-05T00:00:00"/>
    <d v="2025-09-14T00:00:00"/>
    <d v="2025-09-14T00:00:00"/>
    <x v="0"/>
    <x v="3"/>
    <s v="Entrega rápida, muito satisfeito!"/>
    <x v="475"/>
    <n v="186.9"/>
    <x v="474"/>
    <x v="475"/>
    <x v="4"/>
    <x v="0"/>
  </r>
  <r>
    <x v="476"/>
    <n v="62"/>
    <x v="476"/>
    <x v="20"/>
    <x v="20"/>
    <x v="3"/>
    <n v="0"/>
    <n v="2"/>
    <n v="379.2"/>
    <n v="557.78"/>
    <s v="PROMO10"/>
    <n v="0.1"/>
    <x v="1"/>
    <x v="463"/>
    <x v="7"/>
    <d v="2025-09-04T00:00:00"/>
    <d v="2025-09-11T00:00:00"/>
    <d v="2025-09-11T00:00:00"/>
    <x v="0"/>
    <x v="3"/>
    <s v="Chegou antes do prazo, excelente!"/>
    <x v="476"/>
    <n v="758.4"/>
    <x v="475"/>
    <x v="476"/>
    <x v="4"/>
    <x v="0"/>
  </r>
  <r>
    <x v="477"/>
    <n v="131"/>
    <x v="477"/>
    <x v="12"/>
    <x v="12"/>
    <x v="2"/>
    <n v="343"/>
    <n v="3"/>
    <n v="34.24"/>
    <n v="57.77"/>
    <s v="OFF20"/>
    <n v="0.2"/>
    <x v="0"/>
    <x v="464"/>
    <x v="0"/>
    <d v="2025-09-06T00:00:00"/>
    <d v="2025-09-11T00:00:00"/>
    <d v="2025-09-13T00:00:00"/>
    <x v="0"/>
    <x v="2"/>
    <s v="Veio errado, tive que devolver."/>
    <x v="477"/>
    <n v="102.72"/>
    <x v="476"/>
    <x v="477"/>
    <x v="14"/>
    <x v="2"/>
  </r>
  <r>
    <x v="478"/>
    <n v="153"/>
    <x v="478"/>
    <x v="22"/>
    <x v="22"/>
    <x v="3"/>
    <n v="0"/>
    <n v="3"/>
    <n v="374.28"/>
    <n v="721.16"/>
    <m/>
    <n v="0"/>
    <x v="0"/>
    <x v="465"/>
    <x v="14"/>
    <d v="2025-09-06T00:00:00"/>
    <d v="2025-09-13T00:00:00"/>
    <d v="2025-09-12T00:00:00"/>
    <x v="0"/>
    <x v="3"/>
    <s v="Qualidade impecável, voltarei a comprar."/>
    <x v="478"/>
    <n v="1122.8399999999999"/>
    <x v="477"/>
    <x v="478"/>
    <x v="6"/>
    <x v="0"/>
  </r>
  <r>
    <x v="479"/>
    <n v="35"/>
    <x v="479"/>
    <x v="1"/>
    <x v="1"/>
    <x v="0"/>
    <n v="2752"/>
    <n v="3"/>
    <n v="675.31"/>
    <n v="1093.75"/>
    <s v="OFF20"/>
    <n v="0.2"/>
    <x v="2"/>
    <x v="466"/>
    <x v="12"/>
    <d v="2025-09-05T00:00:00"/>
    <d v="2025-09-12T00:00:00"/>
    <d v="2025-09-08T00:00:00"/>
    <x v="0"/>
    <x v="3"/>
    <s v="Superou minhas expectativas!"/>
    <x v="479"/>
    <n v="2025.93"/>
    <x v="478"/>
    <x v="479"/>
    <x v="1"/>
    <x v="0"/>
  </r>
  <r>
    <x v="480"/>
    <n v="7"/>
    <x v="480"/>
    <x v="10"/>
    <x v="10"/>
    <x v="2"/>
    <n v="302"/>
    <n v="1"/>
    <n v="75.75"/>
    <n v="179.35"/>
    <m/>
    <n v="0"/>
    <x v="3"/>
    <x v="467"/>
    <x v="7"/>
    <d v="2025-09-06T00:00:00"/>
    <d v="2025-09-12T00:00:00"/>
    <d v="2025-09-11T00:00:00"/>
    <x v="0"/>
    <x v="3"/>
    <s v="Chegou antes do prazo, excelente!"/>
    <x v="480"/>
    <n v="75.75"/>
    <x v="479"/>
    <x v="480"/>
    <x v="6"/>
    <x v="0"/>
  </r>
  <r>
    <x v="481"/>
    <n v="138"/>
    <x v="481"/>
    <x v="5"/>
    <x v="5"/>
    <x v="2"/>
    <n v="297"/>
    <n v="2"/>
    <n v="43.15"/>
    <n v="98.83"/>
    <m/>
    <n v="0"/>
    <x v="2"/>
    <x v="468"/>
    <x v="14"/>
    <d v="2025-09-07T00:00:00"/>
    <d v="2025-09-14T00:00:00"/>
    <d v="2025-09-11T00:00:00"/>
    <x v="0"/>
    <x v="0"/>
    <s v="Chegou antes do prazo, excelente!"/>
    <x v="481"/>
    <n v="86.3"/>
    <x v="480"/>
    <x v="481"/>
    <x v="0"/>
    <x v="0"/>
  </r>
  <r>
    <x v="482"/>
    <n v="130"/>
    <x v="482"/>
    <x v="7"/>
    <x v="7"/>
    <x v="0"/>
    <n v="2490"/>
    <n v="3"/>
    <n v="2365.63"/>
    <n v="4969.45"/>
    <s v="PROMO10"/>
    <n v="0.1"/>
    <x v="2"/>
    <x v="469"/>
    <x v="2"/>
    <d v="2025-09-07T00:00:00"/>
    <d v="2025-09-14T00:00:00"/>
    <m/>
    <x v="1"/>
    <x v="2"/>
    <s v="Atendimento ao cliente inexistente."/>
    <x v="482"/>
    <n v="7096.89"/>
    <x v="481"/>
    <x v="482"/>
    <x v="3"/>
    <x v="1"/>
  </r>
  <r>
    <x v="483"/>
    <n v="4"/>
    <x v="483"/>
    <x v="11"/>
    <x v="11"/>
    <x v="2"/>
    <n v="229"/>
    <n v="3"/>
    <n v="23.45"/>
    <n v="57.13"/>
    <s v="PROMO10"/>
    <n v="0.1"/>
    <x v="2"/>
    <x v="470"/>
    <x v="0"/>
    <d v="2025-09-07T00:00:00"/>
    <d v="2025-09-17T00:00:00"/>
    <d v="2025-09-17T00:00:00"/>
    <x v="0"/>
    <x v="3"/>
    <s v="Parabéns pela agilidade!"/>
    <x v="483"/>
    <n v="70.349999999999994"/>
    <x v="482"/>
    <x v="483"/>
    <x v="4"/>
    <x v="0"/>
  </r>
  <r>
    <x v="484"/>
    <n v="141"/>
    <x v="484"/>
    <x v="8"/>
    <x v="8"/>
    <x v="1"/>
    <n v="0"/>
    <n v="1"/>
    <n v="58.51"/>
    <n v="152.15"/>
    <m/>
    <n v="0"/>
    <x v="0"/>
    <x v="471"/>
    <x v="13"/>
    <d v="2025-09-08T00:00:00"/>
    <d v="2025-09-13T00:00:00"/>
    <d v="2025-09-10T00:00:00"/>
    <x v="0"/>
    <x v="3"/>
    <s v="Tudo certo, nota 10!"/>
    <x v="484"/>
    <n v="58.51"/>
    <x v="483"/>
    <x v="484"/>
    <x v="0"/>
    <x v="0"/>
  </r>
  <r>
    <x v="485"/>
    <n v="12"/>
    <x v="485"/>
    <x v="3"/>
    <x v="3"/>
    <x v="2"/>
    <n v="773"/>
    <n v="2"/>
    <n v="177.86"/>
    <n v="294.54000000000002"/>
    <s v="PROMO10"/>
    <n v="0.1"/>
    <x v="3"/>
    <x v="472"/>
    <x v="2"/>
    <d v="2025-09-08T00:00:00"/>
    <d v="2025-09-16T00:00:00"/>
    <d v="2025-09-13T00:00:00"/>
    <x v="0"/>
    <x v="3"/>
    <s v="Tudo certo, nota 10!"/>
    <x v="485"/>
    <n v="355.72"/>
    <x v="484"/>
    <x v="485"/>
    <x v="0"/>
    <x v="0"/>
  </r>
  <r>
    <x v="486"/>
    <n v="112"/>
    <x v="486"/>
    <x v="11"/>
    <x v="11"/>
    <x v="2"/>
    <n v="286"/>
    <n v="2"/>
    <n v="32"/>
    <n v="84.95"/>
    <m/>
    <n v="0"/>
    <x v="2"/>
    <x v="473"/>
    <x v="4"/>
    <d v="2025-09-10T00:00:00"/>
    <d v="2025-09-15T00:00:00"/>
    <d v="2025-09-14T00:00:00"/>
    <x v="0"/>
    <x v="0"/>
    <s v="Produto top, recomendo!"/>
    <x v="486"/>
    <n v="64"/>
    <x v="485"/>
    <x v="486"/>
    <x v="6"/>
    <x v="0"/>
  </r>
  <r>
    <x v="487"/>
    <n v="117"/>
    <x v="487"/>
    <x v="6"/>
    <x v="6"/>
    <x v="2"/>
    <n v="296"/>
    <n v="1"/>
    <n v="64.010000000000005"/>
    <n v="85.01"/>
    <m/>
    <n v="0"/>
    <x v="2"/>
    <x v="474"/>
    <x v="8"/>
    <d v="2025-09-10T00:00:00"/>
    <d v="2025-09-17T00:00:00"/>
    <d v="2025-09-15T00:00:00"/>
    <x v="0"/>
    <x v="3"/>
    <s v="Superou minhas expectativas!"/>
    <x v="487"/>
    <n v="64.010000000000005"/>
    <x v="486"/>
    <x v="487"/>
    <x v="2"/>
    <x v="0"/>
  </r>
  <r>
    <x v="488"/>
    <n v="118"/>
    <x v="488"/>
    <x v="14"/>
    <x v="14"/>
    <x v="0"/>
    <n v="2063"/>
    <n v="2"/>
    <n v="1203.48"/>
    <n v="2184.5100000000002"/>
    <m/>
    <n v="0"/>
    <x v="3"/>
    <x v="475"/>
    <x v="7"/>
    <d v="2025-09-10T00:00:00"/>
    <d v="2025-09-20T00:00:00"/>
    <m/>
    <x v="1"/>
    <x v="1"/>
    <s v="Razoável, poderia ser melhor."/>
    <x v="488"/>
    <n v="2406.96"/>
    <x v="487"/>
    <x v="488"/>
    <x v="3"/>
    <x v="1"/>
  </r>
  <r>
    <x v="489"/>
    <n v="31"/>
    <x v="489"/>
    <x v="6"/>
    <x v="6"/>
    <x v="2"/>
    <n v="217"/>
    <n v="3"/>
    <n v="32.99"/>
    <n v="82.7"/>
    <m/>
    <n v="0"/>
    <x v="2"/>
    <x v="476"/>
    <x v="1"/>
    <d v="2025-09-11T00:00:00"/>
    <d v="2025-09-21T00:00:00"/>
    <d v="2025-09-19T00:00:00"/>
    <x v="0"/>
    <x v="3"/>
    <s v="Superou minhas expectativas!"/>
    <x v="489"/>
    <n v="98.97"/>
    <x v="488"/>
    <x v="489"/>
    <x v="2"/>
    <x v="0"/>
  </r>
  <r>
    <x v="490"/>
    <n v="26"/>
    <x v="490"/>
    <x v="20"/>
    <x v="20"/>
    <x v="3"/>
    <n v="0"/>
    <n v="1"/>
    <n v="217.39"/>
    <n v="511.02"/>
    <m/>
    <n v="0"/>
    <x v="0"/>
    <x v="367"/>
    <x v="1"/>
    <d v="2025-09-10T00:00:00"/>
    <d v="2025-09-17T00:00:00"/>
    <m/>
    <x v="1"/>
    <x v="2"/>
    <s v="Atrasou e a caixa veio amassada."/>
    <x v="490"/>
    <n v="217.39"/>
    <x v="489"/>
    <x v="490"/>
    <x v="3"/>
    <x v="1"/>
  </r>
  <r>
    <x v="491"/>
    <n v="114"/>
    <x v="491"/>
    <x v="22"/>
    <x v="22"/>
    <x v="3"/>
    <n v="0"/>
    <n v="2"/>
    <n v="318.95999999999998"/>
    <n v="682.2"/>
    <m/>
    <n v="0"/>
    <x v="2"/>
    <x v="477"/>
    <x v="1"/>
    <d v="2025-09-10T00:00:00"/>
    <d v="2025-09-17T00:00:00"/>
    <d v="2025-09-15T00:00:00"/>
    <x v="0"/>
    <x v="3"/>
    <s v="Produto top, recomendo!"/>
    <x v="491"/>
    <n v="637.91999999999996"/>
    <x v="490"/>
    <x v="491"/>
    <x v="2"/>
    <x v="0"/>
  </r>
  <r>
    <x v="492"/>
    <n v="179"/>
    <x v="492"/>
    <x v="16"/>
    <x v="16"/>
    <x v="1"/>
    <n v="0"/>
    <n v="3"/>
    <n v="196.61"/>
    <n v="493.85"/>
    <m/>
    <n v="0"/>
    <x v="3"/>
    <x v="478"/>
    <x v="4"/>
    <d v="2025-09-10T00:00:00"/>
    <d v="2025-09-20T00:00:00"/>
    <d v="2025-09-18T00:00:00"/>
    <x v="0"/>
    <x v="0"/>
    <s v="Superou minhas expectativas!"/>
    <x v="492"/>
    <n v="589.83000000000004"/>
    <x v="491"/>
    <x v="492"/>
    <x v="2"/>
    <x v="0"/>
  </r>
  <r>
    <x v="493"/>
    <n v="185"/>
    <x v="493"/>
    <x v="0"/>
    <x v="0"/>
    <x v="0"/>
    <n v="2127"/>
    <n v="3"/>
    <n v="1948.27"/>
    <n v="2954.62"/>
    <s v="OFF20"/>
    <n v="0.2"/>
    <x v="2"/>
    <x v="479"/>
    <x v="3"/>
    <d v="2025-09-12T00:00:00"/>
    <d v="2025-09-22T00:00:00"/>
    <m/>
    <x v="1"/>
    <x v="1"/>
    <s v="Entrega demorou mais que o previsto."/>
    <x v="493"/>
    <n v="5844.8099999999986"/>
    <x v="492"/>
    <x v="493"/>
    <x v="3"/>
    <x v="1"/>
  </r>
  <r>
    <x v="494"/>
    <n v="146"/>
    <x v="494"/>
    <x v="4"/>
    <x v="4"/>
    <x v="0"/>
    <n v="4256"/>
    <n v="1"/>
    <n v="313.79000000000002"/>
    <n v="446.95"/>
    <m/>
    <n v="0"/>
    <x v="0"/>
    <x v="480"/>
    <x v="4"/>
    <d v="2025-09-11T00:00:00"/>
    <d v="2025-09-17T00:00:00"/>
    <d v="2025-09-17T00:00:00"/>
    <x v="0"/>
    <x v="3"/>
    <s v="Parabéns pela agilidade!"/>
    <x v="494"/>
    <n v="313.79000000000002"/>
    <x v="493"/>
    <x v="494"/>
    <x v="4"/>
    <x v="0"/>
  </r>
  <r>
    <x v="495"/>
    <n v="190"/>
    <x v="495"/>
    <x v="11"/>
    <x v="11"/>
    <x v="2"/>
    <n v="257"/>
    <n v="1"/>
    <n v="49.31"/>
    <n v="84.61"/>
    <s v="OFF20"/>
    <n v="0.2"/>
    <x v="2"/>
    <x v="481"/>
    <x v="4"/>
    <d v="2025-09-12T00:00:00"/>
    <d v="2025-09-20T00:00:00"/>
    <m/>
    <x v="2"/>
    <x v="4"/>
    <s v="Suporte ruim, difícil contato."/>
    <x v="495"/>
    <n v="49.31"/>
    <x v="494"/>
    <x v="495"/>
    <x v="3"/>
    <x v="1"/>
  </r>
  <r>
    <x v="496"/>
    <n v="193"/>
    <x v="496"/>
    <x v="11"/>
    <x v="11"/>
    <x v="2"/>
    <n v="295"/>
    <n v="1"/>
    <n v="39.9"/>
    <n v="86.39"/>
    <m/>
    <n v="0"/>
    <x v="3"/>
    <x v="482"/>
    <x v="4"/>
    <d v="2025-09-12T00:00:00"/>
    <d v="2025-09-22T00:00:00"/>
    <d v="2025-09-14T00:00:00"/>
    <x v="0"/>
    <x v="3"/>
    <s v="Superou minhas expectativas!"/>
    <x v="496"/>
    <n v="39.9"/>
    <x v="495"/>
    <x v="496"/>
    <x v="13"/>
    <x v="0"/>
  </r>
  <r>
    <x v="497"/>
    <n v="20"/>
    <x v="497"/>
    <x v="11"/>
    <x v="11"/>
    <x v="2"/>
    <n v="210"/>
    <n v="3"/>
    <n v="20.59"/>
    <n v="61.98"/>
    <s v="PROMO10"/>
    <n v="0.1"/>
    <x v="2"/>
    <x v="483"/>
    <x v="2"/>
    <d v="2025-09-12T00:00:00"/>
    <d v="2025-09-18T00:00:00"/>
    <d v="2025-09-19T00:00:00"/>
    <x v="0"/>
    <x v="2"/>
    <s v="Atendimento ao cliente inexistente."/>
    <x v="497"/>
    <n v="61.77"/>
    <x v="496"/>
    <x v="497"/>
    <x v="8"/>
    <x v="2"/>
  </r>
  <r>
    <x v="498"/>
    <n v="9"/>
    <x v="498"/>
    <x v="12"/>
    <x v="12"/>
    <x v="2"/>
    <n v="583"/>
    <n v="1"/>
    <n v="18.73"/>
    <n v="37.06"/>
    <s v="PROMO10"/>
    <n v="0.1"/>
    <x v="0"/>
    <x v="484"/>
    <x v="4"/>
    <d v="2025-09-12T00:00:00"/>
    <d v="2025-09-18T00:00:00"/>
    <m/>
    <x v="1"/>
    <x v="3"/>
    <s v="Superou minhas expectativas!"/>
    <x v="498"/>
    <n v="18.73"/>
    <x v="497"/>
    <x v="498"/>
    <x v="3"/>
    <x v="1"/>
  </r>
  <r>
    <x v="499"/>
    <n v="176"/>
    <x v="499"/>
    <x v="13"/>
    <x v="13"/>
    <x v="0"/>
    <n v="2099"/>
    <n v="3"/>
    <n v="355.67"/>
    <n v="684.32"/>
    <m/>
    <n v="0"/>
    <x v="2"/>
    <x v="485"/>
    <x v="2"/>
    <d v="2025-09-14T00:00:00"/>
    <d v="2025-09-20T00:00:00"/>
    <m/>
    <x v="1"/>
    <x v="2"/>
    <s v="Atendimento ao cliente inexistente."/>
    <x v="499"/>
    <n v="1067.01"/>
    <x v="498"/>
    <x v="499"/>
    <x v="3"/>
    <x v="1"/>
  </r>
  <r>
    <x v="500"/>
    <n v="106"/>
    <x v="500"/>
    <x v="14"/>
    <x v="14"/>
    <x v="0"/>
    <n v="2063"/>
    <n v="1"/>
    <n v="903.51"/>
    <n v="1900.89"/>
    <m/>
    <n v="0"/>
    <x v="0"/>
    <x v="486"/>
    <x v="13"/>
    <d v="2025-09-14T00:00:00"/>
    <d v="2025-09-20T00:00:00"/>
    <d v="2025-09-20T00:00:00"/>
    <x v="0"/>
    <x v="0"/>
    <s v="Tudo certo, nota 10!"/>
    <x v="500"/>
    <n v="903.51"/>
    <x v="499"/>
    <x v="500"/>
    <x v="4"/>
    <x v="0"/>
  </r>
  <r>
    <x v="501"/>
    <n v="46"/>
    <x v="501"/>
    <x v="6"/>
    <x v="6"/>
    <x v="2"/>
    <n v="267"/>
    <n v="1"/>
    <n v="75.81"/>
    <n v="120.14"/>
    <m/>
    <n v="0"/>
    <x v="0"/>
    <x v="487"/>
    <x v="2"/>
    <d v="2025-09-14T00:00:00"/>
    <d v="2025-09-22T00:00:00"/>
    <d v="2025-09-17T00:00:00"/>
    <x v="0"/>
    <x v="0"/>
    <s v="Tudo certo, nota 10!"/>
    <x v="501"/>
    <n v="75.81"/>
    <x v="500"/>
    <x v="501"/>
    <x v="5"/>
    <x v="0"/>
  </r>
  <r>
    <x v="502"/>
    <n v="5"/>
    <x v="502"/>
    <x v="20"/>
    <x v="20"/>
    <x v="3"/>
    <n v="0"/>
    <n v="3"/>
    <n v="361.26"/>
    <n v="535.03"/>
    <s v="PROMO10"/>
    <n v="0.1"/>
    <x v="0"/>
    <x v="488"/>
    <x v="7"/>
    <d v="2025-09-14T00:00:00"/>
    <d v="2025-09-24T00:00:00"/>
    <d v="2025-09-20T00:00:00"/>
    <x v="0"/>
    <x v="0"/>
    <s v="Parabéns pela agilidade!"/>
    <x v="502"/>
    <n v="1083.78"/>
    <x v="501"/>
    <x v="502"/>
    <x v="1"/>
    <x v="0"/>
  </r>
  <r>
    <x v="503"/>
    <n v="141"/>
    <x v="503"/>
    <x v="0"/>
    <x v="0"/>
    <x v="0"/>
    <n v="2510"/>
    <n v="2"/>
    <n v="2009.52"/>
    <n v="3531.42"/>
    <m/>
    <n v="0"/>
    <x v="0"/>
    <x v="489"/>
    <x v="12"/>
    <d v="2025-09-15T00:00:00"/>
    <d v="2025-09-25T00:00:00"/>
    <m/>
    <x v="2"/>
    <x v="4"/>
    <s v="Embalagem danificada, produto riscado."/>
    <x v="503"/>
    <n v="4019.04"/>
    <x v="502"/>
    <x v="503"/>
    <x v="3"/>
    <x v="1"/>
  </r>
  <r>
    <x v="504"/>
    <n v="68"/>
    <x v="504"/>
    <x v="0"/>
    <x v="0"/>
    <x v="0"/>
    <n v="2164"/>
    <n v="2"/>
    <n v="2205.25"/>
    <n v="3305.91"/>
    <m/>
    <n v="0"/>
    <x v="0"/>
    <x v="490"/>
    <x v="9"/>
    <d v="2025-09-14T00:00:00"/>
    <d v="2025-09-23T00:00:00"/>
    <d v="2025-09-18T00:00:00"/>
    <x v="0"/>
    <x v="3"/>
    <s v="Produto top, recomendo!"/>
    <x v="504"/>
    <n v="4410.5"/>
    <x v="503"/>
    <x v="504"/>
    <x v="5"/>
    <x v="0"/>
  </r>
  <r>
    <x v="505"/>
    <n v="106"/>
    <x v="505"/>
    <x v="10"/>
    <x v="10"/>
    <x v="2"/>
    <n v="220"/>
    <n v="2"/>
    <n v="68.900000000000006"/>
    <n v="84.97"/>
    <m/>
    <n v="0"/>
    <x v="0"/>
    <x v="491"/>
    <x v="2"/>
    <d v="2025-09-14T00:00:00"/>
    <d v="2025-09-23T00:00:00"/>
    <d v="2025-09-22T00:00:00"/>
    <x v="0"/>
    <x v="3"/>
    <s v="Produto de qualidade, entrega pontual."/>
    <x v="505"/>
    <n v="137.80000000000001"/>
    <x v="504"/>
    <x v="505"/>
    <x v="6"/>
    <x v="0"/>
  </r>
  <r>
    <x v="506"/>
    <n v="120"/>
    <x v="506"/>
    <x v="7"/>
    <x v="7"/>
    <x v="0"/>
    <n v="2875"/>
    <n v="1"/>
    <n v="2288.94"/>
    <n v="3511.23"/>
    <m/>
    <n v="0"/>
    <x v="0"/>
    <x v="492"/>
    <x v="11"/>
    <d v="2025-09-16T00:00:00"/>
    <d v="2025-09-21T00:00:00"/>
    <d v="2025-09-20T00:00:00"/>
    <x v="0"/>
    <x v="0"/>
    <s v="Chegou antes do prazo, excelente!"/>
    <x v="506"/>
    <n v="2288.94"/>
    <x v="505"/>
    <x v="506"/>
    <x v="6"/>
    <x v="0"/>
  </r>
  <r>
    <x v="507"/>
    <n v="135"/>
    <x v="507"/>
    <x v="4"/>
    <x v="4"/>
    <x v="0"/>
    <n v="4829"/>
    <n v="2"/>
    <n v="214.69"/>
    <n v="437.7"/>
    <m/>
    <n v="0"/>
    <x v="0"/>
    <x v="493"/>
    <x v="4"/>
    <d v="2025-09-16T00:00:00"/>
    <d v="2025-09-26T00:00:00"/>
    <m/>
    <x v="2"/>
    <x v="1"/>
    <s v="Chegou com pequeno atraso, mas o produto é bom."/>
    <x v="507"/>
    <n v="429.38"/>
    <x v="506"/>
    <x v="507"/>
    <x v="3"/>
    <x v="1"/>
  </r>
  <r>
    <x v="508"/>
    <n v="123"/>
    <x v="508"/>
    <x v="5"/>
    <x v="5"/>
    <x v="2"/>
    <n v="297"/>
    <n v="3"/>
    <n v="65.38"/>
    <n v="89.87"/>
    <m/>
    <n v="0"/>
    <x v="3"/>
    <x v="494"/>
    <x v="2"/>
    <d v="2025-09-16T00:00:00"/>
    <d v="2025-09-24T00:00:00"/>
    <d v="2025-09-19T00:00:00"/>
    <x v="0"/>
    <x v="3"/>
    <s v="Excelente atendimento e entrega."/>
    <x v="508"/>
    <n v="196.14"/>
    <x v="507"/>
    <x v="508"/>
    <x v="5"/>
    <x v="0"/>
  </r>
  <r>
    <x v="509"/>
    <n v="6"/>
    <x v="509"/>
    <x v="19"/>
    <x v="19"/>
    <x v="0"/>
    <n v="4046"/>
    <n v="1"/>
    <n v="549.24"/>
    <n v="1503.73"/>
    <m/>
    <n v="0"/>
    <x v="1"/>
    <x v="495"/>
    <x v="7"/>
    <d v="2025-09-17T00:00:00"/>
    <d v="2025-09-25T00:00:00"/>
    <d v="2025-09-21T00:00:00"/>
    <x v="0"/>
    <x v="0"/>
    <s v="Superou minhas expectativas!"/>
    <x v="509"/>
    <n v="549.24"/>
    <x v="508"/>
    <x v="509"/>
    <x v="1"/>
    <x v="0"/>
  </r>
  <r>
    <x v="510"/>
    <n v="83"/>
    <x v="510"/>
    <x v="13"/>
    <x v="13"/>
    <x v="0"/>
    <n v="2066"/>
    <n v="1"/>
    <n v="286.72000000000003"/>
    <n v="636.22"/>
    <m/>
    <n v="0"/>
    <x v="2"/>
    <x v="496"/>
    <x v="4"/>
    <d v="2025-09-17T00:00:00"/>
    <d v="2025-09-23T00:00:00"/>
    <d v="2025-09-21T00:00:00"/>
    <x v="0"/>
    <x v="0"/>
    <s v="Muito bom, sem reclamações."/>
    <x v="510"/>
    <n v="286.72000000000003"/>
    <x v="509"/>
    <x v="510"/>
    <x v="2"/>
    <x v="0"/>
  </r>
  <r>
    <x v="511"/>
    <n v="146"/>
    <x v="511"/>
    <x v="16"/>
    <x v="16"/>
    <x v="1"/>
    <n v="0"/>
    <n v="3"/>
    <n v="73.31"/>
    <n v="99.46"/>
    <m/>
    <n v="0"/>
    <x v="0"/>
    <x v="497"/>
    <x v="7"/>
    <d v="2025-09-17T00:00:00"/>
    <d v="2025-09-26T00:00:00"/>
    <d v="2025-09-26T00:00:00"/>
    <x v="0"/>
    <x v="0"/>
    <s v="Produto top, recomendo!"/>
    <x v="511"/>
    <n v="219.93"/>
    <x v="510"/>
    <x v="511"/>
    <x v="4"/>
    <x v="0"/>
  </r>
  <r>
    <x v="512"/>
    <n v="188"/>
    <x v="512"/>
    <x v="15"/>
    <x v="15"/>
    <x v="3"/>
    <n v="0"/>
    <n v="1"/>
    <n v="338.85"/>
    <n v="450.76"/>
    <m/>
    <n v="0"/>
    <x v="0"/>
    <x v="498"/>
    <x v="6"/>
    <d v="2025-09-17T00:00:00"/>
    <d v="2025-09-24T00:00:00"/>
    <d v="2025-09-24T00:00:00"/>
    <x v="0"/>
    <x v="3"/>
    <s v="Qualidade impecável, voltarei a comprar."/>
    <x v="512"/>
    <n v="338.85"/>
    <x v="511"/>
    <x v="512"/>
    <x v="4"/>
    <x v="0"/>
  </r>
  <r>
    <x v="513"/>
    <n v="107"/>
    <x v="513"/>
    <x v="2"/>
    <x v="2"/>
    <x v="1"/>
    <n v="0"/>
    <n v="1"/>
    <n v="50.61"/>
    <n v="59.99"/>
    <m/>
    <n v="0"/>
    <x v="3"/>
    <x v="499"/>
    <x v="5"/>
    <d v="2025-09-16T00:00:00"/>
    <d v="2025-09-22T00:00:00"/>
    <d v="2025-09-19T00:00:00"/>
    <x v="0"/>
    <x v="0"/>
    <s v="Produto top, recomendo!"/>
    <x v="513"/>
    <n v="50.61"/>
    <x v="512"/>
    <x v="513"/>
    <x v="0"/>
    <x v="0"/>
  </r>
  <r>
    <x v="514"/>
    <n v="81"/>
    <x v="514"/>
    <x v="3"/>
    <x v="3"/>
    <x v="2"/>
    <n v="635"/>
    <n v="1"/>
    <n v="96.23"/>
    <n v="312.41000000000003"/>
    <s v="PROMO10"/>
    <n v="0.1"/>
    <x v="3"/>
    <x v="500"/>
    <x v="13"/>
    <d v="2025-09-17T00:00:00"/>
    <d v="2025-09-22T00:00:00"/>
    <d v="2025-09-21T00:00:00"/>
    <x v="0"/>
    <x v="3"/>
    <s v="Frete rápido, adorei!"/>
    <x v="514"/>
    <n v="96.23"/>
    <x v="513"/>
    <x v="514"/>
    <x v="6"/>
    <x v="0"/>
  </r>
  <r>
    <x v="515"/>
    <n v="57"/>
    <x v="515"/>
    <x v="6"/>
    <x v="6"/>
    <x v="2"/>
    <n v="235"/>
    <n v="1"/>
    <n v="46.82"/>
    <n v="72"/>
    <m/>
    <n v="0"/>
    <x v="0"/>
    <x v="501"/>
    <x v="0"/>
    <d v="2025-09-18T00:00:00"/>
    <d v="2025-09-23T00:00:00"/>
    <d v="2025-09-21T00:00:00"/>
    <x v="0"/>
    <x v="0"/>
    <s v="Produto de qualidade, entrega pontual."/>
    <x v="515"/>
    <n v="46.82"/>
    <x v="514"/>
    <x v="515"/>
    <x v="2"/>
    <x v="0"/>
  </r>
  <r>
    <x v="516"/>
    <n v="88"/>
    <x v="516"/>
    <x v="22"/>
    <x v="22"/>
    <x v="3"/>
    <n v="0"/>
    <n v="1"/>
    <n v="482.09"/>
    <n v="591.33000000000004"/>
    <m/>
    <n v="0"/>
    <x v="3"/>
    <x v="502"/>
    <x v="3"/>
    <d v="2025-09-17T00:00:00"/>
    <d v="2025-09-26T00:00:00"/>
    <d v="2025-09-21T00:00:00"/>
    <x v="0"/>
    <x v="0"/>
    <s v="Entrega no prazo e produto conforme descrito."/>
    <x v="516"/>
    <n v="482.09"/>
    <x v="515"/>
    <x v="516"/>
    <x v="5"/>
    <x v="0"/>
  </r>
  <r>
    <x v="517"/>
    <n v="84"/>
    <x v="517"/>
    <x v="7"/>
    <x v="7"/>
    <x v="0"/>
    <n v="2680"/>
    <n v="1"/>
    <n v="2155.4299999999998"/>
    <n v="4804.41"/>
    <m/>
    <n v="0"/>
    <x v="2"/>
    <x v="503"/>
    <x v="6"/>
    <d v="2025-09-17T00:00:00"/>
    <d v="2025-09-27T00:00:00"/>
    <d v="2025-09-23T00:00:00"/>
    <x v="0"/>
    <x v="0"/>
    <s v="Ótimo custo-benefício!"/>
    <x v="517"/>
    <n v="2155.4299999999998"/>
    <x v="516"/>
    <x v="517"/>
    <x v="1"/>
    <x v="0"/>
  </r>
  <r>
    <x v="518"/>
    <n v="34"/>
    <x v="518"/>
    <x v="13"/>
    <x v="13"/>
    <x v="0"/>
    <n v="2084"/>
    <n v="2"/>
    <n v="297.06"/>
    <n v="372.83"/>
    <s v="OFF20"/>
    <n v="0.2"/>
    <x v="3"/>
    <x v="504"/>
    <x v="7"/>
    <d v="2025-09-17T00:00:00"/>
    <d v="2025-09-27T00:00:00"/>
    <m/>
    <x v="1"/>
    <x v="1"/>
    <s v="Produto ok, mas a entrega atrasou um pouco."/>
    <x v="518"/>
    <n v="594.12"/>
    <x v="517"/>
    <x v="518"/>
    <x v="3"/>
    <x v="1"/>
  </r>
  <r>
    <x v="519"/>
    <n v="117"/>
    <x v="519"/>
    <x v="15"/>
    <x v="15"/>
    <x v="3"/>
    <n v="0"/>
    <n v="3"/>
    <n v="420.3"/>
    <n v="508.63"/>
    <m/>
    <n v="0"/>
    <x v="1"/>
    <x v="505"/>
    <x v="2"/>
    <d v="2025-09-17T00:00:00"/>
    <d v="2025-09-24T00:00:00"/>
    <d v="2025-09-21T00:00:00"/>
    <x v="0"/>
    <x v="0"/>
    <s v="Qualidade impecável, voltarei a comprar."/>
    <x v="519"/>
    <n v="1260.9000000000001"/>
    <x v="518"/>
    <x v="519"/>
    <x v="0"/>
    <x v="0"/>
  </r>
  <r>
    <x v="520"/>
    <n v="28"/>
    <x v="520"/>
    <x v="13"/>
    <x v="13"/>
    <x v="0"/>
    <n v="2085"/>
    <n v="2"/>
    <n v="296.63"/>
    <n v="529.09"/>
    <s v="PROMO10"/>
    <n v="0.1"/>
    <x v="1"/>
    <x v="506"/>
    <x v="5"/>
    <d v="2025-09-18T00:00:00"/>
    <d v="2025-09-24T00:00:00"/>
    <d v="2025-09-24T00:00:00"/>
    <x v="0"/>
    <x v="3"/>
    <s v="Tudo certo, nota 10!"/>
    <x v="520"/>
    <n v="593.26"/>
    <x v="519"/>
    <x v="520"/>
    <x v="4"/>
    <x v="0"/>
  </r>
  <r>
    <x v="521"/>
    <n v="8"/>
    <x v="521"/>
    <x v="13"/>
    <x v="13"/>
    <x v="0"/>
    <n v="2093"/>
    <n v="2"/>
    <n v="366.02"/>
    <n v="567.16999999999996"/>
    <m/>
    <n v="0"/>
    <x v="3"/>
    <x v="507"/>
    <x v="4"/>
    <d v="2025-09-17T00:00:00"/>
    <d v="2025-09-26T00:00:00"/>
    <d v="2025-09-26T00:00:00"/>
    <x v="0"/>
    <x v="0"/>
    <s v="Excelente atendimento e entrega."/>
    <x v="521"/>
    <n v="732.04"/>
    <x v="520"/>
    <x v="521"/>
    <x v="4"/>
    <x v="0"/>
  </r>
  <r>
    <x v="522"/>
    <n v="62"/>
    <x v="522"/>
    <x v="15"/>
    <x v="15"/>
    <x v="3"/>
    <n v="0"/>
    <n v="1"/>
    <n v="251.55"/>
    <n v="738.95"/>
    <s v="OFF20"/>
    <n v="0.2"/>
    <x v="3"/>
    <x v="508"/>
    <x v="2"/>
    <d v="2025-09-18T00:00:00"/>
    <d v="2025-09-25T00:00:00"/>
    <m/>
    <x v="3"/>
    <x v="1"/>
    <s v="Entrega demorou mais que o previsto."/>
    <x v="522"/>
    <n v="251.55"/>
    <x v="521"/>
    <x v="522"/>
    <x v="3"/>
    <x v="1"/>
  </r>
  <r>
    <x v="523"/>
    <n v="147"/>
    <x v="523"/>
    <x v="14"/>
    <x v="14"/>
    <x v="0"/>
    <n v="2157"/>
    <n v="2"/>
    <n v="1348.22"/>
    <n v="1835.6"/>
    <m/>
    <n v="0"/>
    <x v="2"/>
    <x v="509"/>
    <x v="2"/>
    <d v="2025-09-17T00:00:00"/>
    <d v="2025-09-26T00:00:00"/>
    <d v="2025-09-29T00:00:00"/>
    <x v="0"/>
    <x v="2"/>
    <s v="Produto chegou com defeito."/>
    <x v="523"/>
    <n v="2696.44"/>
    <x v="522"/>
    <x v="523"/>
    <x v="11"/>
    <x v="2"/>
  </r>
  <r>
    <x v="524"/>
    <n v="94"/>
    <x v="524"/>
    <x v="10"/>
    <x v="10"/>
    <x v="2"/>
    <n v="294"/>
    <n v="3"/>
    <n v="49.39"/>
    <n v="154.94"/>
    <m/>
    <n v="0"/>
    <x v="0"/>
    <x v="510"/>
    <x v="7"/>
    <d v="2025-09-18T00:00:00"/>
    <d v="2025-09-26T00:00:00"/>
    <d v="2025-09-24T00:00:00"/>
    <x v="0"/>
    <x v="3"/>
    <s v="Parabéns pela agilidade!"/>
    <x v="524"/>
    <n v="148.16999999999999"/>
    <x v="523"/>
    <x v="524"/>
    <x v="2"/>
    <x v="0"/>
  </r>
  <r>
    <x v="525"/>
    <n v="81"/>
    <x v="525"/>
    <x v="13"/>
    <x v="13"/>
    <x v="0"/>
    <n v="2029"/>
    <n v="1"/>
    <n v="380.83"/>
    <n v="608.23"/>
    <m/>
    <n v="0"/>
    <x v="2"/>
    <x v="511"/>
    <x v="9"/>
    <d v="2025-09-18T00:00:00"/>
    <d v="2025-09-28T00:00:00"/>
    <m/>
    <x v="3"/>
    <x v="1"/>
    <s v="Embalagem poderia ser melhor."/>
    <x v="525"/>
    <n v="380.83"/>
    <x v="524"/>
    <x v="525"/>
    <x v="3"/>
    <x v="1"/>
  </r>
  <r>
    <x v="526"/>
    <n v="180"/>
    <x v="526"/>
    <x v="16"/>
    <x v="16"/>
    <x v="1"/>
    <n v="0"/>
    <n v="3"/>
    <n v="58.19"/>
    <n v="209.27"/>
    <s v="PROMO10"/>
    <n v="0.1"/>
    <x v="0"/>
    <x v="512"/>
    <x v="8"/>
    <d v="2025-09-18T00:00:00"/>
    <d v="2025-09-24T00:00:00"/>
    <d v="2025-09-21T00:00:00"/>
    <x v="0"/>
    <x v="0"/>
    <s v="Chegou antes do prazo, excelente!"/>
    <x v="526"/>
    <n v="174.57"/>
    <x v="525"/>
    <x v="526"/>
    <x v="0"/>
    <x v="0"/>
  </r>
  <r>
    <x v="527"/>
    <n v="83"/>
    <x v="527"/>
    <x v="18"/>
    <x v="18"/>
    <x v="0"/>
    <n v="2798"/>
    <n v="1"/>
    <n v="399.32"/>
    <n v="594.58000000000004"/>
    <m/>
    <n v="0"/>
    <x v="1"/>
    <x v="513"/>
    <x v="13"/>
    <d v="2025-09-19T00:00:00"/>
    <d v="2025-09-26T00:00:00"/>
    <m/>
    <x v="1"/>
    <x v="2"/>
    <s v="Nunca mais compro aqui."/>
    <x v="527"/>
    <n v="399.32"/>
    <x v="526"/>
    <x v="527"/>
    <x v="3"/>
    <x v="1"/>
  </r>
  <r>
    <x v="528"/>
    <n v="121"/>
    <x v="528"/>
    <x v="7"/>
    <x v="7"/>
    <x v="0"/>
    <n v="2564"/>
    <n v="3"/>
    <n v="2284.52"/>
    <n v="4575.25"/>
    <m/>
    <n v="0"/>
    <x v="3"/>
    <x v="514"/>
    <x v="2"/>
    <d v="2025-09-20T00:00:00"/>
    <d v="2025-09-30T00:00:00"/>
    <d v="2025-09-30T00:00:00"/>
    <x v="0"/>
    <x v="3"/>
    <s v="Chegou antes do prazo, excelente!"/>
    <x v="528"/>
    <n v="6853.5599999999986"/>
    <x v="527"/>
    <x v="528"/>
    <x v="4"/>
    <x v="0"/>
  </r>
  <r>
    <x v="529"/>
    <n v="59"/>
    <x v="529"/>
    <x v="19"/>
    <x v="19"/>
    <x v="0"/>
    <n v="4655"/>
    <n v="1"/>
    <n v="821.48"/>
    <n v="1108.6099999999999"/>
    <s v="OFF20"/>
    <n v="0.2"/>
    <x v="3"/>
    <x v="515"/>
    <x v="1"/>
    <d v="2025-09-21T00:00:00"/>
    <d v="2025-09-27T00:00:00"/>
    <d v="2025-09-25T00:00:00"/>
    <x v="0"/>
    <x v="3"/>
    <s v="Parabéns pela agilidade!"/>
    <x v="529"/>
    <n v="821.48"/>
    <x v="528"/>
    <x v="529"/>
    <x v="2"/>
    <x v="0"/>
  </r>
  <r>
    <x v="530"/>
    <n v="43"/>
    <x v="530"/>
    <x v="1"/>
    <x v="1"/>
    <x v="0"/>
    <n v="2015"/>
    <n v="3"/>
    <n v="753.99"/>
    <n v="1246.4100000000001"/>
    <m/>
    <n v="0"/>
    <x v="3"/>
    <x v="516"/>
    <x v="1"/>
    <d v="2025-09-23T00:00:00"/>
    <d v="2025-09-28T00:00:00"/>
    <d v="2025-10-03T00:00:00"/>
    <x v="0"/>
    <x v="1"/>
    <s v="Nada de especial, cumpriu o básico."/>
    <x v="530"/>
    <n v="2261.9699999999998"/>
    <x v="529"/>
    <x v="530"/>
    <x v="10"/>
    <x v="2"/>
  </r>
  <r>
    <x v="531"/>
    <n v="126"/>
    <x v="531"/>
    <x v="13"/>
    <x v="13"/>
    <x v="0"/>
    <n v="2075"/>
    <n v="3"/>
    <n v="382.35"/>
    <n v="614.80999999999995"/>
    <m/>
    <n v="0"/>
    <x v="0"/>
    <x v="517"/>
    <x v="7"/>
    <d v="2025-09-22T00:00:00"/>
    <d v="2025-09-27T00:00:00"/>
    <d v="2025-09-27T00:00:00"/>
    <x v="0"/>
    <x v="3"/>
    <s v="Produto top, recomendo!"/>
    <x v="531"/>
    <n v="1147.05"/>
    <x v="530"/>
    <x v="531"/>
    <x v="4"/>
    <x v="0"/>
  </r>
  <r>
    <x v="532"/>
    <n v="23"/>
    <x v="532"/>
    <x v="22"/>
    <x v="22"/>
    <x v="3"/>
    <n v="0"/>
    <n v="2"/>
    <n v="434.82"/>
    <n v="787.4"/>
    <m/>
    <n v="0"/>
    <x v="1"/>
    <x v="518"/>
    <x v="14"/>
    <d v="2025-09-22T00:00:00"/>
    <d v="2025-09-27T00:00:00"/>
    <d v="2025-09-26T00:00:00"/>
    <x v="0"/>
    <x v="3"/>
    <s v="Muito bom, sem reclamações."/>
    <x v="532"/>
    <n v="869.64"/>
    <x v="531"/>
    <x v="532"/>
    <x v="6"/>
    <x v="0"/>
  </r>
  <r>
    <x v="533"/>
    <n v="100"/>
    <x v="533"/>
    <x v="10"/>
    <x v="10"/>
    <x v="2"/>
    <n v="230"/>
    <n v="3"/>
    <n v="46.06"/>
    <n v="112.63"/>
    <s v="PROMO10"/>
    <n v="0.1"/>
    <x v="0"/>
    <x v="519"/>
    <x v="2"/>
    <d v="2025-09-23T00:00:00"/>
    <d v="2025-09-30T00:00:00"/>
    <m/>
    <x v="1"/>
    <x v="2"/>
    <s v="Produto extraviado, tive que abrir reclamação."/>
    <x v="533"/>
    <n v="138.18"/>
    <x v="532"/>
    <x v="533"/>
    <x v="3"/>
    <x v="1"/>
  </r>
  <r>
    <x v="534"/>
    <n v="101"/>
    <x v="534"/>
    <x v="6"/>
    <x v="6"/>
    <x v="2"/>
    <n v="349"/>
    <n v="2"/>
    <n v="38.96"/>
    <n v="130.68"/>
    <s v="OFF20"/>
    <n v="0.2"/>
    <x v="3"/>
    <x v="520"/>
    <x v="4"/>
    <d v="2025-09-23T00:00:00"/>
    <d v="2025-09-28T00:00:00"/>
    <d v="2025-09-25T00:00:00"/>
    <x v="0"/>
    <x v="3"/>
    <s v="Excelente atendimento e entrega."/>
    <x v="534"/>
    <n v="77.92"/>
    <x v="533"/>
    <x v="534"/>
    <x v="0"/>
    <x v="0"/>
  </r>
  <r>
    <x v="535"/>
    <n v="148"/>
    <x v="535"/>
    <x v="7"/>
    <x v="7"/>
    <x v="0"/>
    <n v="2287"/>
    <n v="3"/>
    <n v="2923.08"/>
    <n v="3875.72"/>
    <m/>
    <n v="0"/>
    <x v="3"/>
    <x v="521"/>
    <x v="14"/>
    <d v="2025-09-25T00:00:00"/>
    <d v="2025-10-05T00:00:00"/>
    <d v="2025-10-05T00:00:00"/>
    <x v="0"/>
    <x v="3"/>
    <s v="Muito bom, sem reclamações."/>
    <x v="535"/>
    <n v="8769.24"/>
    <x v="534"/>
    <x v="535"/>
    <x v="4"/>
    <x v="0"/>
  </r>
  <r>
    <x v="536"/>
    <n v="158"/>
    <x v="536"/>
    <x v="16"/>
    <x v="16"/>
    <x v="1"/>
    <n v="0"/>
    <n v="1"/>
    <n v="66.739999999999995"/>
    <n v="208.92"/>
    <m/>
    <n v="0"/>
    <x v="0"/>
    <x v="522"/>
    <x v="4"/>
    <d v="2025-09-25T00:00:00"/>
    <d v="2025-10-04T00:00:00"/>
    <d v="2025-09-30T00:00:00"/>
    <x v="0"/>
    <x v="3"/>
    <s v="Frete rápido, adorei!"/>
    <x v="536"/>
    <n v="66.739999999999995"/>
    <x v="535"/>
    <x v="536"/>
    <x v="1"/>
    <x v="0"/>
  </r>
  <r>
    <x v="537"/>
    <n v="200"/>
    <x v="537"/>
    <x v="2"/>
    <x v="2"/>
    <x v="1"/>
    <n v="0"/>
    <n v="2"/>
    <n v="38.74"/>
    <n v="94.08"/>
    <m/>
    <n v="0"/>
    <x v="3"/>
    <x v="523"/>
    <x v="4"/>
    <d v="2025-09-26T00:00:00"/>
    <d v="2025-10-01T00:00:00"/>
    <d v="2025-10-04T00:00:00"/>
    <x v="0"/>
    <x v="2"/>
    <s v="Atrasou e a caixa veio amassada."/>
    <x v="537"/>
    <n v="77.48"/>
    <x v="536"/>
    <x v="537"/>
    <x v="11"/>
    <x v="2"/>
  </r>
  <r>
    <x v="538"/>
    <n v="135"/>
    <x v="538"/>
    <x v="7"/>
    <x v="7"/>
    <x v="0"/>
    <n v="2842"/>
    <n v="2"/>
    <n v="2596.91"/>
    <n v="4194.8"/>
    <m/>
    <n v="0"/>
    <x v="1"/>
    <x v="524"/>
    <x v="2"/>
    <d v="2025-09-27T00:00:00"/>
    <d v="2025-10-07T00:00:00"/>
    <d v="2025-10-05T00:00:00"/>
    <x v="0"/>
    <x v="0"/>
    <s v="Superou minhas expectativas!"/>
    <x v="538"/>
    <n v="5193.82"/>
    <x v="537"/>
    <x v="538"/>
    <x v="2"/>
    <x v="0"/>
  </r>
  <r>
    <x v="539"/>
    <n v="92"/>
    <x v="539"/>
    <x v="21"/>
    <x v="21"/>
    <x v="3"/>
    <n v="0"/>
    <n v="1"/>
    <n v="298.95999999999998"/>
    <n v="347.29"/>
    <s v="PROMO10"/>
    <n v="0.1"/>
    <x v="3"/>
    <x v="525"/>
    <x v="8"/>
    <d v="2025-09-26T00:00:00"/>
    <d v="2025-10-04T00:00:00"/>
    <d v="2025-10-02T00:00:00"/>
    <x v="0"/>
    <x v="0"/>
    <s v="Entrega rápida, muito satisfeito!"/>
    <x v="539"/>
    <n v="298.95999999999998"/>
    <x v="538"/>
    <x v="539"/>
    <x v="2"/>
    <x v="0"/>
  </r>
  <r>
    <x v="540"/>
    <n v="106"/>
    <x v="540"/>
    <x v="20"/>
    <x v="20"/>
    <x v="3"/>
    <n v="0"/>
    <n v="3"/>
    <n v="221.47"/>
    <n v="626.95000000000005"/>
    <s v="OFF20"/>
    <n v="0.2"/>
    <x v="2"/>
    <x v="526"/>
    <x v="11"/>
    <d v="2025-09-27T00:00:00"/>
    <d v="2025-10-02T00:00:00"/>
    <d v="2025-10-07T00:00:00"/>
    <x v="0"/>
    <x v="2"/>
    <s v="Produto extraviado, tive que abrir reclamação."/>
    <x v="540"/>
    <n v="664.41"/>
    <x v="539"/>
    <x v="540"/>
    <x v="10"/>
    <x v="2"/>
  </r>
  <r>
    <x v="541"/>
    <n v="54"/>
    <x v="541"/>
    <x v="1"/>
    <x v="1"/>
    <x v="0"/>
    <n v="2639"/>
    <n v="3"/>
    <n v="621.17999999999995"/>
    <n v="1478.67"/>
    <m/>
    <n v="0"/>
    <x v="2"/>
    <x v="527"/>
    <x v="8"/>
    <d v="2025-09-28T00:00:00"/>
    <d v="2025-10-04T00:00:00"/>
    <d v="2025-10-03T00:00:00"/>
    <x v="0"/>
    <x v="0"/>
    <s v="Produto top, recomendo!"/>
    <x v="541"/>
    <n v="1863.54"/>
    <x v="540"/>
    <x v="541"/>
    <x v="6"/>
    <x v="0"/>
  </r>
  <r>
    <x v="542"/>
    <n v="146"/>
    <x v="542"/>
    <x v="21"/>
    <x v="21"/>
    <x v="3"/>
    <n v="0"/>
    <n v="3"/>
    <n v="154.66999999999999"/>
    <n v="583.09"/>
    <m/>
    <n v="0"/>
    <x v="2"/>
    <x v="528"/>
    <x v="1"/>
    <d v="2025-09-29T00:00:00"/>
    <d v="2025-10-05T00:00:00"/>
    <d v="2025-10-04T00:00:00"/>
    <x v="0"/>
    <x v="3"/>
    <s v="Produto original, vendedor confiável."/>
    <x v="542"/>
    <n v="464.01"/>
    <x v="541"/>
    <x v="542"/>
    <x v="6"/>
    <x v="0"/>
  </r>
  <r>
    <x v="543"/>
    <n v="6"/>
    <x v="543"/>
    <x v="11"/>
    <x v="11"/>
    <x v="2"/>
    <n v="249"/>
    <n v="2"/>
    <n v="57.05"/>
    <n v="111.37"/>
    <s v="OFF20"/>
    <n v="0.2"/>
    <x v="2"/>
    <x v="529"/>
    <x v="4"/>
    <d v="2025-09-28T00:00:00"/>
    <d v="2025-10-07T00:00:00"/>
    <d v="2025-10-01T00:00:00"/>
    <x v="0"/>
    <x v="3"/>
    <s v="Embalagem perfeita, produto intacto."/>
    <x v="543"/>
    <n v="114.1"/>
    <x v="542"/>
    <x v="543"/>
    <x v="12"/>
    <x v="0"/>
  </r>
  <r>
    <x v="544"/>
    <n v="170"/>
    <x v="544"/>
    <x v="3"/>
    <x v="3"/>
    <x v="2"/>
    <n v="758"/>
    <n v="2"/>
    <n v="105.91"/>
    <n v="174.35"/>
    <m/>
    <n v="0"/>
    <x v="1"/>
    <x v="530"/>
    <x v="9"/>
    <d v="2025-09-30T00:00:00"/>
    <d v="2025-10-10T00:00:00"/>
    <m/>
    <x v="2"/>
    <x v="4"/>
    <s v="Atendimento ao cliente inexistente."/>
    <x v="544"/>
    <n v="211.82"/>
    <x v="543"/>
    <x v="544"/>
    <x v="3"/>
    <x v="1"/>
  </r>
  <r>
    <x v="545"/>
    <n v="84"/>
    <x v="545"/>
    <x v="13"/>
    <x v="13"/>
    <x v="0"/>
    <n v="2086"/>
    <n v="3"/>
    <n v="218.72"/>
    <n v="541.79"/>
    <s v="OFF20"/>
    <n v="0.2"/>
    <x v="3"/>
    <x v="531"/>
    <x v="8"/>
    <d v="2025-09-30T00:00:00"/>
    <d v="2025-10-08T00:00:00"/>
    <d v="2025-10-13T00:00:00"/>
    <x v="0"/>
    <x v="2"/>
    <s v="Suporte ruim, difícil contato."/>
    <x v="545"/>
    <n v="656.16"/>
    <x v="544"/>
    <x v="545"/>
    <x v="10"/>
    <x v="2"/>
  </r>
  <r>
    <x v="546"/>
    <n v="66"/>
    <x v="546"/>
    <x v="2"/>
    <x v="2"/>
    <x v="1"/>
    <n v="0"/>
    <n v="3"/>
    <n v="42.22"/>
    <n v="121.74"/>
    <s v="OFF20"/>
    <n v="0.2"/>
    <x v="3"/>
    <x v="532"/>
    <x v="2"/>
    <d v="2025-10-01T00:00:00"/>
    <d v="2025-10-10T00:00:00"/>
    <m/>
    <x v="3"/>
    <x v="4"/>
    <s v="Pior experiência de compra online."/>
    <x v="546"/>
    <n v="126.66"/>
    <x v="545"/>
    <x v="546"/>
    <x v="3"/>
    <x v="1"/>
  </r>
  <r>
    <x v="547"/>
    <n v="40"/>
    <x v="547"/>
    <x v="5"/>
    <x v="5"/>
    <x v="2"/>
    <n v="216"/>
    <n v="1"/>
    <n v="54.55"/>
    <n v="91.95"/>
    <m/>
    <n v="0"/>
    <x v="0"/>
    <x v="533"/>
    <x v="2"/>
    <d v="2025-10-01T00:00:00"/>
    <d v="2025-10-06T00:00:00"/>
    <d v="2025-10-08T00:00:00"/>
    <x v="0"/>
    <x v="1"/>
    <s v="Embalagem poderia ser melhor."/>
    <x v="547"/>
    <n v="54.55"/>
    <x v="546"/>
    <x v="547"/>
    <x v="14"/>
    <x v="2"/>
  </r>
  <r>
    <x v="548"/>
    <n v="145"/>
    <x v="548"/>
    <x v="0"/>
    <x v="0"/>
    <x v="0"/>
    <n v="2166"/>
    <n v="2"/>
    <n v="1602.59"/>
    <n v="3258.89"/>
    <s v="PROMO10"/>
    <n v="0.1"/>
    <x v="0"/>
    <x v="534"/>
    <x v="2"/>
    <d v="2025-10-01T00:00:00"/>
    <d v="2025-10-09T00:00:00"/>
    <d v="2025-10-03T00:00:00"/>
    <x v="0"/>
    <x v="3"/>
    <s v="Produto de qualidade, entrega pontual."/>
    <x v="548"/>
    <n v="3205.18"/>
    <x v="547"/>
    <x v="548"/>
    <x v="12"/>
    <x v="0"/>
  </r>
  <r>
    <x v="549"/>
    <n v="100"/>
    <x v="549"/>
    <x v="4"/>
    <x v="4"/>
    <x v="0"/>
    <n v="4318"/>
    <n v="2"/>
    <n v="297.27"/>
    <n v="480.02"/>
    <m/>
    <n v="0"/>
    <x v="0"/>
    <x v="535"/>
    <x v="8"/>
    <d v="2025-10-02T00:00:00"/>
    <d v="2025-10-10T00:00:00"/>
    <m/>
    <x v="1"/>
    <x v="2"/>
    <s v="Produto não era o que esperava."/>
    <x v="549"/>
    <n v="594.54"/>
    <x v="548"/>
    <x v="549"/>
    <x v="3"/>
    <x v="1"/>
  </r>
  <r>
    <x v="550"/>
    <n v="58"/>
    <x v="550"/>
    <x v="13"/>
    <x v="13"/>
    <x v="0"/>
    <n v="2038"/>
    <n v="1"/>
    <n v="305.89999999999998"/>
    <n v="600.73"/>
    <m/>
    <n v="0"/>
    <x v="2"/>
    <x v="536"/>
    <x v="2"/>
    <d v="2025-10-03T00:00:00"/>
    <d v="2025-10-09T00:00:00"/>
    <m/>
    <x v="3"/>
    <x v="2"/>
    <s v="Não recomendo, péssima experiência."/>
    <x v="550"/>
    <n v="305.89999999999998"/>
    <x v="549"/>
    <x v="550"/>
    <x v="3"/>
    <x v="1"/>
  </r>
  <r>
    <x v="551"/>
    <n v="172"/>
    <x v="551"/>
    <x v="21"/>
    <x v="21"/>
    <x v="3"/>
    <n v="0"/>
    <n v="3"/>
    <n v="239.87"/>
    <n v="589.78"/>
    <m/>
    <n v="0"/>
    <x v="2"/>
    <x v="537"/>
    <x v="1"/>
    <d v="2025-10-02T00:00:00"/>
    <d v="2025-10-11T00:00:00"/>
    <d v="2025-10-06T00:00:00"/>
    <x v="0"/>
    <x v="0"/>
    <s v="Superou minhas expectativas!"/>
    <x v="551"/>
    <n v="719.61"/>
    <x v="550"/>
    <x v="551"/>
    <x v="5"/>
    <x v="0"/>
  </r>
  <r>
    <x v="552"/>
    <n v="127"/>
    <x v="552"/>
    <x v="19"/>
    <x v="19"/>
    <x v="0"/>
    <n v="3858"/>
    <n v="2"/>
    <n v="920.44"/>
    <n v="1159.23"/>
    <m/>
    <n v="0"/>
    <x v="3"/>
    <x v="538"/>
    <x v="13"/>
    <d v="2025-10-02T00:00:00"/>
    <d v="2025-10-10T00:00:00"/>
    <d v="2025-10-04T00:00:00"/>
    <x v="0"/>
    <x v="0"/>
    <s v="Parabéns pela agilidade!"/>
    <x v="552"/>
    <n v="1840.88"/>
    <x v="551"/>
    <x v="552"/>
    <x v="12"/>
    <x v="0"/>
  </r>
  <r>
    <x v="553"/>
    <n v="149"/>
    <x v="553"/>
    <x v="7"/>
    <x v="7"/>
    <x v="0"/>
    <n v="2404"/>
    <n v="2"/>
    <n v="2915.28"/>
    <n v="4104.63"/>
    <s v="PROMO10"/>
    <n v="0.1"/>
    <x v="0"/>
    <x v="539"/>
    <x v="13"/>
    <d v="2025-10-03T00:00:00"/>
    <d v="2025-10-12T00:00:00"/>
    <d v="2025-10-12T00:00:00"/>
    <x v="0"/>
    <x v="0"/>
    <s v="Produto original, vendedor confiável."/>
    <x v="553"/>
    <n v="5830.56"/>
    <x v="552"/>
    <x v="553"/>
    <x v="4"/>
    <x v="0"/>
  </r>
  <r>
    <x v="554"/>
    <n v="195"/>
    <x v="554"/>
    <x v="11"/>
    <x v="11"/>
    <x v="2"/>
    <n v="230"/>
    <n v="2"/>
    <n v="39.18"/>
    <n v="46.1"/>
    <m/>
    <n v="0"/>
    <x v="2"/>
    <x v="540"/>
    <x v="0"/>
    <d v="2025-10-02T00:00:00"/>
    <d v="2025-10-12T00:00:00"/>
    <d v="2025-10-09T00:00:00"/>
    <x v="0"/>
    <x v="3"/>
    <s v="Entrega no prazo e produto conforme descrito."/>
    <x v="554"/>
    <n v="78.36"/>
    <x v="553"/>
    <x v="554"/>
    <x v="0"/>
    <x v="0"/>
  </r>
  <r>
    <x v="555"/>
    <n v="156"/>
    <x v="555"/>
    <x v="10"/>
    <x v="10"/>
    <x v="2"/>
    <n v="328"/>
    <n v="3"/>
    <n v="57.07"/>
    <n v="181.85"/>
    <m/>
    <n v="0"/>
    <x v="1"/>
    <x v="541"/>
    <x v="13"/>
    <d v="2025-10-04T00:00:00"/>
    <d v="2025-10-13T00:00:00"/>
    <d v="2025-10-07T00:00:00"/>
    <x v="0"/>
    <x v="3"/>
    <s v="Tudo certo, nota 10!"/>
    <x v="555"/>
    <n v="171.21"/>
    <x v="554"/>
    <x v="555"/>
    <x v="12"/>
    <x v="0"/>
  </r>
  <r>
    <x v="556"/>
    <n v="135"/>
    <x v="556"/>
    <x v="12"/>
    <x v="12"/>
    <x v="2"/>
    <n v="447"/>
    <n v="3"/>
    <n v="31.02"/>
    <n v="37.83"/>
    <m/>
    <n v="0"/>
    <x v="0"/>
    <x v="542"/>
    <x v="1"/>
    <d v="2025-10-05T00:00:00"/>
    <d v="2025-10-15T00:00:00"/>
    <d v="2025-10-13T00:00:00"/>
    <x v="0"/>
    <x v="3"/>
    <s v="Entrega no prazo e produto conforme descrito."/>
    <x v="556"/>
    <n v="93.06"/>
    <x v="555"/>
    <x v="556"/>
    <x v="2"/>
    <x v="0"/>
  </r>
  <r>
    <x v="557"/>
    <n v="77"/>
    <x v="557"/>
    <x v="0"/>
    <x v="0"/>
    <x v="0"/>
    <n v="2354"/>
    <n v="3"/>
    <n v="1872.58"/>
    <n v="2271.58"/>
    <s v="PROMO10"/>
    <n v="0.1"/>
    <x v="3"/>
    <x v="543"/>
    <x v="4"/>
    <d v="2025-10-04T00:00:00"/>
    <d v="2025-10-10T00:00:00"/>
    <d v="2025-10-07T00:00:00"/>
    <x v="0"/>
    <x v="0"/>
    <s v="Tudo certo, nota 10!"/>
    <x v="557"/>
    <n v="5617.74"/>
    <x v="556"/>
    <x v="557"/>
    <x v="0"/>
    <x v="0"/>
  </r>
  <r>
    <x v="558"/>
    <n v="61"/>
    <x v="558"/>
    <x v="21"/>
    <x v="21"/>
    <x v="3"/>
    <n v="0"/>
    <n v="2"/>
    <n v="215.92"/>
    <n v="588.29999999999995"/>
    <m/>
    <n v="0"/>
    <x v="0"/>
    <x v="544"/>
    <x v="2"/>
    <d v="2025-10-05T00:00:00"/>
    <d v="2025-10-11T00:00:00"/>
    <d v="2025-10-09T00:00:00"/>
    <x v="0"/>
    <x v="0"/>
    <s v="Entrega rápida, muito satisfeito!"/>
    <x v="558"/>
    <n v="431.84"/>
    <x v="557"/>
    <x v="558"/>
    <x v="2"/>
    <x v="0"/>
  </r>
  <r>
    <x v="559"/>
    <n v="42"/>
    <x v="559"/>
    <x v="11"/>
    <x v="11"/>
    <x v="2"/>
    <n v="289"/>
    <n v="1"/>
    <n v="29.18"/>
    <n v="106.95"/>
    <m/>
    <n v="0"/>
    <x v="3"/>
    <x v="545"/>
    <x v="4"/>
    <d v="2025-10-05T00:00:00"/>
    <d v="2025-10-11T00:00:00"/>
    <d v="2025-10-10T00:00:00"/>
    <x v="0"/>
    <x v="0"/>
    <s v="Qualidade impecável, voltarei a comprar."/>
    <x v="559"/>
    <n v="29.18"/>
    <x v="558"/>
    <x v="559"/>
    <x v="6"/>
    <x v="0"/>
  </r>
  <r>
    <x v="560"/>
    <n v="61"/>
    <x v="560"/>
    <x v="8"/>
    <x v="8"/>
    <x v="1"/>
    <n v="0"/>
    <n v="3"/>
    <n v="62.21"/>
    <n v="108.12"/>
    <m/>
    <n v="0"/>
    <x v="1"/>
    <x v="546"/>
    <x v="8"/>
    <d v="2025-10-07T00:00:00"/>
    <d v="2025-10-13T00:00:00"/>
    <d v="2025-10-10T00:00:00"/>
    <x v="0"/>
    <x v="0"/>
    <s v="Qualidade impecável, voltarei a comprar."/>
    <x v="560"/>
    <n v="186.63"/>
    <x v="559"/>
    <x v="560"/>
    <x v="0"/>
    <x v="0"/>
  </r>
  <r>
    <x v="561"/>
    <n v="145"/>
    <x v="561"/>
    <x v="8"/>
    <x v="8"/>
    <x v="1"/>
    <n v="0"/>
    <n v="3"/>
    <n v="68.430000000000007"/>
    <n v="144.37"/>
    <s v="OFF20"/>
    <n v="0.2"/>
    <x v="0"/>
    <x v="124"/>
    <x v="13"/>
    <d v="2025-10-07T00:00:00"/>
    <d v="2025-10-14T00:00:00"/>
    <d v="2025-10-17T00:00:00"/>
    <x v="0"/>
    <x v="2"/>
    <s v="Atrasou e a caixa veio amassada."/>
    <x v="561"/>
    <n v="205.29"/>
    <x v="560"/>
    <x v="561"/>
    <x v="11"/>
    <x v="2"/>
  </r>
  <r>
    <x v="562"/>
    <n v="133"/>
    <x v="562"/>
    <x v="15"/>
    <x v="15"/>
    <x v="3"/>
    <n v="0"/>
    <n v="3"/>
    <n v="320.27"/>
    <n v="370.24"/>
    <s v="PROMO10"/>
    <n v="0.1"/>
    <x v="2"/>
    <x v="547"/>
    <x v="1"/>
    <d v="2025-10-07T00:00:00"/>
    <d v="2025-10-17T00:00:00"/>
    <d v="2025-10-13T00:00:00"/>
    <x v="0"/>
    <x v="0"/>
    <s v="Excelente atendimento e entrega."/>
    <x v="562"/>
    <n v="960.81"/>
    <x v="561"/>
    <x v="562"/>
    <x v="1"/>
    <x v="0"/>
  </r>
  <r>
    <x v="563"/>
    <n v="114"/>
    <x v="563"/>
    <x v="21"/>
    <x v="21"/>
    <x v="3"/>
    <n v="0"/>
    <n v="1"/>
    <n v="228.93"/>
    <n v="304.93"/>
    <m/>
    <n v="0"/>
    <x v="3"/>
    <x v="548"/>
    <x v="2"/>
    <d v="2025-10-08T00:00:00"/>
    <d v="2025-10-15T00:00:00"/>
    <d v="2025-10-13T00:00:00"/>
    <x v="0"/>
    <x v="3"/>
    <s v="Tudo certo, nota 10!"/>
    <x v="563"/>
    <n v="228.93"/>
    <x v="562"/>
    <x v="563"/>
    <x v="2"/>
    <x v="0"/>
  </r>
  <r>
    <x v="564"/>
    <n v="31"/>
    <x v="564"/>
    <x v="15"/>
    <x v="15"/>
    <x v="3"/>
    <n v="0"/>
    <n v="2"/>
    <n v="387.77"/>
    <n v="607.66"/>
    <s v="OFF20"/>
    <n v="0.2"/>
    <x v="0"/>
    <x v="542"/>
    <x v="1"/>
    <d v="2025-10-07T00:00:00"/>
    <d v="2025-10-15T00:00:00"/>
    <d v="2025-10-13T00:00:00"/>
    <x v="0"/>
    <x v="0"/>
    <s v="Chegou antes do prazo, excelente!"/>
    <x v="564"/>
    <n v="775.54"/>
    <x v="563"/>
    <x v="564"/>
    <x v="2"/>
    <x v="0"/>
  </r>
  <r>
    <x v="565"/>
    <n v="52"/>
    <x v="565"/>
    <x v="9"/>
    <x v="9"/>
    <x v="1"/>
    <n v="0"/>
    <n v="2"/>
    <n v="66.510000000000005"/>
    <n v="188.61"/>
    <m/>
    <n v="0"/>
    <x v="3"/>
    <x v="549"/>
    <x v="5"/>
    <d v="2025-10-08T00:00:00"/>
    <d v="2025-10-17T00:00:00"/>
    <m/>
    <x v="3"/>
    <x v="2"/>
    <s v="Produto extraviado, tive que abrir reclamação."/>
    <x v="565"/>
    <n v="133.02000000000001"/>
    <x v="564"/>
    <x v="565"/>
    <x v="3"/>
    <x v="1"/>
  </r>
  <r>
    <x v="566"/>
    <n v="118"/>
    <x v="566"/>
    <x v="6"/>
    <x v="6"/>
    <x v="2"/>
    <n v="204"/>
    <n v="3"/>
    <n v="53.52"/>
    <n v="146.11000000000001"/>
    <m/>
    <n v="0"/>
    <x v="2"/>
    <x v="550"/>
    <x v="2"/>
    <d v="2025-10-08T00:00:00"/>
    <d v="2025-10-14T00:00:00"/>
    <d v="2025-10-11T00:00:00"/>
    <x v="0"/>
    <x v="3"/>
    <s v="Parabéns pela agilidade!"/>
    <x v="566"/>
    <n v="160.56"/>
    <x v="565"/>
    <x v="566"/>
    <x v="0"/>
    <x v="0"/>
  </r>
  <r>
    <x v="567"/>
    <n v="5"/>
    <x v="567"/>
    <x v="18"/>
    <x v="18"/>
    <x v="0"/>
    <n v="3001"/>
    <n v="3"/>
    <n v="391.09"/>
    <n v="581.29"/>
    <s v="PROMO10"/>
    <n v="0.1"/>
    <x v="1"/>
    <x v="551"/>
    <x v="8"/>
    <d v="2025-10-08T00:00:00"/>
    <d v="2025-10-18T00:00:00"/>
    <d v="2025-10-15T00:00:00"/>
    <x v="0"/>
    <x v="3"/>
    <s v="Entrega rápida, muito satisfeito!"/>
    <x v="567"/>
    <n v="1173.27"/>
    <x v="566"/>
    <x v="567"/>
    <x v="0"/>
    <x v="0"/>
  </r>
  <r>
    <x v="568"/>
    <n v="65"/>
    <x v="568"/>
    <x v="20"/>
    <x v="20"/>
    <x v="3"/>
    <n v="0"/>
    <n v="2"/>
    <n v="380.56"/>
    <n v="722.73"/>
    <s v="PROMO10"/>
    <n v="0.1"/>
    <x v="2"/>
    <x v="552"/>
    <x v="2"/>
    <d v="2025-10-10T00:00:00"/>
    <d v="2025-10-15T00:00:00"/>
    <d v="2025-10-14T00:00:00"/>
    <x v="0"/>
    <x v="3"/>
    <s v="Excelente atendimento e entrega."/>
    <x v="568"/>
    <n v="761.12"/>
    <x v="567"/>
    <x v="568"/>
    <x v="6"/>
    <x v="0"/>
  </r>
  <r>
    <x v="569"/>
    <n v="140"/>
    <x v="569"/>
    <x v="2"/>
    <x v="2"/>
    <x v="1"/>
    <n v="0"/>
    <n v="1"/>
    <n v="28.28"/>
    <n v="147.09"/>
    <s v="PROMO10"/>
    <n v="0.1"/>
    <x v="1"/>
    <x v="553"/>
    <x v="10"/>
    <d v="2025-10-09T00:00:00"/>
    <d v="2025-10-15T00:00:00"/>
    <d v="2025-10-12T00:00:00"/>
    <x v="0"/>
    <x v="3"/>
    <s v="Superou minhas expectativas!"/>
    <x v="569"/>
    <n v="28.28"/>
    <x v="568"/>
    <x v="569"/>
    <x v="0"/>
    <x v="0"/>
  </r>
  <r>
    <x v="570"/>
    <n v="27"/>
    <x v="570"/>
    <x v="0"/>
    <x v="0"/>
    <x v="0"/>
    <n v="2005"/>
    <n v="1"/>
    <n v="1706.38"/>
    <n v="3652.88"/>
    <m/>
    <n v="0"/>
    <x v="3"/>
    <x v="554"/>
    <x v="14"/>
    <d v="2025-10-10T00:00:00"/>
    <d v="2025-10-15T00:00:00"/>
    <d v="2025-10-13T00:00:00"/>
    <x v="0"/>
    <x v="0"/>
    <s v="Frete rápido, adorei!"/>
    <x v="570"/>
    <n v="1706.38"/>
    <x v="569"/>
    <x v="570"/>
    <x v="2"/>
    <x v="0"/>
  </r>
  <r>
    <x v="571"/>
    <n v="62"/>
    <x v="571"/>
    <x v="20"/>
    <x v="20"/>
    <x v="3"/>
    <n v="0"/>
    <n v="2"/>
    <n v="307.94"/>
    <n v="621.84"/>
    <s v="PROMO10"/>
    <n v="0.1"/>
    <x v="3"/>
    <x v="555"/>
    <x v="0"/>
    <d v="2025-10-10T00:00:00"/>
    <d v="2025-10-15T00:00:00"/>
    <d v="2025-10-12T00:00:00"/>
    <x v="0"/>
    <x v="0"/>
    <s v="Produto original, vendedor confiável."/>
    <x v="571"/>
    <n v="615.88"/>
    <x v="570"/>
    <x v="571"/>
    <x v="0"/>
    <x v="0"/>
  </r>
  <r>
    <x v="572"/>
    <n v="102"/>
    <x v="572"/>
    <x v="9"/>
    <x v="9"/>
    <x v="1"/>
    <n v="0"/>
    <n v="1"/>
    <n v="46.67"/>
    <n v="81.540000000000006"/>
    <m/>
    <n v="0"/>
    <x v="2"/>
    <x v="556"/>
    <x v="2"/>
    <d v="2025-10-11T00:00:00"/>
    <d v="2025-10-19T00:00:00"/>
    <d v="2025-10-18T00:00:00"/>
    <x v="0"/>
    <x v="3"/>
    <s v="Tudo certo, nota 10!"/>
    <x v="572"/>
    <n v="46.67"/>
    <x v="571"/>
    <x v="572"/>
    <x v="6"/>
    <x v="0"/>
  </r>
  <r>
    <x v="573"/>
    <n v="167"/>
    <x v="573"/>
    <x v="9"/>
    <x v="9"/>
    <x v="1"/>
    <n v="0"/>
    <n v="2"/>
    <n v="55.72"/>
    <n v="181.84"/>
    <m/>
    <n v="0"/>
    <x v="3"/>
    <x v="557"/>
    <x v="14"/>
    <d v="2025-10-11T00:00:00"/>
    <d v="2025-10-16T00:00:00"/>
    <d v="2025-10-19T00:00:00"/>
    <x v="0"/>
    <x v="4"/>
    <s v="Não recomendo, péssima experiência."/>
    <x v="573"/>
    <n v="111.44"/>
    <x v="572"/>
    <x v="573"/>
    <x v="11"/>
    <x v="2"/>
  </r>
  <r>
    <x v="574"/>
    <n v="37"/>
    <x v="574"/>
    <x v="13"/>
    <x v="13"/>
    <x v="0"/>
    <n v="2085"/>
    <n v="2"/>
    <n v="262.13"/>
    <n v="515.02"/>
    <m/>
    <n v="0"/>
    <x v="2"/>
    <x v="558"/>
    <x v="13"/>
    <d v="2025-10-13T00:00:00"/>
    <d v="2025-10-22T00:00:00"/>
    <m/>
    <x v="2"/>
    <x v="4"/>
    <s v="Produto extraviado, tive que abrir reclamação."/>
    <x v="574"/>
    <n v="524.26"/>
    <x v="573"/>
    <x v="574"/>
    <x v="3"/>
    <x v="1"/>
  </r>
  <r>
    <x v="575"/>
    <n v="49"/>
    <x v="575"/>
    <x v="11"/>
    <x v="11"/>
    <x v="2"/>
    <n v="247"/>
    <n v="2"/>
    <n v="27.46"/>
    <n v="84.85"/>
    <s v="OFF20"/>
    <n v="0.2"/>
    <x v="2"/>
    <x v="559"/>
    <x v="7"/>
    <d v="2025-10-13T00:00:00"/>
    <d v="2025-10-23T00:00:00"/>
    <d v="2025-10-19T00:00:00"/>
    <x v="0"/>
    <x v="0"/>
    <s v="Excelente atendimento e entrega."/>
    <x v="575"/>
    <n v="54.92"/>
    <x v="574"/>
    <x v="575"/>
    <x v="1"/>
    <x v="0"/>
  </r>
  <r>
    <x v="576"/>
    <n v="164"/>
    <x v="576"/>
    <x v="1"/>
    <x v="1"/>
    <x v="0"/>
    <n v="2017"/>
    <n v="1"/>
    <n v="461.14"/>
    <n v="1136.54"/>
    <m/>
    <n v="0"/>
    <x v="2"/>
    <x v="560"/>
    <x v="4"/>
    <d v="2025-10-14T00:00:00"/>
    <d v="2025-10-23T00:00:00"/>
    <d v="2025-10-17T00:00:00"/>
    <x v="0"/>
    <x v="0"/>
    <s v="Frete rápido, adorei!"/>
    <x v="576"/>
    <n v="461.14"/>
    <x v="575"/>
    <x v="576"/>
    <x v="12"/>
    <x v="0"/>
  </r>
  <r>
    <x v="577"/>
    <n v="87"/>
    <x v="577"/>
    <x v="14"/>
    <x v="14"/>
    <x v="0"/>
    <n v="2004"/>
    <n v="1"/>
    <n v="957.23"/>
    <n v="2280.79"/>
    <m/>
    <n v="0"/>
    <x v="0"/>
    <x v="561"/>
    <x v="10"/>
    <d v="2025-10-13T00:00:00"/>
    <d v="2025-10-18T00:00:00"/>
    <d v="2025-10-19T00:00:00"/>
    <x v="0"/>
    <x v="4"/>
    <s v="Decepcionante do início ao fim."/>
    <x v="577"/>
    <n v="957.23"/>
    <x v="576"/>
    <x v="577"/>
    <x v="8"/>
    <x v="2"/>
  </r>
  <r>
    <x v="578"/>
    <n v="193"/>
    <x v="578"/>
    <x v="16"/>
    <x v="16"/>
    <x v="1"/>
    <n v="0"/>
    <n v="1"/>
    <n v="215.79"/>
    <n v="271.52999999999997"/>
    <m/>
    <n v="0"/>
    <x v="0"/>
    <x v="562"/>
    <x v="2"/>
    <d v="2025-10-14T00:00:00"/>
    <d v="2025-10-22T00:00:00"/>
    <d v="2025-10-18T00:00:00"/>
    <x v="0"/>
    <x v="3"/>
    <s v="Excelente atendimento e entrega."/>
    <x v="578"/>
    <n v="215.79"/>
    <x v="577"/>
    <x v="578"/>
    <x v="1"/>
    <x v="0"/>
  </r>
  <r>
    <x v="579"/>
    <n v="168"/>
    <x v="579"/>
    <x v="20"/>
    <x v="20"/>
    <x v="3"/>
    <n v="0"/>
    <n v="1"/>
    <n v="410.17"/>
    <n v="624.34"/>
    <s v="OFF20"/>
    <n v="0.2"/>
    <x v="1"/>
    <x v="152"/>
    <x v="11"/>
    <d v="2025-10-15T00:00:00"/>
    <d v="2025-10-22T00:00:00"/>
    <d v="2025-10-19T00:00:00"/>
    <x v="0"/>
    <x v="3"/>
    <s v="Chegou antes do prazo, excelente!"/>
    <x v="579"/>
    <n v="410.17"/>
    <x v="578"/>
    <x v="579"/>
    <x v="0"/>
    <x v="0"/>
  </r>
  <r>
    <x v="580"/>
    <n v="108"/>
    <x v="580"/>
    <x v="12"/>
    <x v="12"/>
    <x v="2"/>
    <n v="598"/>
    <n v="2"/>
    <n v="47.5"/>
    <n v="64.52"/>
    <s v="PROMO10"/>
    <n v="0.1"/>
    <x v="0"/>
    <x v="563"/>
    <x v="2"/>
    <d v="2025-10-16T00:00:00"/>
    <d v="2025-10-23T00:00:00"/>
    <d v="2025-10-19T00:00:00"/>
    <x v="0"/>
    <x v="0"/>
    <s v="Ótimo custo-benefício!"/>
    <x v="580"/>
    <n v="95"/>
    <x v="579"/>
    <x v="580"/>
    <x v="1"/>
    <x v="0"/>
  </r>
  <r>
    <x v="581"/>
    <n v="135"/>
    <x v="581"/>
    <x v="17"/>
    <x v="17"/>
    <x v="2"/>
    <n v="336"/>
    <n v="2"/>
    <n v="118.84"/>
    <n v="198.47"/>
    <m/>
    <n v="0"/>
    <x v="0"/>
    <x v="564"/>
    <x v="2"/>
    <d v="2025-10-16T00:00:00"/>
    <d v="2025-10-25T00:00:00"/>
    <d v="2025-10-18T00:00:00"/>
    <x v="0"/>
    <x v="3"/>
    <s v="Qualidade impecável, voltarei a comprar."/>
    <x v="581"/>
    <n v="237.68"/>
    <x v="580"/>
    <x v="581"/>
    <x v="9"/>
    <x v="0"/>
  </r>
  <r>
    <x v="582"/>
    <n v="85"/>
    <x v="582"/>
    <x v="18"/>
    <x v="18"/>
    <x v="0"/>
    <n v="2669"/>
    <n v="2"/>
    <n v="569.66999999999996"/>
    <n v="969.87"/>
    <m/>
    <n v="0"/>
    <x v="3"/>
    <x v="565"/>
    <x v="2"/>
    <d v="2025-10-15T00:00:00"/>
    <d v="2025-10-21T00:00:00"/>
    <d v="2025-10-20T00:00:00"/>
    <x v="0"/>
    <x v="0"/>
    <s v="Muito bom, sem reclamações."/>
    <x v="582"/>
    <n v="1139.3399999999999"/>
    <x v="581"/>
    <x v="582"/>
    <x v="6"/>
    <x v="0"/>
  </r>
  <r>
    <x v="583"/>
    <n v="130"/>
    <x v="583"/>
    <x v="13"/>
    <x v="13"/>
    <x v="0"/>
    <n v="2089"/>
    <n v="1"/>
    <n v="399.97"/>
    <n v="614.88"/>
    <m/>
    <n v="0"/>
    <x v="3"/>
    <x v="566"/>
    <x v="7"/>
    <d v="2025-10-16T00:00:00"/>
    <d v="2025-10-26T00:00:00"/>
    <m/>
    <x v="1"/>
    <x v="2"/>
    <s v="Veio errado, tive que devolver."/>
    <x v="583"/>
    <n v="399.97"/>
    <x v="582"/>
    <x v="583"/>
    <x v="3"/>
    <x v="1"/>
  </r>
  <r>
    <x v="584"/>
    <n v="110"/>
    <x v="584"/>
    <x v="21"/>
    <x v="21"/>
    <x v="3"/>
    <n v="0"/>
    <n v="1"/>
    <n v="278.95999999999998"/>
    <n v="339.9"/>
    <s v="OFF20"/>
    <n v="0.2"/>
    <x v="2"/>
    <x v="567"/>
    <x v="4"/>
    <d v="2025-10-15T00:00:00"/>
    <d v="2025-10-24T00:00:00"/>
    <d v="2025-10-25T00:00:00"/>
    <x v="0"/>
    <x v="4"/>
    <s v="Veio errado, tive que devolver."/>
    <x v="584"/>
    <n v="278.95999999999998"/>
    <x v="583"/>
    <x v="584"/>
    <x v="8"/>
    <x v="2"/>
  </r>
  <r>
    <x v="585"/>
    <n v="72"/>
    <x v="585"/>
    <x v="5"/>
    <x v="5"/>
    <x v="2"/>
    <n v="220"/>
    <n v="2"/>
    <n v="32.619999999999997"/>
    <n v="133.63999999999999"/>
    <m/>
    <n v="0"/>
    <x v="0"/>
    <x v="568"/>
    <x v="2"/>
    <d v="2025-10-16T00:00:00"/>
    <d v="2025-10-24T00:00:00"/>
    <d v="2025-10-21T00:00:00"/>
    <x v="0"/>
    <x v="3"/>
    <s v="Frete rápido, adorei!"/>
    <x v="585"/>
    <n v="65.239999999999995"/>
    <x v="584"/>
    <x v="585"/>
    <x v="0"/>
    <x v="0"/>
  </r>
  <r>
    <x v="586"/>
    <n v="34"/>
    <x v="586"/>
    <x v="20"/>
    <x v="20"/>
    <x v="3"/>
    <n v="0"/>
    <n v="2"/>
    <n v="392.78"/>
    <n v="745.38"/>
    <m/>
    <n v="0"/>
    <x v="2"/>
    <x v="569"/>
    <x v="12"/>
    <d v="2025-10-16T00:00:00"/>
    <d v="2025-10-23T00:00:00"/>
    <d v="2025-10-21T00:00:00"/>
    <x v="0"/>
    <x v="3"/>
    <s v="Chegou antes do prazo, excelente!"/>
    <x v="586"/>
    <n v="785.56"/>
    <x v="585"/>
    <x v="586"/>
    <x v="2"/>
    <x v="0"/>
  </r>
  <r>
    <x v="587"/>
    <n v="37"/>
    <x v="587"/>
    <x v="22"/>
    <x v="22"/>
    <x v="3"/>
    <n v="0"/>
    <n v="3"/>
    <n v="411.9"/>
    <n v="657.03"/>
    <m/>
    <n v="0"/>
    <x v="3"/>
    <x v="570"/>
    <x v="2"/>
    <d v="2025-10-16T00:00:00"/>
    <d v="2025-10-24T00:00:00"/>
    <d v="2025-10-28T00:00:00"/>
    <x v="0"/>
    <x v="2"/>
    <s v="Cancelei porque demorou demais."/>
    <x v="587"/>
    <n v="1235.7"/>
    <x v="586"/>
    <x v="587"/>
    <x v="7"/>
    <x v="2"/>
  </r>
  <r>
    <x v="588"/>
    <n v="23"/>
    <x v="588"/>
    <x v="9"/>
    <x v="9"/>
    <x v="1"/>
    <n v="0"/>
    <n v="1"/>
    <n v="94.56"/>
    <n v="135.11000000000001"/>
    <m/>
    <n v="0"/>
    <x v="2"/>
    <x v="571"/>
    <x v="8"/>
    <d v="2025-10-16T00:00:00"/>
    <d v="2025-10-24T00:00:00"/>
    <d v="2025-10-20T00:00:00"/>
    <x v="0"/>
    <x v="0"/>
    <s v="Parabéns pela agilidade!"/>
    <x v="588"/>
    <n v="94.56"/>
    <x v="587"/>
    <x v="588"/>
    <x v="1"/>
    <x v="0"/>
  </r>
  <r>
    <x v="589"/>
    <n v="120"/>
    <x v="589"/>
    <x v="1"/>
    <x v="1"/>
    <x v="0"/>
    <n v="2116"/>
    <n v="3"/>
    <n v="601.11"/>
    <n v="1026.28"/>
    <m/>
    <n v="0"/>
    <x v="0"/>
    <x v="572"/>
    <x v="2"/>
    <d v="2025-10-16T00:00:00"/>
    <d v="2025-10-24T00:00:00"/>
    <d v="2025-10-22T00:00:00"/>
    <x v="0"/>
    <x v="3"/>
    <s v="Produto original, vendedor confiável."/>
    <x v="589"/>
    <n v="1803.33"/>
    <x v="588"/>
    <x v="589"/>
    <x v="2"/>
    <x v="0"/>
  </r>
  <r>
    <x v="590"/>
    <n v="89"/>
    <x v="590"/>
    <x v="17"/>
    <x v="17"/>
    <x v="2"/>
    <n v="486"/>
    <n v="2"/>
    <n v="62.78"/>
    <n v="213.95"/>
    <m/>
    <n v="0"/>
    <x v="0"/>
    <x v="573"/>
    <x v="10"/>
    <d v="2025-10-17T00:00:00"/>
    <d v="2025-10-23T00:00:00"/>
    <d v="2025-10-21T00:00:00"/>
    <x v="0"/>
    <x v="3"/>
    <s v="Chegou antes do prazo, excelente!"/>
    <x v="590"/>
    <n v="125.56"/>
    <x v="589"/>
    <x v="590"/>
    <x v="2"/>
    <x v="0"/>
  </r>
  <r>
    <x v="591"/>
    <n v="4"/>
    <x v="591"/>
    <x v="9"/>
    <x v="9"/>
    <x v="1"/>
    <n v="0"/>
    <n v="1"/>
    <n v="53.55"/>
    <n v="99.96"/>
    <s v="OFF20"/>
    <n v="0.2"/>
    <x v="0"/>
    <x v="370"/>
    <x v="2"/>
    <d v="2025-10-18T00:00:00"/>
    <d v="2025-10-25T00:00:00"/>
    <m/>
    <x v="2"/>
    <x v="2"/>
    <s v="Não recomendo, péssima experiência."/>
    <x v="591"/>
    <n v="53.55"/>
    <x v="590"/>
    <x v="591"/>
    <x v="3"/>
    <x v="1"/>
  </r>
  <r>
    <x v="592"/>
    <n v="57"/>
    <x v="592"/>
    <x v="2"/>
    <x v="2"/>
    <x v="1"/>
    <n v="0"/>
    <n v="1"/>
    <n v="60.73"/>
    <n v="98.6"/>
    <s v="OFF20"/>
    <n v="0.2"/>
    <x v="1"/>
    <x v="246"/>
    <x v="1"/>
    <d v="2025-10-19T00:00:00"/>
    <d v="2025-10-28T00:00:00"/>
    <d v="2025-10-25T00:00:00"/>
    <x v="0"/>
    <x v="0"/>
    <s v="Parabéns pela agilidade!"/>
    <x v="592"/>
    <n v="60.73"/>
    <x v="591"/>
    <x v="592"/>
    <x v="0"/>
    <x v="0"/>
  </r>
  <r>
    <x v="593"/>
    <n v="161"/>
    <x v="593"/>
    <x v="0"/>
    <x v="0"/>
    <x v="0"/>
    <n v="2691"/>
    <n v="3"/>
    <n v="2398.2199999999998"/>
    <n v="3423.17"/>
    <s v="OFF20"/>
    <n v="0.2"/>
    <x v="1"/>
    <x v="574"/>
    <x v="2"/>
    <d v="2025-10-19T00:00:00"/>
    <d v="2025-10-26T00:00:00"/>
    <d v="2025-10-22T00:00:00"/>
    <x v="0"/>
    <x v="3"/>
    <s v="Entrega no prazo e produto conforme descrito."/>
    <x v="593"/>
    <n v="7194.66"/>
    <x v="592"/>
    <x v="593"/>
    <x v="1"/>
    <x v="0"/>
  </r>
  <r>
    <x v="594"/>
    <n v="148"/>
    <x v="594"/>
    <x v="3"/>
    <x v="3"/>
    <x v="2"/>
    <n v="764"/>
    <n v="2"/>
    <n v="82.28"/>
    <n v="336.54"/>
    <m/>
    <n v="0"/>
    <x v="1"/>
    <x v="575"/>
    <x v="4"/>
    <d v="2025-10-19T00:00:00"/>
    <d v="2025-10-28T00:00:00"/>
    <d v="2025-10-22T00:00:00"/>
    <x v="0"/>
    <x v="3"/>
    <s v="Chegou antes do prazo, excelente!"/>
    <x v="594"/>
    <n v="164.56"/>
    <x v="593"/>
    <x v="594"/>
    <x v="12"/>
    <x v="0"/>
  </r>
  <r>
    <x v="595"/>
    <n v="126"/>
    <x v="595"/>
    <x v="19"/>
    <x v="19"/>
    <x v="0"/>
    <n v="4847"/>
    <n v="1"/>
    <n v="1162.9100000000001"/>
    <n v="1977.69"/>
    <m/>
    <n v="0"/>
    <x v="2"/>
    <x v="576"/>
    <x v="12"/>
    <d v="2025-10-21T00:00:00"/>
    <d v="2025-10-28T00:00:00"/>
    <d v="2025-10-24T00:00:00"/>
    <x v="0"/>
    <x v="0"/>
    <s v="Produto top, recomendo!"/>
    <x v="595"/>
    <n v="1162.9100000000001"/>
    <x v="594"/>
    <x v="595"/>
    <x v="1"/>
    <x v="0"/>
  </r>
  <r>
    <x v="596"/>
    <n v="147"/>
    <x v="596"/>
    <x v="0"/>
    <x v="0"/>
    <x v="0"/>
    <n v="2570"/>
    <n v="3"/>
    <n v="2381.9499999999998"/>
    <n v="3566.75"/>
    <s v="PROMO10"/>
    <n v="0.1"/>
    <x v="1"/>
    <x v="577"/>
    <x v="9"/>
    <d v="2025-10-21T00:00:00"/>
    <d v="2025-10-28T00:00:00"/>
    <d v="2025-10-26T00:00:00"/>
    <x v="0"/>
    <x v="0"/>
    <s v="Tudo certo, nota 10!"/>
    <x v="596"/>
    <n v="7145.8499999999995"/>
    <x v="595"/>
    <x v="596"/>
    <x v="2"/>
    <x v="0"/>
  </r>
  <r>
    <x v="597"/>
    <n v="195"/>
    <x v="597"/>
    <x v="15"/>
    <x v="15"/>
    <x v="3"/>
    <n v="0"/>
    <n v="3"/>
    <n v="474.04"/>
    <n v="747.99"/>
    <s v="PROMO10"/>
    <n v="0.1"/>
    <x v="3"/>
    <x v="578"/>
    <x v="8"/>
    <d v="2025-10-22T00:00:00"/>
    <d v="2025-10-29T00:00:00"/>
    <m/>
    <x v="1"/>
    <x v="3"/>
    <s v="Tudo certo, nota 10!"/>
    <x v="597"/>
    <n v="1422.12"/>
    <x v="596"/>
    <x v="597"/>
    <x v="3"/>
    <x v="1"/>
  </r>
  <r>
    <x v="598"/>
    <n v="58"/>
    <x v="598"/>
    <x v="1"/>
    <x v="1"/>
    <x v="0"/>
    <n v="2171"/>
    <n v="1"/>
    <n v="506.86"/>
    <n v="925"/>
    <s v="OFF20"/>
    <n v="0.2"/>
    <x v="2"/>
    <x v="579"/>
    <x v="8"/>
    <d v="2025-10-22T00:00:00"/>
    <d v="2025-10-29T00:00:00"/>
    <d v="2025-10-28T00:00:00"/>
    <x v="0"/>
    <x v="3"/>
    <s v="Ótimo custo-benefício!"/>
    <x v="598"/>
    <n v="506.86"/>
    <x v="597"/>
    <x v="598"/>
    <x v="6"/>
    <x v="0"/>
  </r>
  <r>
    <x v="599"/>
    <n v="52"/>
    <x v="599"/>
    <x v="22"/>
    <x v="22"/>
    <x v="3"/>
    <n v="0"/>
    <n v="3"/>
    <n v="468.64"/>
    <n v="625.37"/>
    <s v="OFF20"/>
    <n v="0.2"/>
    <x v="3"/>
    <x v="580"/>
    <x v="14"/>
    <d v="2025-10-22T00:00:00"/>
    <d v="2025-10-29T00:00:00"/>
    <d v="2025-10-28T00:00:00"/>
    <x v="0"/>
    <x v="0"/>
    <s v="Muito bom, sem reclamações."/>
    <x v="599"/>
    <n v="1405.92"/>
    <x v="598"/>
    <x v="599"/>
    <x v="6"/>
    <x v="0"/>
  </r>
  <r>
    <x v="600"/>
    <n v="70"/>
    <x v="600"/>
    <x v="5"/>
    <x v="5"/>
    <x v="2"/>
    <n v="298"/>
    <n v="3"/>
    <n v="32.630000000000003"/>
    <n v="127.33"/>
    <m/>
    <n v="0"/>
    <x v="3"/>
    <x v="581"/>
    <x v="2"/>
    <d v="2025-10-23T00:00:00"/>
    <d v="2025-11-02T00:00:00"/>
    <d v="2025-11-04T00:00:00"/>
    <x v="0"/>
    <x v="2"/>
    <s v="Muito atraso na entrega."/>
    <x v="600"/>
    <n v="97.890000000000015"/>
    <x v="599"/>
    <x v="600"/>
    <x v="14"/>
    <x v="2"/>
  </r>
  <r>
    <x v="601"/>
    <n v="108"/>
    <x v="601"/>
    <x v="19"/>
    <x v="19"/>
    <x v="0"/>
    <n v="4019"/>
    <n v="1"/>
    <n v="596.67999999999995"/>
    <n v="933.32"/>
    <m/>
    <n v="0"/>
    <x v="2"/>
    <x v="582"/>
    <x v="1"/>
    <d v="2025-10-23T00:00:00"/>
    <d v="2025-10-31T00:00:00"/>
    <d v="2025-10-29T00:00:00"/>
    <x v="0"/>
    <x v="0"/>
    <s v="Excelente atendimento e entrega."/>
    <x v="601"/>
    <n v="596.67999999999995"/>
    <x v="600"/>
    <x v="601"/>
    <x v="2"/>
    <x v="0"/>
  </r>
  <r>
    <x v="602"/>
    <n v="125"/>
    <x v="602"/>
    <x v="4"/>
    <x v="4"/>
    <x v="0"/>
    <n v="4530"/>
    <n v="3"/>
    <n v="404.95"/>
    <n v="579.16999999999996"/>
    <s v="OFF20"/>
    <n v="0.2"/>
    <x v="2"/>
    <x v="583"/>
    <x v="4"/>
    <d v="2025-10-25T00:00:00"/>
    <d v="2025-11-03T00:00:00"/>
    <d v="2025-10-27T00:00:00"/>
    <x v="0"/>
    <x v="0"/>
    <s v="Ótimo custo-benefício!"/>
    <x v="602"/>
    <n v="1214.8499999999999"/>
    <x v="601"/>
    <x v="602"/>
    <x v="9"/>
    <x v="0"/>
  </r>
  <r>
    <x v="603"/>
    <n v="111"/>
    <x v="603"/>
    <x v="22"/>
    <x v="22"/>
    <x v="3"/>
    <n v="0"/>
    <n v="1"/>
    <n v="327.05"/>
    <n v="757.05"/>
    <m/>
    <n v="0"/>
    <x v="2"/>
    <x v="584"/>
    <x v="0"/>
    <d v="2025-10-24T00:00:00"/>
    <d v="2025-11-01T00:00:00"/>
    <m/>
    <x v="3"/>
    <x v="1"/>
    <s v="Chegou com pequeno atraso, mas o produto é bom."/>
    <x v="603"/>
    <n v="327.05"/>
    <x v="602"/>
    <x v="603"/>
    <x v="3"/>
    <x v="1"/>
  </r>
  <r>
    <x v="604"/>
    <n v="63"/>
    <x v="604"/>
    <x v="6"/>
    <x v="6"/>
    <x v="2"/>
    <n v="254"/>
    <n v="2"/>
    <n v="33.86"/>
    <n v="66.25"/>
    <m/>
    <n v="0"/>
    <x v="0"/>
    <x v="585"/>
    <x v="12"/>
    <d v="2025-10-26T00:00:00"/>
    <d v="2025-11-04T00:00:00"/>
    <d v="2025-10-30T00:00:00"/>
    <x v="0"/>
    <x v="3"/>
    <s v="Muito bom, sem reclamações."/>
    <x v="604"/>
    <n v="67.72"/>
    <x v="603"/>
    <x v="604"/>
    <x v="5"/>
    <x v="0"/>
  </r>
  <r>
    <x v="605"/>
    <n v="83"/>
    <x v="605"/>
    <x v="11"/>
    <x v="11"/>
    <x v="2"/>
    <n v="231"/>
    <n v="2"/>
    <n v="47.44"/>
    <n v="63.81"/>
    <m/>
    <n v="0"/>
    <x v="3"/>
    <x v="586"/>
    <x v="6"/>
    <d v="2025-10-26T00:00:00"/>
    <d v="2025-11-02T00:00:00"/>
    <m/>
    <x v="3"/>
    <x v="4"/>
    <s v="Veio errado, tive que devolver."/>
    <x v="605"/>
    <n v="94.88"/>
    <x v="604"/>
    <x v="605"/>
    <x v="3"/>
    <x v="1"/>
  </r>
  <r>
    <x v="606"/>
    <n v="22"/>
    <x v="606"/>
    <x v="14"/>
    <x v="14"/>
    <x v="0"/>
    <n v="2101"/>
    <n v="2"/>
    <n v="1446.75"/>
    <n v="2354.1"/>
    <m/>
    <n v="0"/>
    <x v="0"/>
    <x v="587"/>
    <x v="5"/>
    <d v="2025-10-26T00:00:00"/>
    <d v="2025-11-01T00:00:00"/>
    <d v="2025-10-30T00:00:00"/>
    <x v="0"/>
    <x v="3"/>
    <s v="Ótimo custo-benefício!"/>
    <x v="606"/>
    <n v="2893.5"/>
    <x v="605"/>
    <x v="606"/>
    <x v="2"/>
    <x v="0"/>
  </r>
  <r>
    <x v="607"/>
    <n v="21"/>
    <x v="607"/>
    <x v="14"/>
    <x v="14"/>
    <x v="0"/>
    <n v="2048"/>
    <n v="2"/>
    <n v="962.14"/>
    <n v="2330.61"/>
    <m/>
    <n v="0"/>
    <x v="3"/>
    <x v="588"/>
    <x v="12"/>
    <d v="2025-10-27T00:00:00"/>
    <d v="2025-11-01T00:00:00"/>
    <d v="2025-11-02T00:00:00"/>
    <x v="0"/>
    <x v="4"/>
    <s v="Produto chegou com defeito."/>
    <x v="607"/>
    <n v="1924.28"/>
    <x v="606"/>
    <x v="607"/>
    <x v="8"/>
    <x v="2"/>
  </r>
  <r>
    <x v="608"/>
    <n v="184"/>
    <x v="608"/>
    <x v="12"/>
    <x v="12"/>
    <x v="2"/>
    <n v="591"/>
    <n v="1"/>
    <n v="42.49"/>
    <n v="54.86"/>
    <s v="PROMO10"/>
    <n v="0.1"/>
    <x v="0"/>
    <x v="589"/>
    <x v="0"/>
    <d v="2025-10-26T00:00:00"/>
    <d v="2025-11-01T00:00:00"/>
    <d v="2025-10-31T00:00:00"/>
    <x v="0"/>
    <x v="3"/>
    <s v="Entrega rápida, muito satisfeito!"/>
    <x v="608"/>
    <n v="42.49"/>
    <x v="607"/>
    <x v="608"/>
    <x v="6"/>
    <x v="0"/>
  </r>
  <r>
    <x v="609"/>
    <n v="118"/>
    <x v="609"/>
    <x v="0"/>
    <x v="0"/>
    <x v="0"/>
    <n v="2114"/>
    <n v="1"/>
    <n v="2212.64"/>
    <n v="3269.04"/>
    <s v="OFF20"/>
    <n v="0.2"/>
    <x v="1"/>
    <x v="590"/>
    <x v="14"/>
    <d v="2025-10-26T00:00:00"/>
    <d v="2025-11-03T00:00:00"/>
    <d v="2025-11-01T00:00:00"/>
    <x v="0"/>
    <x v="3"/>
    <s v="Produto de qualidade, entrega pontual."/>
    <x v="609"/>
    <n v="2212.64"/>
    <x v="608"/>
    <x v="609"/>
    <x v="2"/>
    <x v="0"/>
  </r>
  <r>
    <x v="610"/>
    <n v="107"/>
    <x v="610"/>
    <x v="11"/>
    <x v="11"/>
    <x v="2"/>
    <n v="276"/>
    <n v="1"/>
    <n v="20.420000000000002"/>
    <n v="81.709999999999994"/>
    <s v="OFF20"/>
    <n v="0.2"/>
    <x v="0"/>
    <x v="591"/>
    <x v="4"/>
    <d v="2025-10-27T00:00:00"/>
    <d v="2025-11-01T00:00:00"/>
    <d v="2025-10-31T00:00:00"/>
    <x v="0"/>
    <x v="0"/>
    <s v="Entrega no prazo e produto conforme descrito."/>
    <x v="610"/>
    <n v="20.420000000000002"/>
    <x v="609"/>
    <x v="610"/>
    <x v="6"/>
    <x v="0"/>
  </r>
  <r>
    <x v="611"/>
    <n v="99"/>
    <x v="611"/>
    <x v="12"/>
    <x v="12"/>
    <x v="2"/>
    <n v="337"/>
    <n v="3"/>
    <n v="34.99"/>
    <n v="97.9"/>
    <m/>
    <n v="0"/>
    <x v="3"/>
    <x v="592"/>
    <x v="11"/>
    <d v="2025-10-28T00:00:00"/>
    <d v="2025-11-02T00:00:00"/>
    <d v="2025-10-31T00:00:00"/>
    <x v="0"/>
    <x v="3"/>
    <s v="Muito bom, sem reclamações."/>
    <x v="611"/>
    <n v="104.97"/>
    <x v="610"/>
    <x v="611"/>
    <x v="2"/>
    <x v="0"/>
  </r>
  <r>
    <x v="612"/>
    <n v="123"/>
    <x v="612"/>
    <x v="7"/>
    <x v="7"/>
    <x v="0"/>
    <n v="2236"/>
    <n v="3"/>
    <n v="2574.73"/>
    <n v="4446.8599999999997"/>
    <m/>
    <n v="0"/>
    <x v="0"/>
    <x v="593"/>
    <x v="7"/>
    <d v="2025-10-27T00:00:00"/>
    <d v="2025-11-03T00:00:00"/>
    <d v="2025-10-29T00:00:00"/>
    <x v="0"/>
    <x v="3"/>
    <s v="Embalagem perfeita, produto intacto."/>
    <x v="612"/>
    <n v="7724.1900000000014"/>
    <x v="611"/>
    <x v="612"/>
    <x v="5"/>
    <x v="0"/>
  </r>
  <r>
    <x v="613"/>
    <n v="99"/>
    <x v="613"/>
    <x v="15"/>
    <x v="15"/>
    <x v="3"/>
    <n v="0"/>
    <n v="1"/>
    <n v="476.1"/>
    <n v="600.04"/>
    <m/>
    <n v="0"/>
    <x v="3"/>
    <x v="553"/>
    <x v="8"/>
    <d v="2025-10-27T00:00:00"/>
    <d v="2025-11-06T00:00:00"/>
    <m/>
    <x v="3"/>
    <x v="1"/>
    <s v="Produto bom, mas o frete foi caro."/>
    <x v="613"/>
    <n v="476.1"/>
    <x v="612"/>
    <x v="613"/>
    <x v="3"/>
    <x v="1"/>
  </r>
  <r>
    <x v="614"/>
    <n v="161"/>
    <x v="614"/>
    <x v="18"/>
    <x v="18"/>
    <x v="0"/>
    <n v="3438"/>
    <n v="3"/>
    <n v="383.25"/>
    <n v="835.7"/>
    <m/>
    <n v="0"/>
    <x v="0"/>
    <x v="594"/>
    <x v="7"/>
    <d v="2025-10-28T00:00:00"/>
    <d v="2025-11-05T00:00:00"/>
    <d v="2025-11-05T00:00:00"/>
    <x v="0"/>
    <x v="3"/>
    <s v="Chegou antes do prazo, excelente!"/>
    <x v="614"/>
    <n v="1149.75"/>
    <x v="613"/>
    <x v="614"/>
    <x v="4"/>
    <x v="0"/>
  </r>
  <r>
    <x v="615"/>
    <n v="75"/>
    <x v="615"/>
    <x v="13"/>
    <x v="13"/>
    <x v="0"/>
    <n v="2055"/>
    <n v="1"/>
    <n v="370.77"/>
    <n v="500.29"/>
    <s v="PROMO10"/>
    <n v="0.1"/>
    <x v="0"/>
    <x v="595"/>
    <x v="13"/>
    <d v="2025-10-28T00:00:00"/>
    <d v="2025-11-06T00:00:00"/>
    <d v="2025-11-07T00:00:00"/>
    <x v="0"/>
    <x v="2"/>
    <s v="Atendimento ao cliente inexistente."/>
    <x v="615"/>
    <n v="370.77"/>
    <x v="614"/>
    <x v="615"/>
    <x v="8"/>
    <x v="2"/>
  </r>
  <r>
    <x v="616"/>
    <n v="136"/>
    <x v="616"/>
    <x v="19"/>
    <x v="19"/>
    <x v="0"/>
    <n v="4374"/>
    <n v="1"/>
    <n v="615.99"/>
    <n v="1091.21"/>
    <m/>
    <n v="0"/>
    <x v="1"/>
    <x v="596"/>
    <x v="1"/>
    <d v="2025-10-29T00:00:00"/>
    <d v="2025-11-07T00:00:00"/>
    <d v="2025-11-05T00:00:00"/>
    <x v="0"/>
    <x v="0"/>
    <s v="Superou minhas expectativas!"/>
    <x v="616"/>
    <n v="615.99"/>
    <x v="615"/>
    <x v="616"/>
    <x v="2"/>
    <x v="0"/>
  </r>
  <r>
    <x v="617"/>
    <n v="1"/>
    <x v="617"/>
    <x v="17"/>
    <x v="17"/>
    <x v="2"/>
    <n v="375"/>
    <n v="2"/>
    <n v="80.73"/>
    <n v="268.57"/>
    <m/>
    <n v="0"/>
    <x v="1"/>
    <x v="597"/>
    <x v="2"/>
    <d v="2025-10-28T00:00:00"/>
    <d v="2025-11-07T00:00:00"/>
    <d v="2025-11-05T00:00:00"/>
    <x v="0"/>
    <x v="3"/>
    <s v="Qualidade impecável, voltarei a comprar."/>
    <x v="617"/>
    <n v="161.46"/>
    <x v="616"/>
    <x v="617"/>
    <x v="2"/>
    <x v="0"/>
  </r>
  <r>
    <x v="618"/>
    <n v="85"/>
    <x v="618"/>
    <x v="13"/>
    <x v="13"/>
    <x v="0"/>
    <n v="2074"/>
    <n v="3"/>
    <n v="231.77"/>
    <n v="351.85"/>
    <m/>
    <n v="0"/>
    <x v="3"/>
    <x v="598"/>
    <x v="8"/>
    <d v="2025-10-29T00:00:00"/>
    <d v="2025-11-08T00:00:00"/>
    <d v="2025-11-05T00:00:00"/>
    <x v="0"/>
    <x v="3"/>
    <s v="Entrega no prazo e produto conforme descrito."/>
    <x v="618"/>
    <n v="695.31000000000006"/>
    <x v="617"/>
    <x v="618"/>
    <x v="0"/>
    <x v="0"/>
  </r>
  <r>
    <x v="619"/>
    <n v="22"/>
    <x v="619"/>
    <x v="0"/>
    <x v="0"/>
    <x v="0"/>
    <n v="2790"/>
    <n v="3"/>
    <n v="2080.5100000000002"/>
    <n v="3370.04"/>
    <s v="PROMO10"/>
    <n v="0.1"/>
    <x v="1"/>
    <x v="599"/>
    <x v="4"/>
    <d v="2025-10-29T00:00:00"/>
    <d v="2025-11-03T00:00:00"/>
    <m/>
    <x v="1"/>
    <x v="3"/>
    <s v="Produto top, recomendo!"/>
    <x v="619"/>
    <n v="6241.5300000000007"/>
    <x v="618"/>
    <x v="619"/>
    <x v="3"/>
    <x v="1"/>
  </r>
  <r>
    <x v="620"/>
    <n v="82"/>
    <x v="620"/>
    <x v="3"/>
    <x v="3"/>
    <x v="2"/>
    <n v="722"/>
    <n v="1"/>
    <n v="174.44"/>
    <n v="267.89999999999998"/>
    <m/>
    <n v="0"/>
    <x v="3"/>
    <x v="600"/>
    <x v="7"/>
    <d v="2025-10-30T00:00:00"/>
    <d v="2025-11-06T00:00:00"/>
    <d v="2025-11-02T00:00:00"/>
    <x v="0"/>
    <x v="3"/>
    <s v="Frete rápido, adorei!"/>
    <x v="620"/>
    <n v="174.44"/>
    <x v="619"/>
    <x v="620"/>
    <x v="1"/>
    <x v="0"/>
  </r>
  <r>
    <x v="621"/>
    <n v="200"/>
    <x v="621"/>
    <x v="1"/>
    <x v="1"/>
    <x v="0"/>
    <n v="2499"/>
    <n v="3"/>
    <n v="673.6"/>
    <n v="887.94"/>
    <m/>
    <n v="0"/>
    <x v="1"/>
    <x v="601"/>
    <x v="1"/>
    <d v="2025-10-30T00:00:00"/>
    <d v="2025-11-07T00:00:00"/>
    <d v="2025-11-04T00:00:00"/>
    <x v="0"/>
    <x v="0"/>
    <s v="Produto original, vendedor confiável."/>
    <x v="621"/>
    <n v="2020.8"/>
    <x v="620"/>
    <x v="621"/>
    <x v="0"/>
    <x v="0"/>
  </r>
  <r>
    <x v="622"/>
    <n v="11"/>
    <x v="622"/>
    <x v="11"/>
    <x v="11"/>
    <x v="2"/>
    <n v="293"/>
    <n v="1"/>
    <n v="42.64"/>
    <n v="83.56"/>
    <s v="OFF20"/>
    <n v="0.2"/>
    <x v="2"/>
    <x v="602"/>
    <x v="4"/>
    <d v="2025-10-31T00:00:00"/>
    <d v="2025-11-09T00:00:00"/>
    <d v="2025-11-07T00:00:00"/>
    <x v="0"/>
    <x v="0"/>
    <s v="Entrega rápida, muito satisfeito!"/>
    <x v="622"/>
    <n v="42.64"/>
    <x v="621"/>
    <x v="622"/>
    <x v="2"/>
    <x v="0"/>
  </r>
  <r>
    <x v="623"/>
    <n v="131"/>
    <x v="623"/>
    <x v="6"/>
    <x v="6"/>
    <x v="2"/>
    <n v="258"/>
    <n v="1"/>
    <n v="45.27"/>
    <n v="148.65"/>
    <m/>
    <n v="0"/>
    <x v="0"/>
    <x v="603"/>
    <x v="1"/>
    <d v="2025-10-30T00:00:00"/>
    <d v="2025-11-04T00:00:00"/>
    <d v="2025-11-02T00:00:00"/>
    <x v="0"/>
    <x v="0"/>
    <s v="Entrega rápida, muito satisfeito!"/>
    <x v="623"/>
    <n v="45.27"/>
    <x v="622"/>
    <x v="623"/>
    <x v="2"/>
    <x v="0"/>
  </r>
  <r>
    <x v="624"/>
    <n v="14"/>
    <x v="624"/>
    <x v="0"/>
    <x v="0"/>
    <x v="0"/>
    <n v="2664"/>
    <n v="1"/>
    <n v="2307.81"/>
    <n v="3491.73"/>
    <m/>
    <n v="0"/>
    <x v="3"/>
    <x v="604"/>
    <x v="2"/>
    <d v="2025-11-02T00:00:00"/>
    <d v="2025-11-08T00:00:00"/>
    <d v="2025-11-12T00:00:00"/>
    <x v="0"/>
    <x v="4"/>
    <s v="Veio errado, tive que devolver."/>
    <x v="624"/>
    <n v="2307.81"/>
    <x v="623"/>
    <x v="624"/>
    <x v="7"/>
    <x v="2"/>
  </r>
  <r>
    <x v="625"/>
    <n v="172"/>
    <x v="625"/>
    <x v="18"/>
    <x v="18"/>
    <x v="0"/>
    <n v="3266"/>
    <n v="3"/>
    <n v="337.35"/>
    <n v="510.53"/>
    <m/>
    <n v="0"/>
    <x v="0"/>
    <x v="605"/>
    <x v="5"/>
    <d v="2025-11-01T00:00:00"/>
    <d v="2025-11-08T00:00:00"/>
    <m/>
    <x v="2"/>
    <x v="4"/>
    <s v="Produto não era o que esperava."/>
    <x v="625"/>
    <n v="1012.05"/>
    <x v="624"/>
    <x v="625"/>
    <x v="3"/>
    <x v="1"/>
  </r>
  <r>
    <x v="626"/>
    <n v="140"/>
    <x v="626"/>
    <x v="5"/>
    <x v="5"/>
    <x v="2"/>
    <n v="262"/>
    <n v="2"/>
    <n v="75.86"/>
    <n v="114.21"/>
    <s v="PROMO10"/>
    <n v="0.1"/>
    <x v="0"/>
    <x v="606"/>
    <x v="2"/>
    <d v="2025-11-02T00:00:00"/>
    <d v="2025-11-07T00:00:00"/>
    <d v="2025-11-07T00:00:00"/>
    <x v="0"/>
    <x v="3"/>
    <s v="Frete rápido, adorei!"/>
    <x v="626"/>
    <n v="151.72"/>
    <x v="625"/>
    <x v="626"/>
    <x v="4"/>
    <x v="0"/>
  </r>
  <r>
    <x v="627"/>
    <n v="92"/>
    <x v="627"/>
    <x v="4"/>
    <x v="4"/>
    <x v="0"/>
    <n v="4231"/>
    <n v="2"/>
    <n v="355.1"/>
    <n v="480.36"/>
    <s v="OFF20"/>
    <n v="0.2"/>
    <x v="0"/>
    <x v="607"/>
    <x v="4"/>
    <d v="2025-11-02T00:00:00"/>
    <d v="2025-11-10T00:00:00"/>
    <d v="2025-11-09T00:00:00"/>
    <x v="0"/>
    <x v="3"/>
    <s v="Superou minhas expectativas!"/>
    <x v="627"/>
    <n v="710.2"/>
    <x v="626"/>
    <x v="627"/>
    <x v="6"/>
    <x v="0"/>
  </r>
  <r>
    <x v="628"/>
    <n v="169"/>
    <x v="628"/>
    <x v="4"/>
    <x v="4"/>
    <x v="0"/>
    <n v="4090"/>
    <n v="3"/>
    <n v="349.35"/>
    <n v="406.54"/>
    <m/>
    <n v="0"/>
    <x v="0"/>
    <x v="608"/>
    <x v="4"/>
    <d v="2025-11-02T00:00:00"/>
    <d v="2025-11-08T00:00:00"/>
    <d v="2025-11-04T00:00:00"/>
    <x v="0"/>
    <x v="0"/>
    <s v="Parabéns pela agilidade!"/>
    <x v="628"/>
    <n v="1048.05"/>
    <x v="627"/>
    <x v="628"/>
    <x v="1"/>
    <x v="0"/>
  </r>
  <r>
    <x v="629"/>
    <n v="89"/>
    <x v="629"/>
    <x v="19"/>
    <x v="19"/>
    <x v="0"/>
    <n v="4550"/>
    <n v="1"/>
    <n v="1026.95"/>
    <n v="1534.61"/>
    <s v="OFF20"/>
    <n v="0.2"/>
    <x v="0"/>
    <x v="609"/>
    <x v="14"/>
    <d v="2025-11-03T00:00:00"/>
    <d v="2025-11-12T00:00:00"/>
    <d v="2025-11-10T00:00:00"/>
    <x v="0"/>
    <x v="0"/>
    <s v="Muito bom, sem reclamações."/>
    <x v="629"/>
    <n v="1026.95"/>
    <x v="628"/>
    <x v="629"/>
    <x v="2"/>
    <x v="0"/>
  </r>
  <r>
    <x v="630"/>
    <n v="3"/>
    <x v="630"/>
    <x v="3"/>
    <x v="3"/>
    <x v="2"/>
    <n v="602"/>
    <n v="2"/>
    <n v="138.9"/>
    <n v="182.17"/>
    <m/>
    <n v="0"/>
    <x v="3"/>
    <x v="610"/>
    <x v="7"/>
    <d v="2025-11-03T00:00:00"/>
    <d v="2025-11-13T00:00:00"/>
    <m/>
    <x v="2"/>
    <x v="1"/>
    <s v="Chegou com pequeno atraso, mas o produto é bom."/>
    <x v="630"/>
    <n v="277.8"/>
    <x v="629"/>
    <x v="630"/>
    <x v="3"/>
    <x v="1"/>
  </r>
  <r>
    <x v="631"/>
    <n v="17"/>
    <x v="631"/>
    <x v="20"/>
    <x v="20"/>
    <x v="3"/>
    <n v="0"/>
    <n v="2"/>
    <n v="183.42"/>
    <n v="355.91"/>
    <m/>
    <n v="0"/>
    <x v="0"/>
    <x v="611"/>
    <x v="4"/>
    <d v="2025-11-04T00:00:00"/>
    <d v="2025-11-12T00:00:00"/>
    <m/>
    <x v="2"/>
    <x v="1"/>
    <s v="Produto bom, mas o frete foi caro."/>
    <x v="631"/>
    <n v="366.84"/>
    <x v="630"/>
    <x v="631"/>
    <x v="3"/>
    <x v="1"/>
  </r>
  <r>
    <x v="632"/>
    <n v="73"/>
    <x v="632"/>
    <x v="15"/>
    <x v="15"/>
    <x v="3"/>
    <n v="0"/>
    <n v="3"/>
    <n v="258.31"/>
    <n v="739.03"/>
    <s v="PROMO10"/>
    <n v="0.1"/>
    <x v="2"/>
    <x v="612"/>
    <x v="1"/>
    <d v="2025-11-04T00:00:00"/>
    <d v="2025-11-12T00:00:00"/>
    <d v="2025-11-09T00:00:00"/>
    <x v="0"/>
    <x v="0"/>
    <s v="Produto top, recomendo!"/>
    <x v="632"/>
    <n v="774.93000000000006"/>
    <x v="631"/>
    <x v="632"/>
    <x v="0"/>
    <x v="0"/>
  </r>
  <r>
    <x v="633"/>
    <n v="176"/>
    <x v="633"/>
    <x v="18"/>
    <x v="18"/>
    <x v="0"/>
    <n v="3228"/>
    <n v="1"/>
    <n v="314.12"/>
    <n v="598.61"/>
    <m/>
    <n v="0"/>
    <x v="3"/>
    <x v="613"/>
    <x v="4"/>
    <d v="2025-11-04T00:00:00"/>
    <d v="2025-11-09T00:00:00"/>
    <d v="2025-11-07T00:00:00"/>
    <x v="0"/>
    <x v="0"/>
    <s v="Ótimo custo-benefício!"/>
    <x v="633"/>
    <n v="314.12"/>
    <x v="632"/>
    <x v="633"/>
    <x v="2"/>
    <x v="0"/>
  </r>
  <r>
    <x v="634"/>
    <n v="164"/>
    <x v="634"/>
    <x v="12"/>
    <x v="12"/>
    <x v="2"/>
    <n v="405"/>
    <n v="1"/>
    <n v="17.78"/>
    <n v="81.849999999999994"/>
    <m/>
    <n v="0"/>
    <x v="3"/>
    <x v="95"/>
    <x v="2"/>
    <d v="2025-11-05T00:00:00"/>
    <d v="2025-11-12T00:00:00"/>
    <d v="2025-11-07T00:00:00"/>
    <x v="0"/>
    <x v="3"/>
    <s v="Entrega rápida, muito satisfeito!"/>
    <x v="634"/>
    <n v="17.78"/>
    <x v="633"/>
    <x v="634"/>
    <x v="5"/>
    <x v="0"/>
  </r>
  <r>
    <x v="635"/>
    <n v="36"/>
    <x v="635"/>
    <x v="6"/>
    <x v="6"/>
    <x v="2"/>
    <n v="249"/>
    <n v="1"/>
    <n v="60.83"/>
    <n v="107.71"/>
    <m/>
    <n v="0"/>
    <x v="1"/>
    <x v="614"/>
    <x v="8"/>
    <d v="2025-11-04T00:00:00"/>
    <d v="2025-11-11T00:00:00"/>
    <m/>
    <x v="1"/>
    <x v="3"/>
    <s v="Produto top, recomendo!"/>
    <x v="635"/>
    <n v="60.83"/>
    <x v="634"/>
    <x v="635"/>
    <x v="3"/>
    <x v="1"/>
  </r>
  <r>
    <x v="636"/>
    <n v="63"/>
    <x v="636"/>
    <x v="7"/>
    <x v="7"/>
    <x v="0"/>
    <n v="2756"/>
    <n v="3"/>
    <n v="2992.7"/>
    <n v="4398.9399999999996"/>
    <m/>
    <n v="0"/>
    <x v="1"/>
    <x v="615"/>
    <x v="2"/>
    <d v="2025-11-04T00:00:00"/>
    <d v="2025-11-10T00:00:00"/>
    <d v="2025-11-06T00:00:00"/>
    <x v="0"/>
    <x v="0"/>
    <s v="Produto original, vendedor confiável."/>
    <x v="636"/>
    <n v="8978.0999999999985"/>
    <x v="635"/>
    <x v="636"/>
    <x v="1"/>
    <x v="0"/>
  </r>
  <r>
    <x v="637"/>
    <n v="22"/>
    <x v="637"/>
    <x v="7"/>
    <x v="7"/>
    <x v="0"/>
    <n v="2512"/>
    <n v="2"/>
    <n v="2617.14"/>
    <n v="4778.8500000000004"/>
    <m/>
    <n v="0"/>
    <x v="2"/>
    <x v="616"/>
    <x v="2"/>
    <d v="2025-11-04T00:00:00"/>
    <d v="2025-11-09T00:00:00"/>
    <d v="2025-11-08T00:00:00"/>
    <x v="0"/>
    <x v="3"/>
    <s v="Muito bom, sem reclamações."/>
    <x v="637"/>
    <n v="5234.28"/>
    <x v="636"/>
    <x v="637"/>
    <x v="6"/>
    <x v="0"/>
  </r>
  <r>
    <x v="638"/>
    <n v="61"/>
    <x v="638"/>
    <x v="11"/>
    <x v="11"/>
    <x v="2"/>
    <n v="293"/>
    <n v="3"/>
    <n v="59.03"/>
    <n v="115.59"/>
    <s v="PROMO10"/>
    <n v="0.1"/>
    <x v="2"/>
    <x v="617"/>
    <x v="0"/>
    <d v="2025-11-05T00:00:00"/>
    <d v="2025-11-15T00:00:00"/>
    <d v="2025-11-09T00:00:00"/>
    <x v="0"/>
    <x v="3"/>
    <s v="Produto top, recomendo!"/>
    <x v="638"/>
    <n v="177.09"/>
    <x v="637"/>
    <x v="638"/>
    <x v="12"/>
    <x v="0"/>
  </r>
  <r>
    <x v="639"/>
    <n v="20"/>
    <x v="639"/>
    <x v="20"/>
    <x v="20"/>
    <x v="3"/>
    <n v="0"/>
    <n v="3"/>
    <n v="386.77"/>
    <n v="626.17999999999995"/>
    <m/>
    <n v="0"/>
    <x v="2"/>
    <x v="618"/>
    <x v="8"/>
    <d v="2025-11-05T00:00:00"/>
    <d v="2025-11-10T00:00:00"/>
    <d v="2025-11-09T00:00:00"/>
    <x v="0"/>
    <x v="3"/>
    <s v="Muito bom, sem reclamações."/>
    <x v="639"/>
    <n v="1160.31"/>
    <x v="638"/>
    <x v="639"/>
    <x v="6"/>
    <x v="0"/>
  </r>
  <r>
    <x v="640"/>
    <n v="165"/>
    <x v="640"/>
    <x v="2"/>
    <x v="2"/>
    <x v="1"/>
    <n v="0"/>
    <n v="1"/>
    <n v="41.93"/>
    <n v="83.37"/>
    <s v="OFF20"/>
    <n v="0.2"/>
    <x v="1"/>
    <x v="619"/>
    <x v="11"/>
    <d v="2025-11-06T00:00:00"/>
    <d v="2025-11-11T00:00:00"/>
    <d v="2025-11-11T00:00:00"/>
    <x v="0"/>
    <x v="0"/>
    <s v="Frete rápido, adorei!"/>
    <x v="640"/>
    <n v="41.93"/>
    <x v="639"/>
    <x v="640"/>
    <x v="4"/>
    <x v="0"/>
  </r>
  <r>
    <x v="641"/>
    <n v="148"/>
    <x v="641"/>
    <x v="9"/>
    <x v="9"/>
    <x v="1"/>
    <n v="0"/>
    <n v="1"/>
    <n v="90"/>
    <n v="143.82"/>
    <s v="PROMO10"/>
    <n v="0.1"/>
    <x v="3"/>
    <x v="620"/>
    <x v="8"/>
    <d v="2025-11-07T00:00:00"/>
    <d v="2025-11-15T00:00:00"/>
    <d v="2025-11-09T00:00:00"/>
    <x v="0"/>
    <x v="3"/>
    <s v="Produto original, vendedor confiável."/>
    <x v="641"/>
    <n v="90"/>
    <x v="640"/>
    <x v="641"/>
    <x v="12"/>
    <x v="0"/>
  </r>
  <r>
    <x v="642"/>
    <n v="40"/>
    <x v="642"/>
    <x v="4"/>
    <x v="4"/>
    <x v="0"/>
    <n v="4087"/>
    <n v="3"/>
    <n v="467.76"/>
    <n v="582.14"/>
    <m/>
    <n v="0"/>
    <x v="1"/>
    <x v="621"/>
    <x v="1"/>
    <d v="2025-11-09T00:00:00"/>
    <d v="2025-11-18T00:00:00"/>
    <d v="2025-11-15T00:00:00"/>
    <x v="0"/>
    <x v="0"/>
    <s v="Parabéns pela agilidade!"/>
    <x v="642"/>
    <n v="1403.28"/>
    <x v="641"/>
    <x v="642"/>
    <x v="0"/>
    <x v="0"/>
  </r>
  <r>
    <x v="643"/>
    <n v="49"/>
    <x v="643"/>
    <x v="0"/>
    <x v="0"/>
    <x v="0"/>
    <n v="2458"/>
    <n v="2"/>
    <n v="1870.52"/>
    <n v="3189.15"/>
    <s v="OFF20"/>
    <n v="0.2"/>
    <x v="3"/>
    <x v="622"/>
    <x v="2"/>
    <d v="2025-11-10T00:00:00"/>
    <d v="2025-11-15T00:00:00"/>
    <d v="2025-11-13T00:00:00"/>
    <x v="0"/>
    <x v="0"/>
    <s v="Embalagem perfeita, produto intacto."/>
    <x v="643"/>
    <n v="3741.04"/>
    <x v="642"/>
    <x v="643"/>
    <x v="2"/>
    <x v="0"/>
  </r>
  <r>
    <x v="644"/>
    <n v="182"/>
    <x v="644"/>
    <x v="7"/>
    <x v="7"/>
    <x v="0"/>
    <n v="2217"/>
    <n v="3"/>
    <n v="2410.7399999999998"/>
    <n v="3529.37"/>
    <s v="PROMO10"/>
    <n v="0.1"/>
    <x v="2"/>
    <x v="623"/>
    <x v="2"/>
    <d v="2025-11-09T00:00:00"/>
    <d v="2025-11-19T00:00:00"/>
    <d v="2025-11-16T00:00:00"/>
    <x v="0"/>
    <x v="3"/>
    <s v="Qualidade impecável, voltarei a comprar."/>
    <x v="644"/>
    <n v="7232.2199999999993"/>
    <x v="643"/>
    <x v="644"/>
    <x v="0"/>
    <x v="0"/>
  </r>
  <r>
    <x v="645"/>
    <n v="106"/>
    <x v="645"/>
    <x v="1"/>
    <x v="1"/>
    <x v="0"/>
    <n v="2697"/>
    <n v="3"/>
    <n v="773.54"/>
    <n v="1238.31"/>
    <m/>
    <n v="0"/>
    <x v="2"/>
    <x v="624"/>
    <x v="2"/>
    <d v="2025-11-10T00:00:00"/>
    <d v="2025-11-17T00:00:00"/>
    <d v="2025-11-20T00:00:00"/>
    <x v="0"/>
    <x v="2"/>
    <s v="Muito atraso na entrega."/>
    <x v="645"/>
    <n v="2320.62"/>
    <x v="644"/>
    <x v="645"/>
    <x v="11"/>
    <x v="2"/>
  </r>
  <r>
    <x v="646"/>
    <n v="95"/>
    <x v="646"/>
    <x v="11"/>
    <x v="11"/>
    <x v="2"/>
    <n v="292"/>
    <n v="2"/>
    <n v="31.26"/>
    <n v="117.87"/>
    <m/>
    <n v="0"/>
    <x v="1"/>
    <x v="625"/>
    <x v="8"/>
    <d v="2025-11-10T00:00:00"/>
    <d v="2025-11-20T00:00:00"/>
    <d v="2025-11-17T00:00:00"/>
    <x v="0"/>
    <x v="3"/>
    <s v="Produto original, vendedor confiável."/>
    <x v="646"/>
    <n v="62.52"/>
    <x v="645"/>
    <x v="646"/>
    <x v="0"/>
    <x v="0"/>
  </r>
  <r>
    <x v="647"/>
    <n v="98"/>
    <x v="647"/>
    <x v="0"/>
    <x v="0"/>
    <x v="0"/>
    <n v="2095"/>
    <n v="3"/>
    <n v="1711.4"/>
    <n v="2736.94"/>
    <m/>
    <n v="0"/>
    <x v="0"/>
    <x v="626"/>
    <x v="13"/>
    <d v="2025-11-11T00:00:00"/>
    <d v="2025-11-18T00:00:00"/>
    <m/>
    <x v="2"/>
    <x v="4"/>
    <s v="Pior experiência de compra online."/>
    <x v="647"/>
    <n v="5134.2000000000007"/>
    <x v="646"/>
    <x v="647"/>
    <x v="3"/>
    <x v="1"/>
  </r>
  <r>
    <x v="648"/>
    <n v="124"/>
    <x v="648"/>
    <x v="6"/>
    <x v="6"/>
    <x v="2"/>
    <n v="296"/>
    <n v="1"/>
    <n v="69.33"/>
    <n v="105.48"/>
    <s v="OFF20"/>
    <n v="0.2"/>
    <x v="1"/>
    <x v="627"/>
    <x v="14"/>
    <d v="2025-11-10T00:00:00"/>
    <d v="2025-11-15T00:00:00"/>
    <d v="2025-11-12T00:00:00"/>
    <x v="0"/>
    <x v="0"/>
    <s v="Produto original, vendedor confiável."/>
    <x v="648"/>
    <n v="69.33"/>
    <x v="647"/>
    <x v="648"/>
    <x v="0"/>
    <x v="0"/>
  </r>
  <r>
    <x v="649"/>
    <n v="123"/>
    <x v="649"/>
    <x v="6"/>
    <x v="6"/>
    <x v="2"/>
    <n v="207"/>
    <n v="1"/>
    <n v="74.33"/>
    <n v="106.24"/>
    <m/>
    <n v="0"/>
    <x v="2"/>
    <x v="628"/>
    <x v="8"/>
    <d v="2025-11-10T00:00:00"/>
    <d v="2025-11-20T00:00:00"/>
    <d v="2025-11-13T00:00:00"/>
    <x v="0"/>
    <x v="3"/>
    <s v="Produto original, vendedor confiável."/>
    <x v="649"/>
    <n v="74.33"/>
    <x v="648"/>
    <x v="649"/>
    <x v="9"/>
    <x v="0"/>
  </r>
  <r>
    <x v="650"/>
    <n v="50"/>
    <x v="650"/>
    <x v="19"/>
    <x v="19"/>
    <x v="0"/>
    <n v="4951"/>
    <n v="3"/>
    <n v="709.93"/>
    <n v="1415.7"/>
    <m/>
    <n v="0"/>
    <x v="2"/>
    <x v="629"/>
    <x v="4"/>
    <d v="2025-11-11T00:00:00"/>
    <d v="2025-11-21T00:00:00"/>
    <d v="2025-11-21T00:00:00"/>
    <x v="0"/>
    <x v="0"/>
    <s v="Entrega no prazo e produto conforme descrito."/>
    <x v="650"/>
    <n v="2129.79"/>
    <x v="649"/>
    <x v="650"/>
    <x v="4"/>
    <x v="0"/>
  </r>
  <r>
    <x v="651"/>
    <n v="98"/>
    <x v="651"/>
    <x v="14"/>
    <x v="14"/>
    <x v="0"/>
    <n v="2049"/>
    <n v="3"/>
    <n v="904.87"/>
    <n v="2484.48"/>
    <m/>
    <n v="0"/>
    <x v="0"/>
    <x v="630"/>
    <x v="9"/>
    <d v="2025-11-12T00:00:00"/>
    <d v="2025-11-21T00:00:00"/>
    <d v="2025-11-17T00:00:00"/>
    <x v="0"/>
    <x v="0"/>
    <s v="Embalagem perfeita, produto intacto."/>
    <x v="651"/>
    <n v="2714.61"/>
    <x v="650"/>
    <x v="651"/>
    <x v="1"/>
    <x v="0"/>
  </r>
  <r>
    <x v="652"/>
    <n v="111"/>
    <x v="652"/>
    <x v="0"/>
    <x v="0"/>
    <x v="0"/>
    <n v="2156"/>
    <n v="3"/>
    <n v="1870.26"/>
    <n v="3031.28"/>
    <s v="PROMO10"/>
    <n v="0.1"/>
    <x v="3"/>
    <x v="631"/>
    <x v="0"/>
    <d v="2025-11-12T00:00:00"/>
    <d v="2025-11-17T00:00:00"/>
    <d v="2025-11-15T00:00:00"/>
    <x v="0"/>
    <x v="0"/>
    <s v="Produto top, recomendo!"/>
    <x v="652"/>
    <n v="5610.78"/>
    <x v="651"/>
    <x v="652"/>
    <x v="2"/>
    <x v="0"/>
  </r>
  <r>
    <x v="653"/>
    <n v="86"/>
    <x v="653"/>
    <x v="12"/>
    <x v="12"/>
    <x v="2"/>
    <n v="542"/>
    <n v="3"/>
    <n v="18.37"/>
    <n v="87.29"/>
    <s v="PROMO10"/>
    <n v="0.1"/>
    <x v="0"/>
    <x v="632"/>
    <x v="8"/>
    <d v="2025-11-12T00:00:00"/>
    <d v="2025-11-22T00:00:00"/>
    <d v="2025-11-17T00:00:00"/>
    <x v="0"/>
    <x v="0"/>
    <s v="Parabéns pela agilidade!"/>
    <x v="653"/>
    <n v="55.11"/>
    <x v="652"/>
    <x v="653"/>
    <x v="5"/>
    <x v="0"/>
  </r>
  <r>
    <x v="654"/>
    <n v="24"/>
    <x v="654"/>
    <x v="10"/>
    <x v="10"/>
    <x v="2"/>
    <n v="333"/>
    <n v="2"/>
    <n v="55.58"/>
    <n v="72.05"/>
    <m/>
    <n v="0"/>
    <x v="2"/>
    <x v="633"/>
    <x v="1"/>
    <d v="2025-11-12T00:00:00"/>
    <d v="2025-11-18T00:00:00"/>
    <d v="2025-11-16T00:00:00"/>
    <x v="0"/>
    <x v="3"/>
    <s v="Tudo certo, nota 10!"/>
    <x v="654"/>
    <n v="111.16"/>
    <x v="653"/>
    <x v="654"/>
    <x v="2"/>
    <x v="0"/>
  </r>
  <r>
    <x v="655"/>
    <n v="1"/>
    <x v="655"/>
    <x v="17"/>
    <x v="17"/>
    <x v="2"/>
    <n v="464"/>
    <n v="2"/>
    <n v="104.39"/>
    <n v="162.85"/>
    <s v="OFF20"/>
    <n v="0.2"/>
    <x v="0"/>
    <x v="634"/>
    <x v="4"/>
    <d v="2025-11-11T00:00:00"/>
    <d v="2025-11-20T00:00:00"/>
    <d v="2025-11-16T00:00:00"/>
    <x v="0"/>
    <x v="0"/>
    <s v="Produto de qualidade, entrega pontual."/>
    <x v="655"/>
    <n v="208.78"/>
    <x v="654"/>
    <x v="655"/>
    <x v="1"/>
    <x v="0"/>
  </r>
  <r>
    <x v="656"/>
    <n v="169"/>
    <x v="656"/>
    <x v="6"/>
    <x v="6"/>
    <x v="2"/>
    <n v="216"/>
    <n v="2"/>
    <n v="52"/>
    <n v="83.72"/>
    <m/>
    <n v="0"/>
    <x v="3"/>
    <x v="635"/>
    <x v="2"/>
    <d v="2025-11-11T00:00:00"/>
    <d v="2025-11-20T00:00:00"/>
    <m/>
    <x v="1"/>
    <x v="3"/>
    <s v="Produto de qualidade, entrega pontual."/>
    <x v="656"/>
    <n v="104"/>
    <x v="655"/>
    <x v="656"/>
    <x v="3"/>
    <x v="1"/>
  </r>
  <r>
    <x v="657"/>
    <n v="2"/>
    <x v="657"/>
    <x v="9"/>
    <x v="9"/>
    <x v="1"/>
    <n v="0"/>
    <n v="1"/>
    <n v="56.25"/>
    <n v="131.66999999999999"/>
    <m/>
    <n v="0"/>
    <x v="1"/>
    <x v="636"/>
    <x v="1"/>
    <d v="2025-11-13T00:00:00"/>
    <d v="2025-11-18T00:00:00"/>
    <d v="2025-11-19T00:00:00"/>
    <x v="0"/>
    <x v="1"/>
    <s v="Produto ok, mas a entrega atrasou um pouco."/>
    <x v="657"/>
    <n v="56.25"/>
    <x v="656"/>
    <x v="657"/>
    <x v="8"/>
    <x v="2"/>
  </r>
  <r>
    <x v="658"/>
    <n v="122"/>
    <x v="658"/>
    <x v="4"/>
    <x v="4"/>
    <x v="0"/>
    <n v="4828"/>
    <n v="3"/>
    <n v="230.92"/>
    <n v="379.87"/>
    <s v="OFF20"/>
    <n v="0.2"/>
    <x v="2"/>
    <x v="637"/>
    <x v="1"/>
    <d v="2025-11-13T00:00:00"/>
    <d v="2025-11-18T00:00:00"/>
    <d v="2025-11-15T00:00:00"/>
    <x v="0"/>
    <x v="3"/>
    <s v="Embalagem perfeita, produto intacto."/>
    <x v="658"/>
    <n v="692.76"/>
    <x v="657"/>
    <x v="658"/>
    <x v="0"/>
    <x v="0"/>
  </r>
  <r>
    <x v="659"/>
    <n v="155"/>
    <x v="659"/>
    <x v="5"/>
    <x v="5"/>
    <x v="2"/>
    <n v="298"/>
    <n v="1"/>
    <n v="67.150000000000006"/>
    <n v="84.89"/>
    <m/>
    <n v="0"/>
    <x v="1"/>
    <x v="638"/>
    <x v="12"/>
    <d v="2025-11-15T00:00:00"/>
    <d v="2025-11-21T00:00:00"/>
    <d v="2025-11-23T00:00:00"/>
    <x v="0"/>
    <x v="1"/>
    <s v="Entrega demorou mais que o previsto."/>
    <x v="659"/>
    <n v="67.150000000000006"/>
    <x v="658"/>
    <x v="659"/>
    <x v="14"/>
    <x v="2"/>
  </r>
  <r>
    <x v="660"/>
    <n v="142"/>
    <x v="660"/>
    <x v="17"/>
    <x v="17"/>
    <x v="2"/>
    <n v="489"/>
    <n v="3"/>
    <n v="127.19"/>
    <n v="222.43"/>
    <m/>
    <n v="0"/>
    <x v="1"/>
    <x v="639"/>
    <x v="12"/>
    <d v="2025-11-16T00:00:00"/>
    <d v="2025-11-25T00:00:00"/>
    <d v="2025-11-22T00:00:00"/>
    <x v="0"/>
    <x v="3"/>
    <s v="Excelente atendimento e entrega."/>
    <x v="660"/>
    <n v="381.57"/>
    <x v="659"/>
    <x v="660"/>
    <x v="0"/>
    <x v="0"/>
  </r>
  <r>
    <x v="661"/>
    <n v="108"/>
    <x v="661"/>
    <x v="18"/>
    <x v="18"/>
    <x v="0"/>
    <n v="2872"/>
    <n v="2"/>
    <n v="503.69"/>
    <n v="954.43"/>
    <s v="PROMO10"/>
    <n v="0.1"/>
    <x v="1"/>
    <x v="640"/>
    <x v="4"/>
    <d v="2025-11-17T00:00:00"/>
    <d v="2025-11-25T00:00:00"/>
    <d v="2025-11-25T00:00:00"/>
    <x v="0"/>
    <x v="0"/>
    <s v="Excelente atendimento e entrega."/>
    <x v="661"/>
    <n v="1007.38"/>
    <x v="660"/>
    <x v="661"/>
    <x v="4"/>
    <x v="0"/>
  </r>
  <r>
    <x v="662"/>
    <n v="106"/>
    <x v="662"/>
    <x v="4"/>
    <x v="4"/>
    <x v="0"/>
    <n v="4091"/>
    <n v="2"/>
    <n v="457.22"/>
    <n v="563.64"/>
    <s v="OFF20"/>
    <n v="0.2"/>
    <x v="0"/>
    <x v="641"/>
    <x v="3"/>
    <d v="2025-11-17T00:00:00"/>
    <d v="2025-11-23T00:00:00"/>
    <d v="2025-11-28T00:00:00"/>
    <x v="0"/>
    <x v="1"/>
    <s v="Produto ok, mas a entrega atrasou um pouco."/>
    <x v="662"/>
    <n v="914.44"/>
    <x v="661"/>
    <x v="662"/>
    <x v="10"/>
    <x v="2"/>
  </r>
  <r>
    <x v="663"/>
    <n v="128"/>
    <x v="663"/>
    <x v="7"/>
    <x v="7"/>
    <x v="0"/>
    <n v="2227"/>
    <n v="1"/>
    <n v="2554.94"/>
    <n v="4562.58"/>
    <m/>
    <n v="0"/>
    <x v="3"/>
    <x v="642"/>
    <x v="8"/>
    <d v="2025-11-17T00:00:00"/>
    <d v="2025-11-26T00:00:00"/>
    <d v="2025-11-23T00:00:00"/>
    <x v="0"/>
    <x v="3"/>
    <s v="Produto top, recomendo!"/>
    <x v="663"/>
    <n v="2554.94"/>
    <x v="662"/>
    <x v="663"/>
    <x v="0"/>
    <x v="0"/>
  </r>
  <r>
    <x v="664"/>
    <n v="135"/>
    <x v="664"/>
    <x v="16"/>
    <x v="16"/>
    <x v="1"/>
    <n v="0"/>
    <n v="1"/>
    <n v="71.849999999999994"/>
    <n v="138.99"/>
    <s v="OFF20"/>
    <n v="0.2"/>
    <x v="0"/>
    <x v="200"/>
    <x v="4"/>
    <d v="2025-11-17T00:00:00"/>
    <d v="2025-11-23T00:00:00"/>
    <d v="2025-11-19T00:00:00"/>
    <x v="0"/>
    <x v="3"/>
    <s v="Superou minhas expectativas!"/>
    <x v="664"/>
    <n v="71.849999999999994"/>
    <x v="663"/>
    <x v="664"/>
    <x v="1"/>
    <x v="0"/>
  </r>
  <r>
    <x v="665"/>
    <n v="116"/>
    <x v="665"/>
    <x v="18"/>
    <x v="18"/>
    <x v="0"/>
    <n v="3332"/>
    <n v="3"/>
    <n v="486.94"/>
    <n v="895.33"/>
    <m/>
    <n v="0"/>
    <x v="2"/>
    <x v="643"/>
    <x v="8"/>
    <d v="2025-11-17T00:00:00"/>
    <d v="2025-11-22T00:00:00"/>
    <d v="2025-11-22T00:00:00"/>
    <x v="0"/>
    <x v="0"/>
    <s v="Embalagem perfeita, produto intacto."/>
    <x v="665"/>
    <n v="1460.82"/>
    <x v="664"/>
    <x v="665"/>
    <x v="4"/>
    <x v="0"/>
  </r>
  <r>
    <x v="666"/>
    <n v="140"/>
    <x v="666"/>
    <x v="5"/>
    <x v="5"/>
    <x v="2"/>
    <n v="272"/>
    <n v="3"/>
    <n v="47.67"/>
    <n v="115.52"/>
    <m/>
    <n v="0"/>
    <x v="3"/>
    <x v="644"/>
    <x v="8"/>
    <d v="2025-11-19T00:00:00"/>
    <d v="2025-11-28T00:00:00"/>
    <d v="2025-11-26T00:00:00"/>
    <x v="0"/>
    <x v="0"/>
    <s v="Excelente atendimento e entrega."/>
    <x v="666"/>
    <n v="143.01"/>
    <x v="665"/>
    <x v="666"/>
    <x v="2"/>
    <x v="0"/>
  </r>
  <r>
    <x v="667"/>
    <n v="151"/>
    <x v="667"/>
    <x v="2"/>
    <x v="2"/>
    <x v="1"/>
    <n v="0"/>
    <n v="2"/>
    <n v="68.23"/>
    <n v="122.57"/>
    <s v="OFF20"/>
    <n v="0.2"/>
    <x v="2"/>
    <x v="275"/>
    <x v="2"/>
    <d v="2025-11-18T00:00:00"/>
    <d v="2025-11-23T00:00:00"/>
    <d v="2025-11-22T00:00:00"/>
    <x v="0"/>
    <x v="3"/>
    <s v="Embalagem perfeita, produto intacto."/>
    <x v="667"/>
    <n v="136.46"/>
    <x v="666"/>
    <x v="667"/>
    <x v="6"/>
    <x v="0"/>
  </r>
  <r>
    <x v="668"/>
    <n v="134"/>
    <x v="668"/>
    <x v="3"/>
    <x v="3"/>
    <x v="2"/>
    <n v="685"/>
    <n v="1"/>
    <n v="168.61"/>
    <n v="293.83"/>
    <m/>
    <n v="0"/>
    <x v="3"/>
    <x v="645"/>
    <x v="2"/>
    <d v="2025-11-18T00:00:00"/>
    <d v="2025-11-27T00:00:00"/>
    <d v="2025-11-22T00:00:00"/>
    <x v="0"/>
    <x v="0"/>
    <s v="Produto original, vendedor confiável."/>
    <x v="668"/>
    <n v="168.61"/>
    <x v="667"/>
    <x v="668"/>
    <x v="5"/>
    <x v="0"/>
  </r>
  <r>
    <x v="669"/>
    <n v="40"/>
    <x v="669"/>
    <x v="2"/>
    <x v="2"/>
    <x v="1"/>
    <n v="0"/>
    <n v="3"/>
    <n v="29.63"/>
    <n v="141.36000000000001"/>
    <m/>
    <n v="0"/>
    <x v="2"/>
    <x v="646"/>
    <x v="3"/>
    <d v="2025-11-18T00:00:00"/>
    <d v="2025-11-24T00:00:00"/>
    <d v="2025-11-20T00:00:00"/>
    <x v="0"/>
    <x v="3"/>
    <s v="Tudo certo, nota 10!"/>
    <x v="669"/>
    <n v="88.89"/>
    <x v="668"/>
    <x v="669"/>
    <x v="1"/>
    <x v="0"/>
  </r>
  <r>
    <x v="670"/>
    <n v="145"/>
    <x v="670"/>
    <x v="6"/>
    <x v="6"/>
    <x v="2"/>
    <n v="269"/>
    <n v="3"/>
    <n v="46.59"/>
    <n v="131.66"/>
    <m/>
    <n v="0"/>
    <x v="1"/>
    <x v="198"/>
    <x v="13"/>
    <d v="2025-11-19T00:00:00"/>
    <d v="2025-11-25T00:00:00"/>
    <d v="2025-11-24T00:00:00"/>
    <x v="0"/>
    <x v="3"/>
    <s v="Muito bom, sem reclamações."/>
    <x v="670"/>
    <n v="139.77000000000001"/>
    <x v="669"/>
    <x v="670"/>
    <x v="6"/>
    <x v="0"/>
  </r>
  <r>
    <x v="671"/>
    <n v="8"/>
    <x v="671"/>
    <x v="19"/>
    <x v="19"/>
    <x v="0"/>
    <n v="3703"/>
    <n v="2"/>
    <n v="839.26"/>
    <n v="1591.35"/>
    <m/>
    <n v="0"/>
    <x v="2"/>
    <x v="647"/>
    <x v="12"/>
    <d v="2025-11-20T00:00:00"/>
    <d v="2025-11-25T00:00:00"/>
    <d v="2025-11-23T00:00:00"/>
    <x v="0"/>
    <x v="3"/>
    <s v="Muito bom, sem reclamações."/>
    <x v="671"/>
    <n v="1678.52"/>
    <x v="670"/>
    <x v="671"/>
    <x v="2"/>
    <x v="0"/>
  </r>
  <r>
    <x v="672"/>
    <n v="154"/>
    <x v="672"/>
    <x v="19"/>
    <x v="19"/>
    <x v="0"/>
    <n v="4130"/>
    <n v="2"/>
    <n v="899.21"/>
    <n v="1813.51"/>
    <s v="OFF20"/>
    <n v="0.2"/>
    <x v="2"/>
    <x v="327"/>
    <x v="0"/>
    <d v="2025-11-20T00:00:00"/>
    <d v="2025-11-27T00:00:00"/>
    <d v="2025-11-23T00:00:00"/>
    <x v="0"/>
    <x v="0"/>
    <s v="Ótimo custo-benefício!"/>
    <x v="672"/>
    <n v="1798.42"/>
    <x v="671"/>
    <x v="672"/>
    <x v="1"/>
    <x v="0"/>
  </r>
  <r>
    <x v="673"/>
    <n v="61"/>
    <x v="673"/>
    <x v="10"/>
    <x v="10"/>
    <x v="2"/>
    <n v="300"/>
    <n v="2"/>
    <n v="58.22"/>
    <n v="202.93"/>
    <m/>
    <n v="0"/>
    <x v="0"/>
    <x v="648"/>
    <x v="4"/>
    <d v="2025-11-20T00:00:00"/>
    <d v="2025-11-26T00:00:00"/>
    <d v="2025-11-22T00:00:00"/>
    <x v="0"/>
    <x v="3"/>
    <s v="Entrega no prazo e produto conforme descrito."/>
    <x v="673"/>
    <n v="116.44"/>
    <x v="672"/>
    <x v="673"/>
    <x v="1"/>
    <x v="0"/>
  </r>
  <r>
    <x v="674"/>
    <n v="104"/>
    <x v="674"/>
    <x v="1"/>
    <x v="1"/>
    <x v="0"/>
    <n v="2222"/>
    <n v="1"/>
    <n v="589.20000000000005"/>
    <n v="934.61"/>
    <m/>
    <n v="0"/>
    <x v="0"/>
    <x v="649"/>
    <x v="2"/>
    <d v="2025-11-22T00:00:00"/>
    <d v="2025-11-29T00:00:00"/>
    <d v="2025-12-03T00:00:00"/>
    <x v="0"/>
    <x v="1"/>
    <s v="Produto ok, mas a entrega atrasou um pouco."/>
    <x v="674"/>
    <n v="589.20000000000005"/>
    <x v="673"/>
    <x v="674"/>
    <x v="7"/>
    <x v="2"/>
  </r>
  <r>
    <x v="675"/>
    <n v="9"/>
    <x v="675"/>
    <x v="14"/>
    <x v="14"/>
    <x v="0"/>
    <n v="2123"/>
    <n v="1"/>
    <n v="1196.26"/>
    <n v="2077.3000000000002"/>
    <m/>
    <n v="0"/>
    <x v="0"/>
    <x v="650"/>
    <x v="13"/>
    <d v="2025-11-22T00:00:00"/>
    <d v="2025-11-27T00:00:00"/>
    <d v="2025-11-25T00:00:00"/>
    <x v="0"/>
    <x v="0"/>
    <s v="Produto top, recomendo!"/>
    <x v="675"/>
    <n v="1196.26"/>
    <x v="674"/>
    <x v="675"/>
    <x v="2"/>
    <x v="0"/>
  </r>
  <r>
    <x v="676"/>
    <n v="195"/>
    <x v="676"/>
    <x v="17"/>
    <x v="17"/>
    <x v="2"/>
    <n v="468"/>
    <n v="2"/>
    <n v="92.03"/>
    <n v="147.26"/>
    <s v="PROMO10"/>
    <n v="0.1"/>
    <x v="1"/>
    <x v="651"/>
    <x v="1"/>
    <d v="2025-11-23T00:00:00"/>
    <d v="2025-11-29T00:00:00"/>
    <m/>
    <x v="2"/>
    <x v="1"/>
    <s v="Esperava mais pela qualidade do produto."/>
    <x v="676"/>
    <n v="184.06"/>
    <x v="675"/>
    <x v="676"/>
    <x v="3"/>
    <x v="1"/>
  </r>
  <r>
    <x v="677"/>
    <n v="95"/>
    <x v="677"/>
    <x v="5"/>
    <x v="5"/>
    <x v="2"/>
    <n v="286"/>
    <n v="1"/>
    <n v="65.3"/>
    <n v="111.35"/>
    <s v="PROMO10"/>
    <n v="0.1"/>
    <x v="3"/>
    <x v="652"/>
    <x v="2"/>
    <d v="2025-11-23T00:00:00"/>
    <d v="2025-11-28T00:00:00"/>
    <d v="2025-11-28T00:00:00"/>
    <x v="0"/>
    <x v="0"/>
    <s v="Produto original, vendedor confiável."/>
    <x v="677"/>
    <n v="65.3"/>
    <x v="676"/>
    <x v="677"/>
    <x v="4"/>
    <x v="0"/>
  </r>
  <r>
    <x v="678"/>
    <n v="125"/>
    <x v="678"/>
    <x v="8"/>
    <x v="8"/>
    <x v="1"/>
    <n v="0"/>
    <n v="2"/>
    <n v="72.34"/>
    <n v="240.85"/>
    <m/>
    <n v="0"/>
    <x v="0"/>
    <x v="653"/>
    <x v="4"/>
    <d v="2025-11-23T00:00:00"/>
    <d v="2025-11-28T00:00:00"/>
    <d v="2025-11-25T00:00:00"/>
    <x v="0"/>
    <x v="0"/>
    <s v="Excelente atendimento e entrega."/>
    <x v="678"/>
    <n v="144.68"/>
    <x v="677"/>
    <x v="678"/>
    <x v="0"/>
    <x v="0"/>
  </r>
  <r>
    <x v="679"/>
    <n v="18"/>
    <x v="679"/>
    <x v="3"/>
    <x v="3"/>
    <x v="2"/>
    <n v="632"/>
    <n v="1"/>
    <n v="91.3"/>
    <n v="275.31"/>
    <m/>
    <n v="0"/>
    <x v="3"/>
    <x v="654"/>
    <x v="1"/>
    <d v="2025-11-24T00:00:00"/>
    <d v="2025-12-03T00:00:00"/>
    <d v="2025-11-29T00:00:00"/>
    <x v="0"/>
    <x v="3"/>
    <s v="Produto de qualidade, entrega pontual."/>
    <x v="679"/>
    <n v="91.3"/>
    <x v="678"/>
    <x v="679"/>
    <x v="1"/>
    <x v="0"/>
  </r>
  <r>
    <x v="680"/>
    <n v="41"/>
    <x v="680"/>
    <x v="6"/>
    <x v="6"/>
    <x v="2"/>
    <n v="219"/>
    <n v="2"/>
    <n v="64.69"/>
    <n v="80.930000000000007"/>
    <m/>
    <n v="0"/>
    <x v="3"/>
    <x v="655"/>
    <x v="4"/>
    <d v="2025-11-24T00:00:00"/>
    <d v="2025-11-30T00:00:00"/>
    <d v="2025-11-30T00:00:00"/>
    <x v="0"/>
    <x v="0"/>
    <s v="Produto top, recomendo!"/>
    <x v="680"/>
    <n v="129.38"/>
    <x v="679"/>
    <x v="680"/>
    <x v="4"/>
    <x v="0"/>
  </r>
  <r>
    <x v="681"/>
    <n v="90"/>
    <x v="681"/>
    <x v="16"/>
    <x v="16"/>
    <x v="1"/>
    <n v="0"/>
    <n v="3"/>
    <n v="268.43"/>
    <n v="327.52"/>
    <m/>
    <n v="0"/>
    <x v="0"/>
    <x v="656"/>
    <x v="7"/>
    <d v="2025-11-25T00:00:00"/>
    <d v="2025-12-01T00:00:00"/>
    <d v="2025-11-28T00:00:00"/>
    <x v="0"/>
    <x v="3"/>
    <s v="Excelente atendimento e entrega."/>
    <x v="681"/>
    <n v="805.29"/>
    <x v="680"/>
    <x v="681"/>
    <x v="0"/>
    <x v="0"/>
  </r>
  <r>
    <x v="682"/>
    <n v="148"/>
    <x v="682"/>
    <x v="0"/>
    <x v="0"/>
    <x v="0"/>
    <n v="2260"/>
    <n v="2"/>
    <n v="1878.86"/>
    <n v="3975.53"/>
    <m/>
    <n v="0"/>
    <x v="2"/>
    <x v="657"/>
    <x v="9"/>
    <d v="2025-11-25T00:00:00"/>
    <d v="2025-12-04T00:00:00"/>
    <d v="2025-11-30T00:00:00"/>
    <x v="0"/>
    <x v="0"/>
    <s v="Entrega rápida, muito satisfeito!"/>
    <x v="682"/>
    <n v="3757.72"/>
    <x v="681"/>
    <x v="682"/>
    <x v="1"/>
    <x v="0"/>
  </r>
  <r>
    <x v="683"/>
    <n v="11"/>
    <x v="683"/>
    <x v="5"/>
    <x v="5"/>
    <x v="2"/>
    <n v="265"/>
    <n v="1"/>
    <n v="57.34"/>
    <n v="70.34"/>
    <m/>
    <n v="0"/>
    <x v="0"/>
    <x v="658"/>
    <x v="7"/>
    <d v="2025-11-26T00:00:00"/>
    <d v="2025-12-05T00:00:00"/>
    <m/>
    <x v="1"/>
    <x v="2"/>
    <s v="Produto extraviado, tive que abrir reclamação."/>
    <x v="683"/>
    <n v="57.34"/>
    <x v="682"/>
    <x v="683"/>
    <x v="3"/>
    <x v="1"/>
  </r>
  <r>
    <x v="684"/>
    <n v="10"/>
    <x v="684"/>
    <x v="19"/>
    <x v="19"/>
    <x v="0"/>
    <n v="4965"/>
    <n v="2"/>
    <n v="936.36"/>
    <n v="1379.55"/>
    <m/>
    <n v="0"/>
    <x v="0"/>
    <x v="659"/>
    <x v="14"/>
    <d v="2025-11-25T00:00:00"/>
    <d v="2025-12-03T00:00:00"/>
    <d v="2025-12-01T00:00:00"/>
    <x v="0"/>
    <x v="0"/>
    <s v="Embalagem perfeita, produto intacto."/>
    <x v="684"/>
    <n v="1872.72"/>
    <x v="683"/>
    <x v="684"/>
    <x v="2"/>
    <x v="0"/>
  </r>
  <r>
    <x v="685"/>
    <n v="54"/>
    <x v="685"/>
    <x v="14"/>
    <x v="14"/>
    <x v="0"/>
    <n v="2075"/>
    <n v="1"/>
    <n v="1165.06"/>
    <n v="2067.44"/>
    <m/>
    <n v="0"/>
    <x v="0"/>
    <x v="660"/>
    <x v="4"/>
    <d v="2025-11-27T00:00:00"/>
    <d v="2025-12-07T00:00:00"/>
    <d v="2025-11-29T00:00:00"/>
    <x v="0"/>
    <x v="3"/>
    <s v="Entrega rápida, muito satisfeito!"/>
    <x v="685"/>
    <n v="1165.06"/>
    <x v="684"/>
    <x v="685"/>
    <x v="13"/>
    <x v="0"/>
  </r>
  <r>
    <x v="686"/>
    <n v="29"/>
    <x v="686"/>
    <x v="22"/>
    <x v="22"/>
    <x v="3"/>
    <n v="0"/>
    <n v="2"/>
    <n v="442.51"/>
    <n v="662.02"/>
    <m/>
    <n v="0"/>
    <x v="0"/>
    <x v="661"/>
    <x v="7"/>
    <d v="2025-11-26T00:00:00"/>
    <d v="2025-12-04T00:00:00"/>
    <m/>
    <x v="1"/>
    <x v="1"/>
    <s v="Produto bom, mas o frete foi caro."/>
    <x v="686"/>
    <n v="885.02"/>
    <x v="685"/>
    <x v="686"/>
    <x v="3"/>
    <x v="1"/>
  </r>
  <r>
    <x v="687"/>
    <n v="173"/>
    <x v="687"/>
    <x v="16"/>
    <x v="16"/>
    <x v="1"/>
    <n v="0"/>
    <n v="3"/>
    <n v="111.89"/>
    <n v="322.04000000000002"/>
    <s v="OFF20"/>
    <n v="0.2"/>
    <x v="2"/>
    <x v="662"/>
    <x v="9"/>
    <d v="2025-11-27T00:00:00"/>
    <d v="2025-12-05T00:00:00"/>
    <m/>
    <x v="1"/>
    <x v="1"/>
    <s v="Embalagem poderia ser melhor."/>
    <x v="687"/>
    <n v="335.67"/>
    <x v="686"/>
    <x v="687"/>
    <x v="3"/>
    <x v="1"/>
  </r>
  <r>
    <x v="688"/>
    <n v="157"/>
    <x v="688"/>
    <x v="19"/>
    <x v="19"/>
    <x v="0"/>
    <n v="4689"/>
    <n v="3"/>
    <n v="802.61"/>
    <n v="1586.23"/>
    <m/>
    <n v="0"/>
    <x v="0"/>
    <x v="663"/>
    <x v="2"/>
    <d v="2025-11-28T00:00:00"/>
    <d v="2025-12-04T00:00:00"/>
    <m/>
    <x v="3"/>
    <x v="2"/>
    <s v="Atrasou e a caixa veio amassada."/>
    <x v="688"/>
    <n v="2407.83"/>
    <x v="687"/>
    <x v="688"/>
    <x v="3"/>
    <x v="1"/>
  </r>
  <r>
    <x v="689"/>
    <n v="135"/>
    <x v="689"/>
    <x v="9"/>
    <x v="9"/>
    <x v="1"/>
    <n v="0"/>
    <n v="3"/>
    <n v="52.25"/>
    <n v="192.92"/>
    <m/>
    <n v="0"/>
    <x v="0"/>
    <x v="664"/>
    <x v="1"/>
    <d v="2025-11-29T00:00:00"/>
    <d v="2025-12-08T00:00:00"/>
    <d v="2025-12-02T00:00:00"/>
    <x v="0"/>
    <x v="3"/>
    <s v="Superou minhas expectativas!"/>
    <x v="689"/>
    <n v="156.75"/>
    <x v="688"/>
    <x v="689"/>
    <x v="12"/>
    <x v="0"/>
  </r>
  <r>
    <x v="690"/>
    <n v="179"/>
    <x v="690"/>
    <x v="18"/>
    <x v="18"/>
    <x v="0"/>
    <n v="2567"/>
    <n v="1"/>
    <n v="572.79"/>
    <n v="762.61"/>
    <m/>
    <n v="0"/>
    <x v="1"/>
    <x v="665"/>
    <x v="0"/>
    <d v="2025-11-28T00:00:00"/>
    <d v="2025-12-03T00:00:00"/>
    <d v="2025-12-02T00:00:00"/>
    <x v="0"/>
    <x v="3"/>
    <s v="Parabéns pela agilidade!"/>
    <x v="690"/>
    <n v="572.79"/>
    <x v="689"/>
    <x v="690"/>
    <x v="6"/>
    <x v="0"/>
  </r>
  <r>
    <x v="691"/>
    <n v="139"/>
    <x v="691"/>
    <x v="7"/>
    <x v="7"/>
    <x v="0"/>
    <n v="2634"/>
    <n v="1"/>
    <n v="2316.11"/>
    <n v="3592.29"/>
    <m/>
    <n v="0"/>
    <x v="0"/>
    <x v="666"/>
    <x v="4"/>
    <d v="2025-11-30T00:00:00"/>
    <d v="2025-12-07T00:00:00"/>
    <d v="2025-12-06T00:00:00"/>
    <x v="0"/>
    <x v="3"/>
    <s v="Ótimo custo-benefício!"/>
    <x v="691"/>
    <n v="2316.11"/>
    <x v="690"/>
    <x v="691"/>
    <x v="6"/>
    <x v="0"/>
  </r>
  <r>
    <x v="692"/>
    <n v="199"/>
    <x v="692"/>
    <x v="18"/>
    <x v="18"/>
    <x v="0"/>
    <n v="3362"/>
    <n v="2"/>
    <n v="403.35"/>
    <n v="603.41999999999996"/>
    <m/>
    <n v="0"/>
    <x v="3"/>
    <x v="667"/>
    <x v="2"/>
    <d v="2025-11-30T00:00:00"/>
    <d v="2025-12-06T00:00:00"/>
    <d v="2025-12-03T00:00:00"/>
    <x v="0"/>
    <x v="3"/>
    <s v="Chegou antes do prazo, excelente!"/>
    <x v="692"/>
    <n v="806.7"/>
    <x v="691"/>
    <x v="692"/>
    <x v="0"/>
    <x v="0"/>
  </r>
  <r>
    <x v="693"/>
    <n v="98"/>
    <x v="693"/>
    <x v="16"/>
    <x v="16"/>
    <x v="1"/>
    <n v="0"/>
    <n v="1"/>
    <n v="250.23"/>
    <n v="394.97"/>
    <m/>
    <n v="0"/>
    <x v="0"/>
    <x v="668"/>
    <x v="14"/>
    <d v="2025-11-30T00:00:00"/>
    <d v="2025-12-10T00:00:00"/>
    <m/>
    <x v="1"/>
    <x v="2"/>
    <s v="Produto extraviado, tive que abrir reclamação."/>
    <x v="693"/>
    <n v="250.23"/>
    <x v="692"/>
    <x v="693"/>
    <x v="3"/>
    <x v="1"/>
  </r>
  <r>
    <x v="694"/>
    <n v="80"/>
    <x v="694"/>
    <x v="1"/>
    <x v="1"/>
    <x v="0"/>
    <n v="2585"/>
    <n v="2"/>
    <n v="890.35"/>
    <n v="1120.44"/>
    <s v="PROMO10"/>
    <n v="0.1"/>
    <x v="3"/>
    <x v="669"/>
    <x v="7"/>
    <d v="2025-12-01T00:00:00"/>
    <d v="2025-12-10T00:00:00"/>
    <d v="2025-12-06T00:00:00"/>
    <x v="0"/>
    <x v="0"/>
    <s v="Parabéns pela agilidade!"/>
    <x v="694"/>
    <n v="1780.7"/>
    <x v="693"/>
    <x v="694"/>
    <x v="1"/>
    <x v="0"/>
  </r>
  <r>
    <x v="695"/>
    <n v="31"/>
    <x v="695"/>
    <x v="18"/>
    <x v="18"/>
    <x v="0"/>
    <n v="2670"/>
    <n v="1"/>
    <n v="510.9"/>
    <n v="915.29"/>
    <s v="PROMO10"/>
    <n v="0.1"/>
    <x v="2"/>
    <x v="670"/>
    <x v="1"/>
    <d v="2025-12-01T00:00:00"/>
    <d v="2025-12-07T00:00:00"/>
    <d v="2025-12-03T00:00:00"/>
    <x v="0"/>
    <x v="0"/>
    <s v="Ótimo custo-benefício!"/>
    <x v="695"/>
    <n v="510.9"/>
    <x v="694"/>
    <x v="695"/>
    <x v="1"/>
    <x v="0"/>
  </r>
  <r>
    <x v="696"/>
    <n v="68"/>
    <x v="696"/>
    <x v="12"/>
    <x v="12"/>
    <x v="2"/>
    <n v="301"/>
    <n v="1"/>
    <n v="26.81"/>
    <n v="33.19"/>
    <m/>
    <n v="0"/>
    <x v="2"/>
    <x v="671"/>
    <x v="9"/>
    <d v="2025-12-02T00:00:00"/>
    <d v="2025-12-11T00:00:00"/>
    <d v="2025-12-12T00:00:00"/>
    <x v="0"/>
    <x v="1"/>
    <s v="Embalagem poderia ser melhor."/>
    <x v="696"/>
    <n v="26.81"/>
    <x v="695"/>
    <x v="696"/>
    <x v="8"/>
    <x v="2"/>
  </r>
  <r>
    <x v="697"/>
    <n v="55"/>
    <x v="697"/>
    <x v="16"/>
    <x v="16"/>
    <x v="1"/>
    <n v="0"/>
    <n v="1"/>
    <n v="88.5"/>
    <n v="178.54"/>
    <m/>
    <n v="0"/>
    <x v="3"/>
    <x v="671"/>
    <x v="2"/>
    <d v="2025-12-01T00:00:00"/>
    <d v="2025-12-10T00:00:00"/>
    <m/>
    <x v="1"/>
    <x v="1"/>
    <s v="Produto ok, mas a entrega atrasou um pouco."/>
    <x v="697"/>
    <n v="88.5"/>
    <x v="696"/>
    <x v="697"/>
    <x v="3"/>
    <x v="1"/>
  </r>
  <r>
    <x v="698"/>
    <n v="176"/>
    <x v="698"/>
    <x v="1"/>
    <x v="1"/>
    <x v="0"/>
    <n v="2703"/>
    <n v="3"/>
    <n v="825.54"/>
    <n v="1408.93"/>
    <s v="OFF20"/>
    <n v="0.2"/>
    <x v="2"/>
    <x v="672"/>
    <x v="7"/>
    <d v="2025-12-01T00:00:00"/>
    <d v="2025-12-09T00:00:00"/>
    <m/>
    <x v="3"/>
    <x v="4"/>
    <s v="Atrasou e a caixa veio amassada."/>
    <x v="698"/>
    <n v="2476.62"/>
    <x v="697"/>
    <x v="698"/>
    <x v="3"/>
    <x v="1"/>
  </r>
  <r>
    <x v="699"/>
    <n v="130"/>
    <x v="699"/>
    <x v="19"/>
    <x v="19"/>
    <x v="0"/>
    <n v="3947"/>
    <n v="1"/>
    <n v="756.67"/>
    <n v="1875.62"/>
    <m/>
    <n v="0"/>
    <x v="3"/>
    <x v="673"/>
    <x v="8"/>
    <d v="2025-12-01T00:00:00"/>
    <d v="2025-12-09T00:00:00"/>
    <d v="2025-12-07T00:00:00"/>
    <x v="0"/>
    <x v="0"/>
    <s v="Parabéns pela agilidade!"/>
    <x v="699"/>
    <n v="756.67"/>
    <x v="698"/>
    <x v="699"/>
    <x v="2"/>
    <x v="0"/>
  </r>
  <r>
    <x v="700"/>
    <n v="67"/>
    <x v="700"/>
    <x v="0"/>
    <x v="0"/>
    <x v="0"/>
    <n v="2616"/>
    <n v="1"/>
    <n v="1756.48"/>
    <n v="2316.87"/>
    <m/>
    <n v="0"/>
    <x v="3"/>
    <x v="674"/>
    <x v="10"/>
    <d v="2025-12-02T00:00:00"/>
    <d v="2025-12-12T00:00:00"/>
    <d v="2025-12-04T00:00:00"/>
    <x v="0"/>
    <x v="3"/>
    <s v="Superou minhas expectativas!"/>
    <x v="700"/>
    <n v="1756.48"/>
    <x v="699"/>
    <x v="700"/>
    <x v="13"/>
    <x v="0"/>
  </r>
  <r>
    <x v="701"/>
    <n v="116"/>
    <x v="701"/>
    <x v="8"/>
    <x v="8"/>
    <x v="1"/>
    <n v="0"/>
    <n v="3"/>
    <n v="53.57"/>
    <n v="230.86"/>
    <s v="PROMO10"/>
    <n v="0.1"/>
    <x v="3"/>
    <x v="675"/>
    <x v="14"/>
    <d v="2025-12-02T00:00:00"/>
    <d v="2025-12-11T00:00:00"/>
    <m/>
    <x v="1"/>
    <x v="1"/>
    <s v="Esperava mais pela qualidade do produto."/>
    <x v="701"/>
    <n v="160.71"/>
    <x v="700"/>
    <x v="701"/>
    <x v="3"/>
    <x v="1"/>
  </r>
  <r>
    <x v="702"/>
    <n v="116"/>
    <x v="702"/>
    <x v="22"/>
    <x v="22"/>
    <x v="3"/>
    <n v="0"/>
    <n v="2"/>
    <n v="456"/>
    <n v="592.04"/>
    <s v="OFF20"/>
    <n v="0.2"/>
    <x v="1"/>
    <x v="676"/>
    <x v="13"/>
    <d v="2025-12-03T00:00:00"/>
    <d v="2025-12-08T00:00:00"/>
    <d v="2025-12-05T00:00:00"/>
    <x v="0"/>
    <x v="0"/>
    <s v="Produto original, vendedor confiável."/>
    <x v="702"/>
    <n v="912"/>
    <x v="701"/>
    <x v="702"/>
    <x v="0"/>
    <x v="0"/>
  </r>
  <r>
    <x v="703"/>
    <n v="10"/>
    <x v="703"/>
    <x v="10"/>
    <x v="10"/>
    <x v="2"/>
    <n v="323"/>
    <n v="2"/>
    <n v="93.74"/>
    <n v="160.47999999999999"/>
    <s v="OFF20"/>
    <n v="0.2"/>
    <x v="2"/>
    <x v="677"/>
    <x v="1"/>
    <d v="2025-12-03T00:00:00"/>
    <d v="2025-12-08T00:00:00"/>
    <d v="2025-12-07T00:00:00"/>
    <x v="0"/>
    <x v="3"/>
    <s v="Produto original, vendedor confiável."/>
    <x v="703"/>
    <n v="187.48"/>
    <x v="702"/>
    <x v="703"/>
    <x v="6"/>
    <x v="0"/>
  </r>
  <r>
    <x v="704"/>
    <n v="6"/>
    <x v="704"/>
    <x v="14"/>
    <x v="14"/>
    <x v="0"/>
    <n v="2162"/>
    <n v="3"/>
    <n v="1486.06"/>
    <n v="2184.65"/>
    <m/>
    <n v="0"/>
    <x v="0"/>
    <x v="678"/>
    <x v="7"/>
    <d v="2025-12-03T00:00:00"/>
    <d v="2025-12-08T00:00:00"/>
    <d v="2025-12-08T00:00:00"/>
    <x v="0"/>
    <x v="3"/>
    <s v="Chegou antes do prazo, excelente!"/>
    <x v="704"/>
    <n v="4458.18"/>
    <x v="703"/>
    <x v="704"/>
    <x v="4"/>
    <x v="0"/>
  </r>
  <r>
    <x v="705"/>
    <n v="17"/>
    <x v="705"/>
    <x v="7"/>
    <x v="7"/>
    <x v="0"/>
    <n v="2243"/>
    <n v="1"/>
    <n v="2095.29"/>
    <n v="3402.33"/>
    <m/>
    <n v="0"/>
    <x v="0"/>
    <x v="679"/>
    <x v="4"/>
    <d v="2025-12-03T00:00:00"/>
    <d v="2025-12-13T00:00:00"/>
    <m/>
    <x v="1"/>
    <x v="2"/>
    <s v="Atendimento ao cliente inexistente."/>
    <x v="705"/>
    <n v="2095.29"/>
    <x v="704"/>
    <x v="705"/>
    <x v="3"/>
    <x v="1"/>
  </r>
  <r>
    <x v="706"/>
    <n v="23"/>
    <x v="706"/>
    <x v="8"/>
    <x v="8"/>
    <x v="1"/>
    <n v="0"/>
    <n v="3"/>
    <n v="50.33"/>
    <n v="66.540000000000006"/>
    <m/>
    <n v="0"/>
    <x v="2"/>
    <x v="680"/>
    <x v="9"/>
    <d v="2025-12-03T00:00:00"/>
    <d v="2025-12-12T00:00:00"/>
    <d v="2025-12-05T00:00:00"/>
    <x v="0"/>
    <x v="0"/>
    <s v="Muito bom, sem reclamações."/>
    <x v="706"/>
    <n v="150.99"/>
    <x v="705"/>
    <x v="706"/>
    <x v="9"/>
    <x v="0"/>
  </r>
  <r>
    <x v="707"/>
    <n v="137"/>
    <x v="707"/>
    <x v="1"/>
    <x v="1"/>
    <x v="0"/>
    <n v="2339"/>
    <n v="1"/>
    <n v="829.19"/>
    <n v="1232.8"/>
    <m/>
    <n v="0"/>
    <x v="2"/>
    <x v="681"/>
    <x v="12"/>
    <d v="2025-12-04T00:00:00"/>
    <d v="2025-12-14T00:00:00"/>
    <d v="2025-12-12T00:00:00"/>
    <x v="0"/>
    <x v="3"/>
    <s v="Frete rápido, adorei!"/>
    <x v="707"/>
    <n v="829.19"/>
    <x v="706"/>
    <x v="707"/>
    <x v="2"/>
    <x v="0"/>
  </r>
  <r>
    <x v="708"/>
    <n v="81"/>
    <x v="708"/>
    <x v="1"/>
    <x v="1"/>
    <x v="0"/>
    <n v="2529"/>
    <n v="1"/>
    <n v="878.91"/>
    <n v="1472.79"/>
    <m/>
    <n v="0"/>
    <x v="2"/>
    <x v="682"/>
    <x v="6"/>
    <d v="2025-12-05T00:00:00"/>
    <d v="2025-12-12T00:00:00"/>
    <d v="2025-12-12T00:00:00"/>
    <x v="0"/>
    <x v="3"/>
    <s v="Superou minhas expectativas!"/>
    <x v="708"/>
    <n v="878.91"/>
    <x v="707"/>
    <x v="708"/>
    <x v="4"/>
    <x v="0"/>
  </r>
  <r>
    <x v="709"/>
    <n v="109"/>
    <x v="709"/>
    <x v="11"/>
    <x v="11"/>
    <x v="2"/>
    <n v="245"/>
    <n v="2"/>
    <n v="57.02"/>
    <n v="84.02"/>
    <m/>
    <n v="0"/>
    <x v="3"/>
    <x v="683"/>
    <x v="7"/>
    <d v="2025-12-05T00:00:00"/>
    <d v="2025-12-14T00:00:00"/>
    <d v="2025-12-07T00:00:00"/>
    <x v="0"/>
    <x v="3"/>
    <s v="Muito bom, sem reclamações."/>
    <x v="709"/>
    <n v="114.04"/>
    <x v="708"/>
    <x v="709"/>
    <x v="9"/>
    <x v="0"/>
  </r>
  <r>
    <x v="710"/>
    <n v="65"/>
    <x v="710"/>
    <x v="3"/>
    <x v="3"/>
    <x v="2"/>
    <n v="703"/>
    <n v="3"/>
    <n v="186.98"/>
    <n v="225.97"/>
    <m/>
    <n v="0"/>
    <x v="0"/>
    <x v="684"/>
    <x v="4"/>
    <d v="2025-12-05T00:00:00"/>
    <d v="2025-12-10T00:00:00"/>
    <d v="2025-12-07T00:00:00"/>
    <x v="0"/>
    <x v="0"/>
    <s v="Produto top, recomendo!"/>
    <x v="710"/>
    <n v="560.93999999999994"/>
    <x v="709"/>
    <x v="710"/>
    <x v="0"/>
    <x v="0"/>
  </r>
  <r>
    <x v="711"/>
    <n v="26"/>
    <x v="711"/>
    <x v="15"/>
    <x v="15"/>
    <x v="3"/>
    <n v="0"/>
    <n v="2"/>
    <n v="391.62"/>
    <n v="732.05"/>
    <m/>
    <n v="0"/>
    <x v="3"/>
    <x v="467"/>
    <x v="8"/>
    <d v="2025-12-07T00:00:00"/>
    <d v="2025-12-15T00:00:00"/>
    <d v="2025-12-14T00:00:00"/>
    <x v="0"/>
    <x v="3"/>
    <s v="Excelente atendimento e entrega."/>
    <x v="711"/>
    <n v="783.24"/>
    <x v="710"/>
    <x v="711"/>
    <x v="6"/>
    <x v="0"/>
  </r>
  <r>
    <x v="712"/>
    <n v="10"/>
    <x v="712"/>
    <x v="15"/>
    <x v="15"/>
    <x v="3"/>
    <n v="0"/>
    <n v="3"/>
    <n v="346.4"/>
    <n v="675.15"/>
    <s v="PROMO10"/>
    <n v="0.1"/>
    <x v="0"/>
    <x v="685"/>
    <x v="13"/>
    <d v="2025-12-07T00:00:00"/>
    <d v="2025-12-12T00:00:00"/>
    <d v="2025-12-09T00:00:00"/>
    <x v="0"/>
    <x v="0"/>
    <s v="Entrega rápida, muito satisfeito!"/>
    <x v="712"/>
    <n v="1039.2"/>
    <x v="711"/>
    <x v="712"/>
    <x v="0"/>
    <x v="0"/>
  </r>
  <r>
    <x v="713"/>
    <n v="162"/>
    <x v="713"/>
    <x v="13"/>
    <x v="13"/>
    <x v="0"/>
    <n v="2061"/>
    <n v="1"/>
    <n v="358.04"/>
    <n v="637.87"/>
    <m/>
    <n v="0"/>
    <x v="2"/>
    <x v="686"/>
    <x v="1"/>
    <d v="2025-12-09T00:00:00"/>
    <d v="2025-12-18T00:00:00"/>
    <d v="2025-12-15T00:00:00"/>
    <x v="0"/>
    <x v="0"/>
    <s v="Qualidade impecável, voltarei a comprar."/>
    <x v="713"/>
    <n v="358.04"/>
    <x v="712"/>
    <x v="713"/>
    <x v="0"/>
    <x v="0"/>
  </r>
  <r>
    <x v="714"/>
    <n v="94"/>
    <x v="714"/>
    <x v="20"/>
    <x v="20"/>
    <x v="3"/>
    <n v="0"/>
    <n v="3"/>
    <n v="354.35"/>
    <n v="586.91"/>
    <s v="PROMO10"/>
    <n v="0.1"/>
    <x v="3"/>
    <x v="687"/>
    <x v="7"/>
    <d v="2025-12-09T00:00:00"/>
    <d v="2025-12-15T00:00:00"/>
    <d v="2025-12-12T00:00:00"/>
    <x v="0"/>
    <x v="0"/>
    <s v="Produto top, recomendo!"/>
    <x v="714"/>
    <n v="1063.05"/>
    <x v="713"/>
    <x v="714"/>
    <x v="0"/>
    <x v="0"/>
  </r>
  <r>
    <x v="715"/>
    <n v="90"/>
    <x v="715"/>
    <x v="7"/>
    <x v="7"/>
    <x v="0"/>
    <n v="2988"/>
    <n v="2"/>
    <n v="2669.18"/>
    <n v="3530.79"/>
    <s v="OFF20"/>
    <n v="0.2"/>
    <x v="1"/>
    <x v="688"/>
    <x v="4"/>
    <d v="2025-12-08T00:00:00"/>
    <d v="2025-12-14T00:00:00"/>
    <d v="2025-12-11T00:00:00"/>
    <x v="0"/>
    <x v="0"/>
    <s v="Produto original, vendedor confiável."/>
    <x v="715"/>
    <n v="5338.36"/>
    <x v="714"/>
    <x v="715"/>
    <x v="0"/>
    <x v="0"/>
  </r>
  <r>
    <x v="716"/>
    <n v="78"/>
    <x v="716"/>
    <x v="11"/>
    <x v="11"/>
    <x v="2"/>
    <n v="217"/>
    <n v="2"/>
    <n v="20.18"/>
    <n v="82.89"/>
    <s v="PROMO10"/>
    <n v="0.1"/>
    <x v="0"/>
    <x v="253"/>
    <x v="8"/>
    <d v="2025-12-09T00:00:00"/>
    <d v="2025-12-17T00:00:00"/>
    <d v="2025-12-11T00:00:00"/>
    <x v="0"/>
    <x v="3"/>
    <s v="Chegou antes do prazo, excelente!"/>
    <x v="716"/>
    <n v="40.36"/>
    <x v="715"/>
    <x v="716"/>
    <x v="12"/>
    <x v="0"/>
  </r>
  <r>
    <x v="717"/>
    <n v="62"/>
    <x v="717"/>
    <x v="16"/>
    <x v="16"/>
    <x v="1"/>
    <n v="0"/>
    <n v="3"/>
    <n v="74.5"/>
    <n v="98.7"/>
    <m/>
    <n v="0"/>
    <x v="3"/>
    <x v="689"/>
    <x v="4"/>
    <d v="2025-12-10T00:00:00"/>
    <d v="2025-12-18T00:00:00"/>
    <d v="2025-12-15T00:00:00"/>
    <x v="0"/>
    <x v="3"/>
    <s v="Muito bom, sem reclamações."/>
    <x v="717"/>
    <n v="223.5"/>
    <x v="716"/>
    <x v="717"/>
    <x v="0"/>
    <x v="0"/>
  </r>
  <r>
    <x v="718"/>
    <n v="129"/>
    <x v="718"/>
    <x v="22"/>
    <x v="22"/>
    <x v="3"/>
    <n v="0"/>
    <n v="2"/>
    <n v="336.61"/>
    <n v="704.78"/>
    <s v="OFF20"/>
    <n v="0.2"/>
    <x v="1"/>
    <x v="690"/>
    <x v="5"/>
    <d v="2025-12-11T00:00:00"/>
    <d v="2025-12-19T00:00:00"/>
    <d v="2025-12-16T00:00:00"/>
    <x v="0"/>
    <x v="3"/>
    <s v="Frete rápido, adorei!"/>
    <x v="718"/>
    <n v="673.22"/>
    <x v="717"/>
    <x v="718"/>
    <x v="0"/>
    <x v="0"/>
  </r>
  <r>
    <x v="719"/>
    <n v="127"/>
    <x v="719"/>
    <x v="15"/>
    <x v="15"/>
    <x v="3"/>
    <n v="0"/>
    <n v="1"/>
    <n v="395.46"/>
    <n v="633.38"/>
    <m/>
    <n v="0"/>
    <x v="0"/>
    <x v="664"/>
    <x v="7"/>
    <d v="2025-12-11T00:00:00"/>
    <d v="2025-12-18T00:00:00"/>
    <d v="2025-12-20T00:00:00"/>
    <x v="0"/>
    <x v="4"/>
    <s v="Pior experiência de compra online."/>
    <x v="719"/>
    <n v="395.46"/>
    <x v="718"/>
    <x v="719"/>
    <x v="14"/>
    <x v="2"/>
  </r>
  <r>
    <x v="720"/>
    <n v="116"/>
    <x v="720"/>
    <x v="5"/>
    <x v="5"/>
    <x v="2"/>
    <n v="300"/>
    <n v="1"/>
    <n v="47.23"/>
    <n v="125.91"/>
    <m/>
    <n v="0"/>
    <x v="1"/>
    <x v="691"/>
    <x v="2"/>
    <d v="2025-12-12T00:00:00"/>
    <d v="2025-12-17T00:00:00"/>
    <d v="2025-12-16T00:00:00"/>
    <x v="0"/>
    <x v="3"/>
    <s v="Produto top, recomendo!"/>
    <x v="720"/>
    <n v="47.23"/>
    <x v="719"/>
    <x v="720"/>
    <x v="6"/>
    <x v="0"/>
  </r>
  <r>
    <x v="721"/>
    <n v="149"/>
    <x v="721"/>
    <x v="3"/>
    <x v="3"/>
    <x v="2"/>
    <n v="602"/>
    <n v="1"/>
    <n v="148.59"/>
    <n v="335.7"/>
    <s v="OFF20"/>
    <n v="0.2"/>
    <x v="3"/>
    <x v="692"/>
    <x v="13"/>
    <d v="2025-12-12T00:00:00"/>
    <d v="2025-12-18T00:00:00"/>
    <d v="2025-12-16T00:00:00"/>
    <x v="0"/>
    <x v="0"/>
    <s v="Muito bom, sem reclamações."/>
    <x v="721"/>
    <n v="148.59"/>
    <x v="720"/>
    <x v="721"/>
    <x v="2"/>
    <x v="0"/>
  </r>
  <r>
    <x v="722"/>
    <n v="44"/>
    <x v="722"/>
    <x v="7"/>
    <x v="7"/>
    <x v="0"/>
    <n v="2229"/>
    <n v="1"/>
    <n v="2789.38"/>
    <n v="4607.99"/>
    <m/>
    <n v="0"/>
    <x v="3"/>
    <x v="693"/>
    <x v="14"/>
    <d v="2025-12-11T00:00:00"/>
    <d v="2025-12-17T00:00:00"/>
    <d v="2025-12-21T00:00:00"/>
    <x v="0"/>
    <x v="2"/>
    <s v="Cancelei porque demorou demais."/>
    <x v="722"/>
    <n v="2789.38"/>
    <x v="721"/>
    <x v="722"/>
    <x v="7"/>
    <x v="2"/>
  </r>
  <r>
    <x v="723"/>
    <n v="36"/>
    <x v="723"/>
    <x v="5"/>
    <x v="5"/>
    <x v="2"/>
    <n v="298"/>
    <n v="3"/>
    <n v="44.91"/>
    <n v="144.18"/>
    <m/>
    <n v="0"/>
    <x v="3"/>
    <x v="694"/>
    <x v="4"/>
    <d v="2025-12-12T00:00:00"/>
    <d v="2025-12-18T00:00:00"/>
    <d v="2025-12-17T00:00:00"/>
    <x v="0"/>
    <x v="3"/>
    <s v="Entrega rápida, muito satisfeito!"/>
    <x v="723"/>
    <n v="134.72999999999999"/>
    <x v="722"/>
    <x v="723"/>
    <x v="6"/>
    <x v="0"/>
  </r>
  <r>
    <x v="724"/>
    <n v="138"/>
    <x v="724"/>
    <x v="22"/>
    <x v="22"/>
    <x v="3"/>
    <n v="0"/>
    <n v="2"/>
    <n v="342.71"/>
    <n v="634.16"/>
    <m/>
    <n v="0"/>
    <x v="1"/>
    <x v="695"/>
    <x v="6"/>
    <d v="2025-12-14T00:00:00"/>
    <d v="2025-12-22T00:00:00"/>
    <d v="2025-12-20T00:00:00"/>
    <x v="0"/>
    <x v="3"/>
    <s v="Embalagem perfeita, produto intacto."/>
    <x v="724"/>
    <n v="685.42"/>
    <x v="723"/>
    <x v="724"/>
    <x v="2"/>
    <x v="0"/>
  </r>
  <r>
    <x v="725"/>
    <n v="26"/>
    <x v="725"/>
    <x v="19"/>
    <x v="19"/>
    <x v="0"/>
    <n v="4926"/>
    <n v="2"/>
    <n v="912.97"/>
    <n v="1967.56"/>
    <m/>
    <n v="0"/>
    <x v="2"/>
    <x v="696"/>
    <x v="1"/>
    <d v="2025-12-15T00:00:00"/>
    <d v="2025-12-21T00:00:00"/>
    <d v="2025-12-18T00:00:00"/>
    <x v="0"/>
    <x v="0"/>
    <s v="Parabéns pela agilidade!"/>
    <x v="725"/>
    <n v="1825.94"/>
    <x v="724"/>
    <x v="725"/>
    <x v="0"/>
    <x v="0"/>
  </r>
  <r>
    <x v="726"/>
    <n v="111"/>
    <x v="726"/>
    <x v="12"/>
    <x v="12"/>
    <x v="2"/>
    <n v="351"/>
    <n v="2"/>
    <n v="15.11"/>
    <n v="63.66"/>
    <m/>
    <n v="0"/>
    <x v="2"/>
    <x v="697"/>
    <x v="13"/>
    <d v="2025-12-14T00:00:00"/>
    <d v="2025-12-19T00:00:00"/>
    <d v="2025-12-16T00:00:00"/>
    <x v="0"/>
    <x v="0"/>
    <s v="Produto original, vendedor confiável."/>
    <x v="726"/>
    <n v="30.22"/>
    <x v="725"/>
    <x v="726"/>
    <x v="0"/>
    <x v="0"/>
  </r>
  <r>
    <x v="727"/>
    <n v="153"/>
    <x v="727"/>
    <x v="4"/>
    <x v="4"/>
    <x v="0"/>
    <n v="4717"/>
    <n v="3"/>
    <n v="265.45"/>
    <n v="690.26"/>
    <s v="OFF20"/>
    <n v="0.2"/>
    <x v="0"/>
    <x v="698"/>
    <x v="1"/>
    <d v="2025-12-14T00:00:00"/>
    <d v="2025-12-23T00:00:00"/>
    <d v="2025-12-16T00:00:00"/>
    <x v="0"/>
    <x v="3"/>
    <s v="Superou minhas expectativas!"/>
    <x v="727"/>
    <n v="796.34999999999991"/>
    <x v="726"/>
    <x v="727"/>
    <x v="9"/>
    <x v="0"/>
  </r>
  <r>
    <x v="728"/>
    <n v="61"/>
    <x v="728"/>
    <x v="16"/>
    <x v="16"/>
    <x v="1"/>
    <n v="0"/>
    <n v="1"/>
    <n v="52.25"/>
    <n v="200.4"/>
    <m/>
    <n v="0"/>
    <x v="0"/>
    <x v="512"/>
    <x v="11"/>
    <d v="2025-12-15T00:00:00"/>
    <d v="2025-12-25T00:00:00"/>
    <m/>
    <x v="2"/>
    <x v="1"/>
    <s v="Esperava mais pela qualidade do produto."/>
    <x v="728"/>
    <n v="52.25"/>
    <x v="727"/>
    <x v="728"/>
    <x v="3"/>
    <x v="1"/>
  </r>
  <r>
    <x v="729"/>
    <n v="168"/>
    <x v="729"/>
    <x v="12"/>
    <x v="12"/>
    <x v="2"/>
    <n v="593"/>
    <n v="3"/>
    <n v="29.02"/>
    <n v="75.72"/>
    <m/>
    <n v="0"/>
    <x v="1"/>
    <x v="699"/>
    <x v="4"/>
    <d v="2025-12-15T00:00:00"/>
    <d v="2025-12-23T00:00:00"/>
    <d v="2025-12-18T00:00:00"/>
    <x v="0"/>
    <x v="0"/>
    <s v="Chegou antes do prazo, excelente!"/>
    <x v="729"/>
    <n v="87.06"/>
    <x v="728"/>
    <x v="729"/>
    <x v="5"/>
    <x v="0"/>
  </r>
  <r>
    <x v="730"/>
    <n v="188"/>
    <x v="730"/>
    <x v="12"/>
    <x v="12"/>
    <x v="2"/>
    <n v="582"/>
    <n v="2"/>
    <n v="23.08"/>
    <n v="91.7"/>
    <s v="OFF20"/>
    <n v="0.2"/>
    <x v="1"/>
    <x v="31"/>
    <x v="8"/>
    <d v="2025-12-16T00:00:00"/>
    <d v="2025-12-23T00:00:00"/>
    <d v="2025-12-21T00:00:00"/>
    <x v="0"/>
    <x v="0"/>
    <s v="Muito bom, sem reclamações."/>
    <x v="730"/>
    <n v="46.16"/>
    <x v="729"/>
    <x v="730"/>
    <x v="2"/>
    <x v="0"/>
  </r>
  <r>
    <x v="731"/>
    <n v="42"/>
    <x v="731"/>
    <x v="17"/>
    <x v="17"/>
    <x v="2"/>
    <n v="484"/>
    <n v="3"/>
    <n v="149.69999999999999"/>
    <n v="182.62"/>
    <s v="OFF20"/>
    <n v="0.2"/>
    <x v="2"/>
    <x v="700"/>
    <x v="14"/>
    <d v="2025-12-15T00:00:00"/>
    <d v="2025-12-22T00:00:00"/>
    <m/>
    <x v="1"/>
    <x v="1"/>
    <s v="Embalagem poderia ser melhor."/>
    <x v="731"/>
    <n v="449.1"/>
    <x v="730"/>
    <x v="731"/>
    <x v="3"/>
    <x v="1"/>
  </r>
  <r>
    <x v="732"/>
    <n v="17"/>
    <x v="732"/>
    <x v="17"/>
    <x v="17"/>
    <x v="2"/>
    <n v="383"/>
    <n v="2"/>
    <n v="132.41999999999999"/>
    <n v="158.1"/>
    <m/>
    <n v="0"/>
    <x v="1"/>
    <x v="701"/>
    <x v="7"/>
    <d v="2025-12-17T00:00:00"/>
    <d v="2025-12-25T00:00:00"/>
    <d v="2025-12-23T00:00:00"/>
    <x v="0"/>
    <x v="3"/>
    <s v="Produto original, vendedor confiável."/>
    <x v="732"/>
    <n v="264.83999999999997"/>
    <x v="731"/>
    <x v="732"/>
    <x v="2"/>
    <x v="0"/>
  </r>
  <r>
    <x v="733"/>
    <n v="106"/>
    <x v="733"/>
    <x v="4"/>
    <x v="4"/>
    <x v="0"/>
    <n v="4903"/>
    <n v="3"/>
    <n v="346.57"/>
    <n v="475.45"/>
    <m/>
    <n v="0"/>
    <x v="3"/>
    <x v="702"/>
    <x v="2"/>
    <d v="2025-12-18T00:00:00"/>
    <d v="2025-12-24T00:00:00"/>
    <d v="2025-12-20T00:00:00"/>
    <x v="0"/>
    <x v="3"/>
    <s v="Entrega rápida, muito satisfeito!"/>
    <x v="733"/>
    <n v="1039.71"/>
    <x v="732"/>
    <x v="733"/>
    <x v="1"/>
    <x v="0"/>
  </r>
  <r>
    <x v="734"/>
    <n v="78"/>
    <x v="734"/>
    <x v="5"/>
    <x v="5"/>
    <x v="2"/>
    <n v="279"/>
    <n v="1"/>
    <n v="46.1"/>
    <n v="70.84"/>
    <m/>
    <n v="0"/>
    <x v="2"/>
    <x v="703"/>
    <x v="8"/>
    <d v="2025-12-17T00:00:00"/>
    <d v="2025-12-25T00:00:00"/>
    <d v="2025-12-20T00:00:00"/>
    <x v="0"/>
    <x v="0"/>
    <s v="Chegou antes do prazo, excelente!"/>
    <x v="734"/>
    <n v="46.1"/>
    <x v="733"/>
    <x v="734"/>
    <x v="5"/>
    <x v="0"/>
  </r>
  <r>
    <x v="735"/>
    <n v="9"/>
    <x v="735"/>
    <x v="9"/>
    <x v="9"/>
    <x v="1"/>
    <n v="0"/>
    <n v="1"/>
    <n v="53.51"/>
    <n v="152.15"/>
    <s v="OFF20"/>
    <n v="0.2"/>
    <x v="1"/>
    <x v="704"/>
    <x v="14"/>
    <d v="2025-12-17T00:00:00"/>
    <d v="2025-12-23T00:00:00"/>
    <m/>
    <x v="1"/>
    <x v="1"/>
    <s v="Entrega demorou mais que o previsto."/>
    <x v="735"/>
    <n v="53.51"/>
    <x v="734"/>
    <x v="735"/>
    <x v="3"/>
    <x v="1"/>
  </r>
  <r>
    <x v="736"/>
    <n v="54"/>
    <x v="736"/>
    <x v="15"/>
    <x v="15"/>
    <x v="3"/>
    <n v="0"/>
    <n v="1"/>
    <n v="449.3"/>
    <n v="727.02"/>
    <m/>
    <n v="0"/>
    <x v="1"/>
    <x v="705"/>
    <x v="4"/>
    <d v="2025-12-18T00:00:00"/>
    <d v="2025-12-25T00:00:00"/>
    <d v="2025-12-28T00:00:00"/>
    <x v="0"/>
    <x v="2"/>
    <s v="Suporte ruim, difícil contato."/>
    <x v="736"/>
    <n v="449.3"/>
    <x v="735"/>
    <x v="736"/>
    <x v="11"/>
    <x v="2"/>
  </r>
  <r>
    <x v="737"/>
    <n v="15"/>
    <x v="737"/>
    <x v="20"/>
    <x v="20"/>
    <x v="3"/>
    <n v="0"/>
    <n v="3"/>
    <n v="443.17"/>
    <n v="736.87"/>
    <m/>
    <n v="0"/>
    <x v="3"/>
    <x v="706"/>
    <x v="7"/>
    <d v="2025-12-18T00:00:00"/>
    <d v="2025-12-27T00:00:00"/>
    <m/>
    <x v="3"/>
    <x v="4"/>
    <s v="Cancelei porque demorou demais."/>
    <x v="737"/>
    <n v="1329.51"/>
    <x v="736"/>
    <x v="737"/>
    <x v="3"/>
    <x v="1"/>
  </r>
  <r>
    <x v="738"/>
    <n v="190"/>
    <x v="738"/>
    <x v="6"/>
    <x v="6"/>
    <x v="2"/>
    <n v="333"/>
    <n v="3"/>
    <n v="52.66"/>
    <n v="127.49"/>
    <m/>
    <n v="0"/>
    <x v="2"/>
    <x v="707"/>
    <x v="2"/>
    <d v="2025-12-18T00:00:00"/>
    <d v="2025-12-26T00:00:00"/>
    <d v="2025-12-30T00:00:00"/>
    <x v="0"/>
    <x v="2"/>
    <s v="Produto extraviado, tive que abrir reclamação."/>
    <x v="738"/>
    <n v="157.97999999999999"/>
    <x v="737"/>
    <x v="738"/>
    <x v="7"/>
    <x v="2"/>
  </r>
  <r>
    <x v="739"/>
    <n v="40"/>
    <x v="739"/>
    <x v="12"/>
    <x v="12"/>
    <x v="2"/>
    <n v="337"/>
    <n v="2"/>
    <n v="30.88"/>
    <n v="47.41"/>
    <s v="PROMO10"/>
    <n v="0.1"/>
    <x v="0"/>
    <x v="708"/>
    <x v="2"/>
    <d v="2025-12-19T00:00:00"/>
    <d v="2025-12-27T00:00:00"/>
    <d v="2025-12-27T00:00:00"/>
    <x v="0"/>
    <x v="0"/>
    <s v="Qualidade impecável, voltarei a comprar."/>
    <x v="739"/>
    <n v="61.76"/>
    <x v="738"/>
    <x v="739"/>
    <x v="4"/>
    <x v="0"/>
  </r>
  <r>
    <x v="740"/>
    <n v="114"/>
    <x v="740"/>
    <x v="0"/>
    <x v="0"/>
    <x v="0"/>
    <n v="2160"/>
    <n v="2"/>
    <n v="1636.5"/>
    <n v="3971.22"/>
    <m/>
    <n v="0"/>
    <x v="1"/>
    <x v="709"/>
    <x v="5"/>
    <d v="2025-12-20T00:00:00"/>
    <d v="2025-12-27T00:00:00"/>
    <m/>
    <x v="1"/>
    <x v="3"/>
    <s v="Parabéns pela agilidade!"/>
    <x v="740"/>
    <n v="3273"/>
    <x v="739"/>
    <x v="740"/>
    <x v="3"/>
    <x v="1"/>
  </r>
  <r>
    <x v="741"/>
    <n v="174"/>
    <x v="741"/>
    <x v="17"/>
    <x v="17"/>
    <x v="2"/>
    <n v="364"/>
    <n v="3"/>
    <n v="69.25"/>
    <n v="166.22"/>
    <m/>
    <n v="0"/>
    <x v="1"/>
    <x v="710"/>
    <x v="2"/>
    <d v="2025-12-19T00:00:00"/>
    <d v="2025-12-25T00:00:00"/>
    <d v="2025-12-23T00:00:00"/>
    <x v="0"/>
    <x v="3"/>
    <s v="Superou minhas expectativas!"/>
    <x v="741"/>
    <n v="207.75"/>
    <x v="740"/>
    <x v="741"/>
    <x v="2"/>
    <x v="0"/>
  </r>
  <r>
    <x v="742"/>
    <n v="143"/>
    <x v="742"/>
    <x v="12"/>
    <x v="12"/>
    <x v="2"/>
    <n v="306"/>
    <n v="1"/>
    <n v="39.25"/>
    <n v="66.069999999999993"/>
    <m/>
    <n v="0"/>
    <x v="1"/>
    <x v="628"/>
    <x v="7"/>
    <d v="2025-12-19T00:00:00"/>
    <d v="2025-12-26T00:00:00"/>
    <d v="2025-12-28T00:00:00"/>
    <x v="0"/>
    <x v="1"/>
    <s v="Produto bom, mas o frete foi caro."/>
    <x v="742"/>
    <n v="39.25"/>
    <x v="741"/>
    <x v="742"/>
    <x v="14"/>
    <x v="2"/>
  </r>
  <r>
    <x v="743"/>
    <n v="24"/>
    <x v="743"/>
    <x v="5"/>
    <x v="5"/>
    <x v="2"/>
    <n v="292"/>
    <n v="3"/>
    <n v="56.12"/>
    <n v="128.81"/>
    <m/>
    <n v="0"/>
    <x v="0"/>
    <x v="711"/>
    <x v="1"/>
    <d v="2025-12-19T00:00:00"/>
    <d v="2025-12-26T00:00:00"/>
    <d v="2025-12-25T00:00:00"/>
    <x v="0"/>
    <x v="0"/>
    <s v="Entrega rápida, muito satisfeito!"/>
    <x v="743"/>
    <n v="168.36"/>
    <x v="742"/>
    <x v="743"/>
    <x v="6"/>
    <x v="0"/>
  </r>
  <r>
    <x v="744"/>
    <n v="128"/>
    <x v="744"/>
    <x v="6"/>
    <x v="6"/>
    <x v="2"/>
    <n v="200"/>
    <n v="3"/>
    <n v="70.62"/>
    <n v="108.83"/>
    <m/>
    <n v="0"/>
    <x v="2"/>
    <x v="712"/>
    <x v="12"/>
    <d v="2025-12-20T00:00:00"/>
    <d v="2025-12-26T00:00:00"/>
    <d v="2025-12-26T00:00:00"/>
    <x v="0"/>
    <x v="3"/>
    <s v="Produto original, vendedor confiável."/>
    <x v="744"/>
    <n v="211.86"/>
    <x v="743"/>
    <x v="744"/>
    <x v="4"/>
    <x v="0"/>
  </r>
  <r>
    <x v="745"/>
    <n v="73"/>
    <x v="745"/>
    <x v="22"/>
    <x v="22"/>
    <x v="3"/>
    <n v="0"/>
    <n v="2"/>
    <n v="432.67"/>
    <n v="744.44"/>
    <m/>
    <n v="0"/>
    <x v="1"/>
    <x v="713"/>
    <x v="4"/>
    <d v="2025-12-20T00:00:00"/>
    <d v="2025-12-26T00:00:00"/>
    <m/>
    <x v="2"/>
    <x v="4"/>
    <s v="Nunca mais compro aqui."/>
    <x v="745"/>
    <n v="865.34"/>
    <x v="744"/>
    <x v="745"/>
    <x v="3"/>
    <x v="1"/>
  </r>
  <r>
    <x v="746"/>
    <n v="152"/>
    <x v="746"/>
    <x v="1"/>
    <x v="1"/>
    <x v="0"/>
    <n v="2114"/>
    <n v="1"/>
    <n v="711.86"/>
    <n v="891.34"/>
    <s v="PROMO10"/>
    <n v="0.1"/>
    <x v="1"/>
    <x v="714"/>
    <x v="12"/>
    <d v="2025-12-21T00:00:00"/>
    <d v="2025-12-31T00:00:00"/>
    <d v="2025-12-30T00:00:00"/>
    <x v="0"/>
    <x v="3"/>
    <s v="Parabéns pela agilidade!"/>
    <x v="746"/>
    <n v="711.86"/>
    <x v="745"/>
    <x v="746"/>
    <x v="6"/>
    <x v="0"/>
  </r>
  <r>
    <x v="747"/>
    <n v="147"/>
    <x v="747"/>
    <x v="12"/>
    <x v="12"/>
    <x v="2"/>
    <n v="336"/>
    <n v="2"/>
    <n v="17.190000000000001"/>
    <n v="68.7"/>
    <m/>
    <n v="0"/>
    <x v="2"/>
    <x v="715"/>
    <x v="1"/>
    <d v="2025-12-21T00:00:00"/>
    <d v="2025-12-29T00:00:00"/>
    <m/>
    <x v="1"/>
    <x v="3"/>
    <s v="Produto top, recomendo!"/>
    <x v="747"/>
    <n v="34.380000000000003"/>
    <x v="746"/>
    <x v="747"/>
    <x v="3"/>
    <x v="1"/>
  </r>
  <r>
    <x v="748"/>
    <n v="3"/>
    <x v="748"/>
    <x v="1"/>
    <x v="1"/>
    <x v="0"/>
    <n v="2317"/>
    <n v="2"/>
    <n v="406.64"/>
    <n v="1108.45"/>
    <m/>
    <n v="0"/>
    <x v="1"/>
    <x v="716"/>
    <x v="4"/>
    <d v="2025-12-21T00:00:00"/>
    <d v="2025-12-26T00:00:00"/>
    <d v="2025-12-25T00:00:00"/>
    <x v="0"/>
    <x v="0"/>
    <s v="Ótimo custo-benefício!"/>
    <x v="748"/>
    <n v="813.28"/>
    <x v="747"/>
    <x v="748"/>
    <x v="6"/>
    <x v="0"/>
  </r>
  <r>
    <x v="749"/>
    <n v="5"/>
    <x v="749"/>
    <x v="21"/>
    <x v="21"/>
    <x v="3"/>
    <n v="0"/>
    <n v="3"/>
    <n v="182"/>
    <n v="398.37"/>
    <m/>
    <n v="0"/>
    <x v="2"/>
    <x v="717"/>
    <x v="4"/>
    <d v="2025-12-20T00:00:00"/>
    <d v="2025-12-28T00:00:00"/>
    <m/>
    <x v="1"/>
    <x v="3"/>
    <s v="Produto top, recomendo!"/>
    <x v="749"/>
    <n v="546"/>
    <x v="748"/>
    <x v="749"/>
    <x v="3"/>
    <x v="1"/>
  </r>
  <r>
    <x v="750"/>
    <n v="175"/>
    <x v="750"/>
    <x v="9"/>
    <x v="9"/>
    <x v="1"/>
    <n v="0"/>
    <n v="2"/>
    <n v="99.59"/>
    <n v="199.21"/>
    <m/>
    <n v="0"/>
    <x v="2"/>
    <x v="718"/>
    <x v="7"/>
    <d v="2025-12-21T00:00:00"/>
    <d v="2025-12-26T00:00:00"/>
    <d v="2025-12-25T00:00:00"/>
    <x v="0"/>
    <x v="3"/>
    <s v="Chegou antes do prazo, excelente!"/>
    <x v="750"/>
    <n v="199.18"/>
    <x v="749"/>
    <x v="750"/>
    <x v="6"/>
    <x v="0"/>
  </r>
  <r>
    <x v="751"/>
    <n v="199"/>
    <x v="751"/>
    <x v="8"/>
    <x v="8"/>
    <x v="1"/>
    <n v="0"/>
    <n v="2"/>
    <n v="33.18"/>
    <n v="66.599999999999994"/>
    <m/>
    <n v="0"/>
    <x v="3"/>
    <x v="719"/>
    <x v="4"/>
    <d v="2025-12-22T00:00:00"/>
    <d v="2026-01-01T00:00:00"/>
    <d v="2025-12-26T00:00:00"/>
    <x v="0"/>
    <x v="0"/>
    <s v="Entrega rápida, muito satisfeito!"/>
    <x v="751"/>
    <n v="66.36"/>
    <x v="750"/>
    <x v="751"/>
    <x v="12"/>
    <x v="0"/>
  </r>
  <r>
    <x v="752"/>
    <n v="169"/>
    <x v="752"/>
    <x v="17"/>
    <x v="17"/>
    <x v="2"/>
    <n v="318"/>
    <n v="2"/>
    <n v="68.819999999999993"/>
    <n v="134.65"/>
    <m/>
    <n v="0"/>
    <x v="3"/>
    <x v="720"/>
    <x v="8"/>
    <d v="2025-12-22T00:00:00"/>
    <d v="2026-01-01T00:00:00"/>
    <d v="2026-01-06T00:00:00"/>
    <x v="0"/>
    <x v="2"/>
    <s v="Atrasou e a caixa veio amassada."/>
    <x v="752"/>
    <n v="137.63999999999999"/>
    <x v="751"/>
    <x v="752"/>
    <x v="10"/>
    <x v="2"/>
  </r>
  <r>
    <x v="753"/>
    <n v="127"/>
    <x v="753"/>
    <x v="7"/>
    <x v="7"/>
    <x v="0"/>
    <n v="2724"/>
    <n v="2"/>
    <n v="2375.88"/>
    <n v="4658.83"/>
    <s v="PROMO10"/>
    <n v="0.1"/>
    <x v="2"/>
    <x v="721"/>
    <x v="1"/>
    <d v="2025-12-23T00:00:00"/>
    <d v="2026-01-02T00:00:00"/>
    <m/>
    <x v="2"/>
    <x v="4"/>
    <s v="Atendimento ao cliente inexistente."/>
    <x v="753"/>
    <n v="4751.76"/>
    <x v="752"/>
    <x v="753"/>
    <x v="3"/>
    <x v="1"/>
  </r>
  <r>
    <x v="754"/>
    <n v="120"/>
    <x v="754"/>
    <x v="6"/>
    <x v="6"/>
    <x v="2"/>
    <n v="229"/>
    <n v="2"/>
    <n v="75.650000000000006"/>
    <n v="139.41"/>
    <s v="PROMO10"/>
    <n v="0.1"/>
    <x v="3"/>
    <x v="722"/>
    <x v="7"/>
    <d v="2025-12-23T00:00:00"/>
    <d v="2025-12-30T00:00:00"/>
    <d v="2025-12-28T00:00:00"/>
    <x v="0"/>
    <x v="0"/>
    <s v="Entrega no prazo e produto conforme descrito."/>
    <x v="754"/>
    <n v="151.30000000000001"/>
    <x v="753"/>
    <x v="754"/>
    <x v="2"/>
    <x v="0"/>
  </r>
  <r>
    <x v="755"/>
    <n v="16"/>
    <x v="755"/>
    <x v="11"/>
    <x v="11"/>
    <x v="2"/>
    <n v="261"/>
    <n v="2"/>
    <n v="28.92"/>
    <n v="85.85"/>
    <s v="OFF20"/>
    <n v="0.2"/>
    <x v="0"/>
    <x v="723"/>
    <x v="2"/>
    <d v="2025-12-24T00:00:00"/>
    <d v="2025-12-30T00:00:00"/>
    <d v="2025-12-26T00:00:00"/>
    <x v="0"/>
    <x v="0"/>
    <s v="Parabéns pela agilidade!"/>
    <x v="755"/>
    <n v="57.84"/>
    <x v="754"/>
    <x v="755"/>
    <x v="1"/>
    <x v="0"/>
  </r>
  <r>
    <x v="756"/>
    <n v="55"/>
    <x v="756"/>
    <x v="1"/>
    <x v="1"/>
    <x v="0"/>
    <n v="2134"/>
    <n v="3"/>
    <n v="798.45"/>
    <n v="1372.01"/>
    <s v="OFF20"/>
    <n v="0.2"/>
    <x v="0"/>
    <x v="724"/>
    <x v="1"/>
    <d v="2025-12-24T00:00:00"/>
    <d v="2025-12-31T00:00:00"/>
    <d v="2025-12-28T00:00:00"/>
    <x v="0"/>
    <x v="3"/>
    <s v="Entrega rápida, muito satisfeito!"/>
    <x v="756"/>
    <n v="2395.35"/>
    <x v="755"/>
    <x v="756"/>
    <x v="0"/>
    <x v="0"/>
  </r>
  <r>
    <x v="757"/>
    <n v="2"/>
    <x v="757"/>
    <x v="21"/>
    <x v="21"/>
    <x v="3"/>
    <n v="0"/>
    <n v="1"/>
    <n v="311.35000000000002"/>
    <n v="528.82000000000005"/>
    <m/>
    <n v="0"/>
    <x v="1"/>
    <x v="725"/>
    <x v="7"/>
    <d v="2025-12-25T00:00:00"/>
    <d v="2026-01-04T00:00:00"/>
    <m/>
    <x v="1"/>
    <x v="1"/>
    <s v="Esperava mais pela qualidade do produto."/>
    <x v="757"/>
    <n v="311.35000000000002"/>
    <x v="756"/>
    <x v="757"/>
    <x v="3"/>
    <x v="1"/>
  </r>
  <r>
    <x v="758"/>
    <n v="56"/>
    <x v="758"/>
    <x v="16"/>
    <x v="16"/>
    <x v="1"/>
    <n v="0"/>
    <n v="2"/>
    <n v="241.05"/>
    <n v="330.82"/>
    <s v="PROMO10"/>
    <n v="0.1"/>
    <x v="3"/>
    <x v="726"/>
    <x v="3"/>
    <d v="2025-12-25T00:00:00"/>
    <d v="2026-01-01T00:00:00"/>
    <m/>
    <x v="1"/>
    <x v="2"/>
    <s v="Não recomendo, péssima experiência."/>
    <x v="758"/>
    <n v="482.1"/>
    <x v="757"/>
    <x v="758"/>
    <x v="3"/>
    <x v="1"/>
  </r>
  <r>
    <x v="759"/>
    <n v="89"/>
    <x v="759"/>
    <x v="5"/>
    <x v="5"/>
    <x v="2"/>
    <n v="295"/>
    <n v="3"/>
    <n v="78.44"/>
    <n v="138.24"/>
    <m/>
    <n v="0"/>
    <x v="0"/>
    <x v="727"/>
    <x v="3"/>
    <d v="2025-12-24T00:00:00"/>
    <d v="2025-12-29T00:00:00"/>
    <d v="2026-01-03T00:00:00"/>
    <x v="0"/>
    <x v="1"/>
    <s v="Nada de especial, cumpriu o básico."/>
    <x v="759"/>
    <n v="235.32"/>
    <x v="758"/>
    <x v="759"/>
    <x v="10"/>
    <x v="2"/>
  </r>
  <r>
    <x v="760"/>
    <n v="122"/>
    <x v="760"/>
    <x v="1"/>
    <x v="1"/>
    <x v="0"/>
    <n v="2050"/>
    <n v="3"/>
    <n v="552.22"/>
    <n v="1192.06"/>
    <s v="OFF20"/>
    <n v="0.2"/>
    <x v="2"/>
    <x v="728"/>
    <x v="8"/>
    <d v="2025-12-25T00:00:00"/>
    <d v="2025-12-31T00:00:00"/>
    <d v="2025-12-27T00:00:00"/>
    <x v="0"/>
    <x v="0"/>
    <s v="Superou minhas expectativas!"/>
    <x v="760"/>
    <n v="1656.66"/>
    <x v="759"/>
    <x v="760"/>
    <x v="1"/>
    <x v="0"/>
  </r>
  <r>
    <x v="761"/>
    <n v="200"/>
    <x v="761"/>
    <x v="21"/>
    <x v="21"/>
    <x v="3"/>
    <n v="0"/>
    <n v="3"/>
    <n v="288.79000000000002"/>
    <n v="553.47"/>
    <s v="PROMO10"/>
    <n v="0.1"/>
    <x v="3"/>
    <x v="729"/>
    <x v="8"/>
    <d v="2025-12-25T00:00:00"/>
    <d v="2025-12-31T00:00:00"/>
    <d v="2025-12-27T00:00:00"/>
    <x v="0"/>
    <x v="3"/>
    <s v="Excelente atendimento e entrega."/>
    <x v="761"/>
    <n v="866.37000000000012"/>
    <x v="760"/>
    <x v="761"/>
    <x v="1"/>
    <x v="0"/>
  </r>
  <r>
    <x v="762"/>
    <n v="184"/>
    <x v="762"/>
    <x v="10"/>
    <x v="10"/>
    <x v="2"/>
    <n v="299"/>
    <n v="3"/>
    <n v="74.650000000000006"/>
    <n v="189.28"/>
    <m/>
    <n v="0"/>
    <x v="2"/>
    <x v="671"/>
    <x v="4"/>
    <d v="2025-12-25T00:00:00"/>
    <d v="2025-12-31T00:00:00"/>
    <d v="2025-12-31T00:00:00"/>
    <x v="0"/>
    <x v="3"/>
    <s v="Qualidade impecável, voltarei a comprar."/>
    <x v="762"/>
    <n v="223.95"/>
    <x v="761"/>
    <x v="762"/>
    <x v="4"/>
    <x v="0"/>
  </r>
  <r>
    <x v="763"/>
    <n v="86"/>
    <x v="763"/>
    <x v="5"/>
    <x v="5"/>
    <x v="2"/>
    <n v="256"/>
    <n v="1"/>
    <n v="59.88"/>
    <n v="79.75"/>
    <m/>
    <n v="0"/>
    <x v="3"/>
    <x v="730"/>
    <x v="8"/>
    <d v="2025-12-25T00:00:00"/>
    <d v="2026-01-01T00:00:00"/>
    <m/>
    <x v="2"/>
    <x v="2"/>
    <s v="Produto não era o que esperava."/>
    <x v="763"/>
    <n v="59.88"/>
    <x v="762"/>
    <x v="763"/>
    <x v="3"/>
    <x v="1"/>
  </r>
  <r>
    <x v="764"/>
    <n v="103"/>
    <x v="764"/>
    <x v="6"/>
    <x v="6"/>
    <x v="2"/>
    <n v="204"/>
    <n v="1"/>
    <n v="58.81"/>
    <n v="147.38"/>
    <s v="PROMO10"/>
    <n v="0.1"/>
    <x v="3"/>
    <x v="731"/>
    <x v="1"/>
    <d v="2025-12-25T00:00:00"/>
    <d v="2026-01-04T00:00:00"/>
    <m/>
    <x v="1"/>
    <x v="3"/>
    <s v="Tudo certo, nota 10!"/>
    <x v="764"/>
    <n v="58.81"/>
    <x v="763"/>
    <x v="764"/>
    <x v="3"/>
    <x v="1"/>
  </r>
  <r>
    <x v="765"/>
    <n v="69"/>
    <x v="765"/>
    <x v="4"/>
    <x v="4"/>
    <x v="0"/>
    <n v="4075"/>
    <n v="3"/>
    <n v="493.53"/>
    <n v="631.30999999999995"/>
    <m/>
    <n v="0"/>
    <x v="0"/>
    <x v="732"/>
    <x v="2"/>
    <d v="2025-12-25T00:00:00"/>
    <d v="2026-01-04T00:00:00"/>
    <d v="2026-01-02T00:00:00"/>
    <x v="0"/>
    <x v="3"/>
    <s v="Chegou antes do prazo, excelente!"/>
    <x v="765"/>
    <n v="1480.59"/>
    <x v="764"/>
    <x v="765"/>
    <x v="2"/>
    <x v="0"/>
  </r>
  <r>
    <x v="766"/>
    <n v="175"/>
    <x v="766"/>
    <x v="19"/>
    <x v="19"/>
    <x v="0"/>
    <n v="4577"/>
    <n v="1"/>
    <n v="1188.3"/>
    <n v="1485.23"/>
    <s v="PROMO10"/>
    <n v="0.1"/>
    <x v="1"/>
    <x v="733"/>
    <x v="2"/>
    <d v="2025-12-26T00:00:00"/>
    <d v="2026-01-02T00:00:00"/>
    <d v="2025-12-28T00:00:00"/>
    <x v="0"/>
    <x v="0"/>
    <s v="Qualidade impecável, voltarei a comprar."/>
    <x v="766"/>
    <n v="1188.3"/>
    <x v="765"/>
    <x v="766"/>
    <x v="5"/>
    <x v="0"/>
  </r>
  <r>
    <x v="767"/>
    <n v="95"/>
    <x v="767"/>
    <x v="3"/>
    <x v="3"/>
    <x v="2"/>
    <n v="796"/>
    <n v="3"/>
    <n v="126.09"/>
    <n v="229.35"/>
    <s v="PROMO10"/>
    <n v="0.1"/>
    <x v="0"/>
    <x v="734"/>
    <x v="2"/>
    <d v="2025-12-26T00:00:00"/>
    <d v="2026-01-03T00:00:00"/>
    <d v="2026-01-07T00:00:00"/>
    <x v="0"/>
    <x v="1"/>
    <s v="Produto bom, mas o frete foi caro."/>
    <x v="767"/>
    <n v="378.27"/>
    <x v="766"/>
    <x v="767"/>
    <x v="7"/>
    <x v="2"/>
  </r>
  <r>
    <x v="768"/>
    <n v="53"/>
    <x v="768"/>
    <x v="16"/>
    <x v="16"/>
    <x v="1"/>
    <n v="0"/>
    <n v="3"/>
    <n v="107.25"/>
    <n v="471.32"/>
    <m/>
    <n v="0"/>
    <x v="3"/>
    <x v="557"/>
    <x v="3"/>
    <d v="2025-12-27T00:00:00"/>
    <d v="2026-01-03T00:00:00"/>
    <d v="2026-01-03T00:00:00"/>
    <x v="0"/>
    <x v="3"/>
    <s v="Produto top, recomendo!"/>
    <x v="768"/>
    <n v="321.75"/>
    <x v="767"/>
    <x v="768"/>
    <x v="4"/>
    <x v="0"/>
  </r>
  <r>
    <x v="769"/>
    <n v="23"/>
    <x v="769"/>
    <x v="16"/>
    <x v="16"/>
    <x v="1"/>
    <n v="0"/>
    <n v="1"/>
    <n v="286.77999999999997"/>
    <n v="441.02"/>
    <s v="PROMO10"/>
    <n v="0.1"/>
    <x v="0"/>
    <x v="735"/>
    <x v="3"/>
    <d v="2025-12-28T00:00:00"/>
    <d v="2026-01-07T00:00:00"/>
    <m/>
    <x v="1"/>
    <x v="2"/>
    <s v="Muito atraso na entrega."/>
    <x v="769"/>
    <n v="286.77999999999997"/>
    <x v="768"/>
    <x v="769"/>
    <x v="3"/>
    <x v="1"/>
  </r>
  <r>
    <x v="770"/>
    <n v="156"/>
    <x v="770"/>
    <x v="3"/>
    <x v="3"/>
    <x v="2"/>
    <n v="722"/>
    <n v="1"/>
    <n v="90.04"/>
    <n v="329.57"/>
    <s v="PROMO10"/>
    <n v="0.1"/>
    <x v="1"/>
    <x v="736"/>
    <x v="1"/>
    <d v="2025-12-27T00:00:00"/>
    <d v="2026-01-04T00:00:00"/>
    <d v="2026-01-08T00:00:00"/>
    <x v="0"/>
    <x v="4"/>
    <s v="Atendimento ao cliente inexistente."/>
    <x v="770"/>
    <n v="90.04"/>
    <x v="769"/>
    <x v="770"/>
    <x v="7"/>
    <x v="2"/>
  </r>
  <r>
    <x v="771"/>
    <n v="145"/>
    <x v="771"/>
    <x v="3"/>
    <x v="3"/>
    <x v="2"/>
    <n v="760"/>
    <n v="1"/>
    <n v="122.57"/>
    <n v="279.14"/>
    <s v="PROMO10"/>
    <n v="0.1"/>
    <x v="0"/>
    <x v="737"/>
    <x v="2"/>
    <d v="2025-12-29T00:00:00"/>
    <d v="2026-01-04T00:00:00"/>
    <d v="2026-01-02T00:00:00"/>
    <x v="0"/>
    <x v="3"/>
    <s v="Ótimo custo-benefício!"/>
    <x v="771"/>
    <n v="122.57"/>
    <x v="770"/>
    <x v="771"/>
    <x v="2"/>
    <x v="0"/>
  </r>
  <r>
    <x v="772"/>
    <n v="170"/>
    <x v="772"/>
    <x v="21"/>
    <x v="21"/>
    <x v="3"/>
    <n v="0"/>
    <n v="2"/>
    <n v="254.61"/>
    <n v="338.22"/>
    <s v="PROMO10"/>
    <n v="0.1"/>
    <x v="1"/>
    <x v="738"/>
    <x v="10"/>
    <d v="2025-12-29T00:00:00"/>
    <d v="2026-01-04T00:00:00"/>
    <m/>
    <x v="3"/>
    <x v="1"/>
    <s v="Chegou com pequeno atraso, mas o produto é bom."/>
    <x v="772"/>
    <n v="509.22"/>
    <x v="771"/>
    <x v="772"/>
    <x v="3"/>
    <x v="1"/>
  </r>
  <r>
    <x v="773"/>
    <n v="97"/>
    <x v="773"/>
    <x v="2"/>
    <x v="2"/>
    <x v="1"/>
    <n v="0"/>
    <n v="3"/>
    <n v="26.11"/>
    <n v="130.13"/>
    <m/>
    <n v="0"/>
    <x v="0"/>
    <x v="739"/>
    <x v="2"/>
    <d v="2025-12-29T00:00:00"/>
    <d v="2026-01-08T00:00:00"/>
    <d v="2026-01-06T00:00:00"/>
    <x v="0"/>
    <x v="3"/>
    <s v="Frete rápido, adorei!"/>
    <x v="773"/>
    <n v="78.33"/>
    <x v="772"/>
    <x v="773"/>
    <x v="2"/>
    <x v="0"/>
  </r>
  <r>
    <x v="774"/>
    <n v="61"/>
    <x v="774"/>
    <x v="4"/>
    <x v="4"/>
    <x v="0"/>
    <n v="4023"/>
    <n v="3"/>
    <n v="325.57"/>
    <n v="494.06"/>
    <m/>
    <n v="0"/>
    <x v="0"/>
    <x v="740"/>
    <x v="8"/>
    <d v="2025-12-30T00:00:00"/>
    <d v="2026-01-07T00:00:00"/>
    <d v="2026-01-06T00:00:00"/>
    <x v="0"/>
    <x v="0"/>
    <s v="Muito bom, sem reclamações."/>
    <x v="774"/>
    <n v="976.71"/>
    <x v="773"/>
    <x v="774"/>
    <x v="6"/>
    <x v="0"/>
  </r>
  <r>
    <x v="775"/>
    <n v="27"/>
    <x v="775"/>
    <x v="5"/>
    <x v="5"/>
    <x v="2"/>
    <n v="235"/>
    <n v="3"/>
    <n v="33.549999999999997"/>
    <n v="135.19"/>
    <s v="PROMO10"/>
    <n v="0.1"/>
    <x v="2"/>
    <x v="741"/>
    <x v="13"/>
    <d v="2025-12-31T00:00:00"/>
    <d v="2026-01-10T00:00:00"/>
    <d v="2026-01-02T00:00:00"/>
    <x v="0"/>
    <x v="3"/>
    <s v="Ótimo custo-benefício!"/>
    <x v="775"/>
    <n v="100.65"/>
    <x v="774"/>
    <x v="775"/>
    <x v="13"/>
    <x v="0"/>
  </r>
  <r>
    <x v="776"/>
    <n v="194"/>
    <x v="776"/>
    <x v="21"/>
    <x v="21"/>
    <x v="3"/>
    <n v="0"/>
    <n v="1"/>
    <n v="306.14"/>
    <n v="454.04"/>
    <m/>
    <n v="0"/>
    <x v="2"/>
    <x v="742"/>
    <x v="12"/>
    <d v="2025-12-31T00:00:00"/>
    <d v="2026-01-10T00:00:00"/>
    <m/>
    <x v="3"/>
    <x v="2"/>
    <s v="Nunca mais compro aqui."/>
    <x v="776"/>
    <n v="306.14"/>
    <x v="775"/>
    <x v="776"/>
    <x v="3"/>
    <x v="1"/>
  </r>
  <r>
    <x v="777"/>
    <n v="114"/>
    <x v="777"/>
    <x v="14"/>
    <x v="14"/>
    <x v="0"/>
    <n v="2138"/>
    <n v="2"/>
    <n v="1292.82"/>
    <n v="1683.04"/>
    <s v="PROMO10"/>
    <n v="0.1"/>
    <x v="1"/>
    <x v="743"/>
    <x v="4"/>
    <d v="2025-12-30T00:00:00"/>
    <d v="2026-01-07T00:00:00"/>
    <d v="2026-01-02T00:00:00"/>
    <x v="0"/>
    <x v="3"/>
    <s v="Entrega rápida, muito satisfeito!"/>
    <x v="777"/>
    <n v="2585.64"/>
    <x v="776"/>
    <x v="777"/>
    <x v="5"/>
    <x v="0"/>
  </r>
  <r>
    <x v="778"/>
    <n v="145"/>
    <x v="778"/>
    <x v="16"/>
    <x v="16"/>
    <x v="1"/>
    <n v="0"/>
    <n v="3"/>
    <n v="170.38"/>
    <n v="236.81"/>
    <s v="OFF20"/>
    <n v="0.2"/>
    <x v="1"/>
    <x v="744"/>
    <x v="2"/>
    <d v="2026-01-01T00:00:00"/>
    <d v="2026-01-08T00:00:00"/>
    <d v="2026-01-08T00:00:00"/>
    <x v="0"/>
    <x v="0"/>
    <s v="Qualidade impecável, voltarei a comprar."/>
    <x v="778"/>
    <n v="511.14"/>
    <x v="777"/>
    <x v="778"/>
    <x v="4"/>
    <x v="0"/>
  </r>
  <r>
    <x v="779"/>
    <n v="88"/>
    <x v="779"/>
    <x v="17"/>
    <x v="17"/>
    <x v="2"/>
    <n v="338"/>
    <n v="3"/>
    <n v="79.98"/>
    <n v="121.9"/>
    <s v="PROMO10"/>
    <n v="0.1"/>
    <x v="0"/>
    <x v="361"/>
    <x v="1"/>
    <d v="2026-01-01T00:00:00"/>
    <d v="2026-01-09T00:00:00"/>
    <d v="2026-01-13T00:00:00"/>
    <x v="0"/>
    <x v="4"/>
    <s v="Atrasou e a caixa veio amassada."/>
    <x v="779"/>
    <n v="239.94"/>
    <x v="778"/>
    <x v="779"/>
    <x v="7"/>
    <x v="2"/>
  </r>
  <r>
    <x v="780"/>
    <n v="105"/>
    <x v="780"/>
    <x v="17"/>
    <x v="17"/>
    <x v="2"/>
    <n v="433"/>
    <n v="3"/>
    <n v="97.3"/>
    <n v="189.25"/>
    <s v="PROMO10"/>
    <n v="0.1"/>
    <x v="2"/>
    <x v="189"/>
    <x v="10"/>
    <d v="2026-01-01T00:00:00"/>
    <d v="2026-01-09T00:00:00"/>
    <d v="2026-01-10T00:00:00"/>
    <x v="0"/>
    <x v="4"/>
    <s v="Produto não era o que esperava."/>
    <x v="780"/>
    <n v="291.89999999999998"/>
    <x v="779"/>
    <x v="780"/>
    <x v="8"/>
    <x v="2"/>
  </r>
  <r>
    <x v="781"/>
    <n v="168"/>
    <x v="781"/>
    <x v="19"/>
    <x v="19"/>
    <x v="0"/>
    <n v="3921"/>
    <n v="2"/>
    <n v="694.13"/>
    <n v="872.51"/>
    <m/>
    <n v="0"/>
    <x v="0"/>
    <x v="745"/>
    <x v="2"/>
    <d v="2025-12-31T00:00:00"/>
    <d v="2026-01-10T00:00:00"/>
    <d v="2026-01-04T00:00:00"/>
    <x v="0"/>
    <x v="3"/>
    <s v="Ótimo custo-benefício!"/>
    <x v="781"/>
    <n v="1388.26"/>
    <x v="780"/>
    <x v="781"/>
    <x v="12"/>
    <x v="0"/>
  </r>
  <r>
    <x v="782"/>
    <n v="132"/>
    <x v="782"/>
    <x v="14"/>
    <x v="14"/>
    <x v="0"/>
    <n v="2174"/>
    <n v="1"/>
    <n v="991.12"/>
    <n v="2077.4699999999998"/>
    <s v="OFF20"/>
    <n v="0.2"/>
    <x v="2"/>
    <x v="492"/>
    <x v="1"/>
    <d v="2026-01-01T00:00:00"/>
    <d v="2026-01-07T00:00:00"/>
    <d v="2026-01-05T00:00:00"/>
    <x v="0"/>
    <x v="3"/>
    <s v="Embalagem perfeita, produto intacto."/>
    <x v="782"/>
    <n v="991.12"/>
    <x v="781"/>
    <x v="782"/>
    <x v="2"/>
    <x v="0"/>
  </r>
  <r>
    <x v="783"/>
    <n v="117"/>
    <x v="783"/>
    <x v="8"/>
    <x v="8"/>
    <x v="1"/>
    <n v="0"/>
    <n v="2"/>
    <n v="25.84"/>
    <n v="58"/>
    <m/>
    <n v="0"/>
    <x v="0"/>
    <x v="288"/>
    <x v="0"/>
    <d v="2026-01-01T00:00:00"/>
    <d v="2026-01-07T00:00:00"/>
    <d v="2026-01-06T00:00:00"/>
    <x v="0"/>
    <x v="3"/>
    <s v="Entrega rápida, muito satisfeito!"/>
    <x v="783"/>
    <n v="51.68"/>
    <x v="782"/>
    <x v="783"/>
    <x v="6"/>
    <x v="0"/>
  </r>
  <r>
    <x v="784"/>
    <n v="58"/>
    <x v="784"/>
    <x v="4"/>
    <x v="4"/>
    <x v="0"/>
    <n v="4289"/>
    <n v="1"/>
    <n v="427.89"/>
    <n v="606.23"/>
    <s v="PROMO10"/>
    <n v="0.1"/>
    <x v="3"/>
    <x v="746"/>
    <x v="2"/>
    <d v="2026-01-02T00:00:00"/>
    <d v="2026-01-07T00:00:00"/>
    <d v="2026-01-10T00:00:00"/>
    <x v="0"/>
    <x v="1"/>
    <s v="Produto bom, mas o frete foi caro."/>
    <x v="784"/>
    <n v="427.89"/>
    <x v="783"/>
    <x v="784"/>
    <x v="11"/>
    <x v="2"/>
  </r>
  <r>
    <x v="785"/>
    <n v="185"/>
    <x v="785"/>
    <x v="8"/>
    <x v="8"/>
    <x v="1"/>
    <n v="0"/>
    <n v="1"/>
    <n v="45.19"/>
    <n v="221.43"/>
    <s v="OFF20"/>
    <n v="0.2"/>
    <x v="1"/>
    <x v="747"/>
    <x v="5"/>
    <d v="2026-01-02T00:00:00"/>
    <d v="2026-01-08T00:00:00"/>
    <d v="2026-01-04T00:00:00"/>
    <x v="0"/>
    <x v="0"/>
    <s v="Superou minhas expectativas!"/>
    <x v="785"/>
    <n v="45.19"/>
    <x v="784"/>
    <x v="785"/>
    <x v="1"/>
    <x v="0"/>
  </r>
  <r>
    <x v="786"/>
    <n v="24"/>
    <x v="786"/>
    <x v="14"/>
    <x v="14"/>
    <x v="0"/>
    <n v="2046"/>
    <n v="3"/>
    <n v="977.14"/>
    <n v="1930.07"/>
    <m/>
    <n v="0"/>
    <x v="1"/>
    <x v="748"/>
    <x v="3"/>
    <d v="2026-01-01T00:00:00"/>
    <d v="2026-01-06T00:00:00"/>
    <d v="2026-01-05T00:00:00"/>
    <x v="0"/>
    <x v="0"/>
    <s v="Superou minhas expectativas!"/>
    <x v="786"/>
    <n v="2931.42"/>
    <x v="785"/>
    <x v="786"/>
    <x v="6"/>
    <x v="0"/>
  </r>
  <r>
    <x v="787"/>
    <n v="74"/>
    <x v="787"/>
    <x v="1"/>
    <x v="1"/>
    <x v="0"/>
    <n v="2574"/>
    <n v="1"/>
    <n v="598.66999999999996"/>
    <n v="1200.6600000000001"/>
    <m/>
    <n v="0"/>
    <x v="1"/>
    <x v="749"/>
    <x v="4"/>
    <d v="2026-01-01T00:00:00"/>
    <d v="2026-01-06T00:00:00"/>
    <d v="2026-01-11T00:00:00"/>
    <x v="0"/>
    <x v="1"/>
    <s v="Entrega demorou mais que o previsto."/>
    <x v="787"/>
    <n v="598.66999999999996"/>
    <x v="786"/>
    <x v="787"/>
    <x v="10"/>
    <x v="2"/>
  </r>
  <r>
    <x v="788"/>
    <n v="163"/>
    <x v="788"/>
    <x v="10"/>
    <x v="10"/>
    <x v="2"/>
    <n v="339"/>
    <n v="2"/>
    <n v="114.54"/>
    <n v="202.39"/>
    <s v="PROMO10"/>
    <n v="0.1"/>
    <x v="1"/>
    <x v="750"/>
    <x v="2"/>
    <d v="2026-01-02T00:00:00"/>
    <d v="2026-01-07T00:00:00"/>
    <d v="2026-01-04T00:00:00"/>
    <x v="0"/>
    <x v="0"/>
    <s v="Qualidade impecável, voltarei a comprar."/>
    <x v="788"/>
    <n v="229.08"/>
    <x v="787"/>
    <x v="788"/>
    <x v="0"/>
    <x v="0"/>
  </r>
  <r>
    <x v="789"/>
    <n v="104"/>
    <x v="789"/>
    <x v="16"/>
    <x v="16"/>
    <x v="1"/>
    <n v="0"/>
    <n v="1"/>
    <n v="96.39"/>
    <n v="479.59"/>
    <s v="PROMO10"/>
    <n v="0.1"/>
    <x v="0"/>
    <x v="497"/>
    <x v="0"/>
    <d v="2026-01-01T00:00:00"/>
    <d v="2026-01-08T00:00:00"/>
    <d v="2026-01-04T00:00:00"/>
    <x v="0"/>
    <x v="3"/>
    <s v="Excelente atendimento e entrega."/>
    <x v="789"/>
    <n v="96.39"/>
    <x v="788"/>
    <x v="789"/>
    <x v="1"/>
    <x v="0"/>
  </r>
  <r>
    <x v="790"/>
    <n v="60"/>
    <x v="790"/>
    <x v="8"/>
    <x v="8"/>
    <x v="1"/>
    <n v="0"/>
    <n v="1"/>
    <n v="84.85"/>
    <n v="104.3"/>
    <m/>
    <n v="0"/>
    <x v="0"/>
    <x v="751"/>
    <x v="2"/>
    <d v="2026-01-02T00:00:00"/>
    <d v="2026-01-07T00:00:00"/>
    <d v="2026-01-06T00:00:00"/>
    <x v="0"/>
    <x v="3"/>
    <s v="Parabéns pela agilidade!"/>
    <x v="790"/>
    <n v="84.85"/>
    <x v="789"/>
    <x v="790"/>
    <x v="6"/>
    <x v="0"/>
  </r>
  <r>
    <x v="791"/>
    <n v="189"/>
    <x v="791"/>
    <x v="0"/>
    <x v="0"/>
    <x v="0"/>
    <n v="2623"/>
    <n v="3"/>
    <n v="1949.37"/>
    <n v="2385.4"/>
    <m/>
    <n v="0"/>
    <x v="3"/>
    <x v="752"/>
    <x v="12"/>
    <d v="2026-01-02T00:00:00"/>
    <d v="2026-01-07T00:00:00"/>
    <d v="2026-01-05T00:00:00"/>
    <x v="0"/>
    <x v="3"/>
    <s v="Tudo certo, nota 10!"/>
    <x v="791"/>
    <n v="5848.11"/>
    <x v="790"/>
    <x v="791"/>
    <x v="2"/>
    <x v="0"/>
  </r>
  <r>
    <x v="792"/>
    <n v="148"/>
    <x v="792"/>
    <x v="20"/>
    <x v="20"/>
    <x v="3"/>
    <n v="0"/>
    <n v="3"/>
    <n v="345.7"/>
    <n v="573.6"/>
    <s v="PROMO10"/>
    <n v="0.1"/>
    <x v="0"/>
    <x v="753"/>
    <x v="7"/>
    <d v="2026-01-02T00:00:00"/>
    <d v="2026-01-09T00:00:00"/>
    <m/>
    <x v="1"/>
    <x v="3"/>
    <s v="Superou minhas expectativas!"/>
    <x v="792"/>
    <n v="1037.0999999999999"/>
    <x v="791"/>
    <x v="792"/>
    <x v="3"/>
    <x v="1"/>
  </r>
  <r>
    <x v="793"/>
    <n v="149"/>
    <x v="793"/>
    <x v="3"/>
    <x v="3"/>
    <x v="2"/>
    <n v="763"/>
    <n v="2"/>
    <n v="169.65"/>
    <n v="309.99"/>
    <m/>
    <n v="0"/>
    <x v="3"/>
    <x v="754"/>
    <x v="8"/>
    <d v="2026-01-04T00:00:00"/>
    <d v="2026-01-12T00:00:00"/>
    <d v="2026-01-11T00:00:00"/>
    <x v="0"/>
    <x v="3"/>
    <s v="Muito bom, sem reclamações."/>
    <x v="793"/>
    <n v="339.3"/>
    <x v="792"/>
    <x v="793"/>
    <x v="6"/>
    <x v="0"/>
  </r>
  <r>
    <x v="794"/>
    <n v="185"/>
    <x v="794"/>
    <x v="7"/>
    <x v="7"/>
    <x v="0"/>
    <n v="2976"/>
    <n v="1"/>
    <n v="2002.08"/>
    <n v="3751.56"/>
    <m/>
    <n v="0"/>
    <x v="2"/>
    <x v="755"/>
    <x v="14"/>
    <d v="2026-01-04T00:00:00"/>
    <d v="2026-01-13T00:00:00"/>
    <d v="2026-01-12T00:00:00"/>
    <x v="0"/>
    <x v="0"/>
    <s v="Superou minhas expectativas!"/>
    <x v="794"/>
    <n v="2002.08"/>
    <x v="793"/>
    <x v="794"/>
    <x v="6"/>
    <x v="0"/>
  </r>
  <r>
    <x v="795"/>
    <n v="130"/>
    <x v="795"/>
    <x v="6"/>
    <x v="6"/>
    <x v="2"/>
    <n v="265"/>
    <n v="1"/>
    <n v="68.92"/>
    <n v="126.63"/>
    <s v="PROMO10"/>
    <n v="0.1"/>
    <x v="3"/>
    <x v="756"/>
    <x v="5"/>
    <d v="2026-01-03T00:00:00"/>
    <d v="2026-01-12T00:00:00"/>
    <d v="2026-01-14T00:00:00"/>
    <x v="0"/>
    <x v="2"/>
    <s v="Frete caro e entrega lenta."/>
    <x v="795"/>
    <n v="68.92"/>
    <x v="794"/>
    <x v="795"/>
    <x v="14"/>
    <x v="2"/>
  </r>
  <r>
    <x v="796"/>
    <n v="43"/>
    <x v="796"/>
    <x v="10"/>
    <x v="10"/>
    <x v="2"/>
    <n v="282"/>
    <n v="3"/>
    <n v="43.92"/>
    <n v="206.44"/>
    <m/>
    <n v="0"/>
    <x v="0"/>
    <x v="757"/>
    <x v="13"/>
    <d v="2026-01-03T00:00:00"/>
    <d v="2026-01-11T00:00:00"/>
    <m/>
    <x v="2"/>
    <x v="1"/>
    <s v="Chegou com pequeno atraso, mas o produto é bom."/>
    <x v="796"/>
    <n v="131.76"/>
    <x v="795"/>
    <x v="796"/>
    <x v="3"/>
    <x v="1"/>
  </r>
  <r>
    <x v="797"/>
    <n v="68"/>
    <x v="797"/>
    <x v="1"/>
    <x v="1"/>
    <x v="0"/>
    <n v="2428"/>
    <n v="2"/>
    <n v="505.14"/>
    <n v="756.16"/>
    <m/>
    <n v="0"/>
    <x v="3"/>
    <x v="758"/>
    <x v="9"/>
    <d v="2026-01-05T00:00:00"/>
    <d v="2026-01-10T00:00:00"/>
    <d v="2026-01-08T00:00:00"/>
    <x v="0"/>
    <x v="3"/>
    <s v="Produto top, recomendo!"/>
    <x v="797"/>
    <n v="1010.28"/>
    <x v="796"/>
    <x v="797"/>
    <x v="2"/>
    <x v="0"/>
  </r>
  <r>
    <x v="798"/>
    <n v="74"/>
    <x v="798"/>
    <x v="4"/>
    <x v="4"/>
    <x v="0"/>
    <n v="4656"/>
    <n v="2"/>
    <n v="379.69"/>
    <n v="585.28"/>
    <m/>
    <n v="0"/>
    <x v="3"/>
    <x v="759"/>
    <x v="2"/>
    <d v="2026-01-04T00:00:00"/>
    <d v="2026-01-13T00:00:00"/>
    <m/>
    <x v="1"/>
    <x v="3"/>
    <s v="Tudo certo, nota 10!"/>
    <x v="798"/>
    <n v="759.38"/>
    <x v="797"/>
    <x v="798"/>
    <x v="3"/>
    <x v="1"/>
  </r>
  <r>
    <x v="799"/>
    <n v="39"/>
    <x v="799"/>
    <x v="3"/>
    <x v="3"/>
    <x v="2"/>
    <n v="792"/>
    <n v="1"/>
    <n v="81.2"/>
    <n v="151.44999999999999"/>
    <s v="OFF20"/>
    <n v="0.2"/>
    <x v="0"/>
    <x v="760"/>
    <x v="8"/>
    <d v="2026-01-05T00:00:00"/>
    <d v="2026-01-15T00:00:00"/>
    <m/>
    <x v="3"/>
    <x v="1"/>
    <s v="Embalagem poderia ser melhor."/>
    <x v="799"/>
    <n v="81.2"/>
    <x v="798"/>
    <x v="799"/>
    <x v="3"/>
    <x v="1"/>
  </r>
  <r>
    <x v="800"/>
    <n v="181"/>
    <x v="800"/>
    <x v="12"/>
    <x v="12"/>
    <x v="2"/>
    <n v="489"/>
    <n v="3"/>
    <n v="26.87"/>
    <n v="67.11"/>
    <s v="PROMO10"/>
    <n v="0.1"/>
    <x v="0"/>
    <x v="761"/>
    <x v="4"/>
    <d v="2026-01-05T00:00:00"/>
    <d v="2026-01-14T00:00:00"/>
    <d v="2026-01-09T00:00:00"/>
    <x v="0"/>
    <x v="3"/>
    <s v="Produto top, recomendo!"/>
    <x v="800"/>
    <n v="80.61"/>
    <x v="799"/>
    <x v="800"/>
    <x v="5"/>
    <x v="0"/>
  </r>
  <r>
    <x v="801"/>
    <n v="198"/>
    <x v="801"/>
    <x v="6"/>
    <x v="6"/>
    <x v="2"/>
    <n v="223"/>
    <n v="2"/>
    <n v="58.59"/>
    <n v="101.63"/>
    <s v="PROMO10"/>
    <n v="0.1"/>
    <x v="2"/>
    <x v="762"/>
    <x v="2"/>
    <d v="2026-01-04T00:00:00"/>
    <d v="2026-01-14T00:00:00"/>
    <d v="2026-01-14T00:00:00"/>
    <x v="0"/>
    <x v="3"/>
    <s v="Ótimo custo-benefício!"/>
    <x v="801"/>
    <n v="117.18"/>
    <x v="800"/>
    <x v="801"/>
    <x v="4"/>
    <x v="0"/>
  </r>
  <r>
    <x v="802"/>
    <n v="86"/>
    <x v="802"/>
    <x v="0"/>
    <x v="0"/>
    <x v="0"/>
    <n v="2219"/>
    <n v="3"/>
    <n v="1531.27"/>
    <n v="3434.66"/>
    <m/>
    <n v="0"/>
    <x v="0"/>
    <x v="763"/>
    <x v="10"/>
    <d v="2026-01-05T00:00:00"/>
    <d v="2026-01-12T00:00:00"/>
    <d v="2026-01-11T00:00:00"/>
    <x v="0"/>
    <x v="3"/>
    <s v="Frete rápido, adorei!"/>
    <x v="802"/>
    <n v="4593.8099999999986"/>
    <x v="801"/>
    <x v="802"/>
    <x v="6"/>
    <x v="0"/>
  </r>
  <r>
    <x v="803"/>
    <n v="186"/>
    <x v="803"/>
    <x v="3"/>
    <x v="3"/>
    <x v="2"/>
    <n v="645"/>
    <n v="2"/>
    <n v="140.41"/>
    <n v="220.22"/>
    <s v="PROMO10"/>
    <n v="0.1"/>
    <x v="1"/>
    <x v="764"/>
    <x v="7"/>
    <d v="2026-01-06T00:00:00"/>
    <d v="2026-01-14T00:00:00"/>
    <d v="2026-01-08T00:00:00"/>
    <x v="0"/>
    <x v="3"/>
    <s v="Entrega no prazo e produto conforme descrito."/>
    <x v="803"/>
    <n v="280.82"/>
    <x v="802"/>
    <x v="803"/>
    <x v="12"/>
    <x v="0"/>
  </r>
  <r>
    <x v="804"/>
    <n v="133"/>
    <x v="804"/>
    <x v="0"/>
    <x v="0"/>
    <x v="0"/>
    <n v="2126"/>
    <n v="2"/>
    <n v="2406.92"/>
    <n v="3513.48"/>
    <m/>
    <n v="0"/>
    <x v="0"/>
    <x v="765"/>
    <x v="8"/>
    <d v="2026-01-07T00:00:00"/>
    <d v="2026-01-13T00:00:00"/>
    <d v="2026-01-10T00:00:00"/>
    <x v="0"/>
    <x v="0"/>
    <s v="Tudo certo, nota 10!"/>
    <x v="804"/>
    <n v="4813.84"/>
    <x v="803"/>
    <x v="804"/>
    <x v="0"/>
    <x v="0"/>
  </r>
  <r>
    <x v="805"/>
    <n v="60"/>
    <x v="805"/>
    <x v="8"/>
    <x v="8"/>
    <x v="1"/>
    <n v="0"/>
    <n v="3"/>
    <n v="107.46"/>
    <n v="236.2"/>
    <m/>
    <n v="0"/>
    <x v="0"/>
    <x v="766"/>
    <x v="8"/>
    <d v="2026-01-08T00:00:00"/>
    <d v="2026-01-17T00:00:00"/>
    <m/>
    <x v="2"/>
    <x v="1"/>
    <s v="Embalagem poderia ser melhor."/>
    <x v="805"/>
    <n v="322.38"/>
    <x v="804"/>
    <x v="805"/>
    <x v="3"/>
    <x v="1"/>
  </r>
  <r>
    <x v="806"/>
    <n v="100"/>
    <x v="806"/>
    <x v="0"/>
    <x v="0"/>
    <x v="0"/>
    <n v="2531"/>
    <n v="2"/>
    <n v="1965.98"/>
    <n v="3274.62"/>
    <s v="OFF20"/>
    <n v="0.2"/>
    <x v="3"/>
    <x v="767"/>
    <x v="4"/>
    <d v="2026-01-08T00:00:00"/>
    <d v="2026-01-17T00:00:00"/>
    <d v="2026-01-17T00:00:00"/>
    <x v="0"/>
    <x v="3"/>
    <s v="Embalagem perfeita, produto intacto."/>
    <x v="806"/>
    <n v="3931.96"/>
    <x v="805"/>
    <x v="806"/>
    <x v="4"/>
    <x v="0"/>
  </r>
  <r>
    <x v="807"/>
    <n v="102"/>
    <x v="807"/>
    <x v="8"/>
    <x v="8"/>
    <x v="1"/>
    <n v="0"/>
    <n v="2"/>
    <n v="106.72"/>
    <n v="158.94999999999999"/>
    <m/>
    <n v="0"/>
    <x v="1"/>
    <x v="768"/>
    <x v="8"/>
    <d v="2026-01-10T00:00:00"/>
    <d v="2026-01-20T00:00:00"/>
    <d v="2026-01-12T00:00:00"/>
    <x v="0"/>
    <x v="0"/>
    <s v="Excelente atendimento e entrega."/>
    <x v="807"/>
    <n v="213.44"/>
    <x v="806"/>
    <x v="807"/>
    <x v="13"/>
    <x v="0"/>
  </r>
  <r>
    <x v="808"/>
    <n v="43"/>
    <x v="808"/>
    <x v="11"/>
    <x v="11"/>
    <x v="2"/>
    <n v="250"/>
    <n v="2"/>
    <n v="30.43"/>
    <n v="41.11"/>
    <m/>
    <n v="0"/>
    <x v="2"/>
    <x v="769"/>
    <x v="5"/>
    <d v="2026-01-10T00:00:00"/>
    <d v="2026-01-17T00:00:00"/>
    <d v="2026-01-17T00:00:00"/>
    <x v="0"/>
    <x v="3"/>
    <s v="Excelente atendimento e entrega."/>
    <x v="808"/>
    <n v="60.86"/>
    <x v="807"/>
    <x v="808"/>
    <x v="4"/>
    <x v="0"/>
  </r>
  <r>
    <x v="809"/>
    <n v="172"/>
    <x v="809"/>
    <x v="0"/>
    <x v="0"/>
    <x v="0"/>
    <n v="2681"/>
    <n v="3"/>
    <n v="2264.9299999999998"/>
    <n v="3172.73"/>
    <m/>
    <n v="0"/>
    <x v="1"/>
    <x v="770"/>
    <x v="1"/>
    <d v="2026-01-10T00:00:00"/>
    <d v="2026-01-17T00:00:00"/>
    <d v="2026-01-16T00:00:00"/>
    <x v="0"/>
    <x v="3"/>
    <s v="Entrega rápida, muito satisfeito!"/>
    <x v="809"/>
    <n v="6794.7899999999991"/>
    <x v="808"/>
    <x v="809"/>
    <x v="6"/>
    <x v="0"/>
  </r>
  <r>
    <x v="810"/>
    <n v="44"/>
    <x v="810"/>
    <x v="17"/>
    <x v="17"/>
    <x v="2"/>
    <n v="451"/>
    <n v="3"/>
    <n v="100.03"/>
    <n v="134.57"/>
    <m/>
    <n v="0"/>
    <x v="1"/>
    <x v="771"/>
    <x v="4"/>
    <d v="2026-01-11T00:00:00"/>
    <d v="2026-01-21T00:00:00"/>
    <d v="2026-01-16T00:00:00"/>
    <x v="0"/>
    <x v="3"/>
    <s v="Tudo certo, nota 10!"/>
    <x v="810"/>
    <n v="300.08999999999997"/>
    <x v="809"/>
    <x v="810"/>
    <x v="5"/>
    <x v="0"/>
  </r>
  <r>
    <x v="811"/>
    <n v="90"/>
    <x v="811"/>
    <x v="3"/>
    <x v="3"/>
    <x v="2"/>
    <n v="655"/>
    <n v="3"/>
    <n v="135.04"/>
    <n v="307.62"/>
    <m/>
    <n v="0"/>
    <x v="2"/>
    <x v="772"/>
    <x v="8"/>
    <d v="2026-01-11T00:00:00"/>
    <d v="2026-01-19T00:00:00"/>
    <d v="2026-01-19T00:00:00"/>
    <x v="0"/>
    <x v="3"/>
    <s v="Produto original, vendedor confiável."/>
    <x v="811"/>
    <n v="405.12"/>
    <x v="810"/>
    <x v="811"/>
    <x v="4"/>
    <x v="0"/>
  </r>
  <r>
    <x v="812"/>
    <n v="95"/>
    <x v="812"/>
    <x v="13"/>
    <x v="13"/>
    <x v="0"/>
    <n v="2042"/>
    <n v="3"/>
    <n v="314.10000000000002"/>
    <n v="389.43"/>
    <m/>
    <n v="0"/>
    <x v="1"/>
    <x v="773"/>
    <x v="4"/>
    <d v="2026-01-11T00:00:00"/>
    <d v="2026-01-18T00:00:00"/>
    <m/>
    <x v="2"/>
    <x v="2"/>
    <s v="Frete caro e entrega lenta."/>
    <x v="812"/>
    <n v="942.30000000000007"/>
    <x v="811"/>
    <x v="812"/>
    <x v="3"/>
    <x v="1"/>
  </r>
  <r>
    <x v="813"/>
    <n v="155"/>
    <x v="813"/>
    <x v="17"/>
    <x v="17"/>
    <x v="2"/>
    <n v="326"/>
    <n v="1"/>
    <n v="126.84"/>
    <n v="257.66000000000003"/>
    <m/>
    <n v="0"/>
    <x v="2"/>
    <x v="774"/>
    <x v="2"/>
    <d v="2026-01-13T00:00:00"/>
    <d v="2026-01-18T00:00:00"/>
    <m/>
    <x v="2"/>
    <x v="1"/>
    <s v="Chegou com pequeno atraso, mas o produto é bom."/>
    <x v="813"/>
    <n v="126.84"/>
    <x v="812"/>
    <x v="813"/>
    <x v="3"/>
    <x v="1"/>
  </r>
  <r>
    <x v="814"/>
    <n v="154"/>
    <x v="814"/>
    <x v="22"/>
    <x v="22"/>
    <x v="3"/>
    <n v="0"/>
    <n v="2"/>
    <n v="328.03"/>
    <n v="685.16"/>
    <m/>
    <n v="0"/>
    <x v="2"/>
    <x v="775"/>
    <x v="14"/>
    <d v="2026-01-14T00:00:00"/>
    <d v="2026-01-20T00:00:00"/>
    <d v="2026-01-22T00:00:00"/>
    <x v="0"/>
    <x v="1"/>
    <s v="Produto bom, mas o frete foi caro."/>
    <x v="814"/>
    <n v="656.06"/>
    <x v="813"/>
    <x v="814"/>
    <x v="14"/>
    <x v="2"/>
  </r>
  <r>
    <x v="815"/>
    <n v="30"/>
    <x v="815"/>
    <x v="0"/>
    <x v="0"/>
    <x v="0"/>
    <n v="2499"/>
    <n v="1"/>
    <n v="2474.11"/>
    <n v="3101.02"/>
    <s v="PROMO10"/>
    <n v="0.1"/>
    <x v="1"/>
    <x v="776"/>
    <x v="7"/>
    <d v="2026-01-13T00:00:00"/>
    <d v="2026-01-23T00:00:00"/>
    <d v="2026-01-23T00:00:00"/>
    <x v="0"/>
    <x v="0"/>
    <s v="Superou minhas expectativas!"/>
    <x v="815"/>
    <n v="2474.11"/>
    <x v="814"/>
    <x v="815"/>
    <x v="4"/>
    <x v="0"/>
  </r>
  <r>
    <x v="816"/>
    <n v="111"/>
    <x v="816"/>
    <x v="7"/>
    <x v="7"/>
    <x v="0"/>
    <n v="2808"/>
    <n v="2"/>
    <n v="2736.11"/>
    <n v="3784.6"/>
    <m/>
    <n v="0"/>
    <x v="2"/>
    <x v="777"/>
    <x v="5"/>
    <d v="2026-01-14T00:00:00"/>
    <d v="2026-01-19T00:00:00"/>
    <d v="2026-01-20T00:00:00"/>
    <x v="0"/>
    <x v="4"/>
    <s v="Produto chegou com defeito."/>
    <x v="816"/>
    <n v="5472.22"/>
    <x v="815"/>
    <x v="816"/>
    <x v="8"/>
    <x v="2"/>
  </r>
  <r>
    <x v="817"/>
    <n v="128"/>
    <x v="817"/>
    <x v="22"/>
    <x v="22"/>
    <x v="3"/>
    <n v="0"/>
    <n v="2"/>
    <n v="368.98"/>
    <n v="637.24"/>
    <m/>
    <n v="0"/>
    <x v="1"/>
    <x v="778"/>
    <x v="3"/>
    <d v="2026-01-14T00:00:00"/>
    <d v="2026-01-24T00:00:00"/>
    <m/>
    <x v="1"/>
    <x v="2"/>
    <s v="Atendimento ao cliente inexistente."/>
    <x v="817"/>
    <n v="737.96"/>
    <x v="816"/>
    <x v="817"/>
    <x v="3"/>
    <x v="1"/>
  </r>
  <r>
    <x v="818"/>
    <n v="91"/>
    <x v="818"/>
    <x v="1"/>
    <x v="1"/>
    <x v="0"/>
    <n v="2494"/>
    <n v="3"/>
    <n v="602.37"/>
    <n v="1254.26"/>
    <s v="PROMO10"/>
    <n v="0.1"/>
    <x v="0"/>
    <x v="779"/>
    <x v="10"/>
    <d v="2026-01-15T00:00:00"/>
    <d v="2026-01-22T00:00:00"/>
    <d v="2026-01-18T00:00:00"/>
    <x v="0"/>
    <x v="0"/>
    <s v="Produto de qualidade, entrega pontual."/>
    <x v="818"/>
    <n v="1807.11"/>
    <x v="817"/>
    <x v="818"/>
    <x v="1"/>
    <x v="0"/>
  </r>
  <r>
    <x v="819"/>
    <n v="67"/>
    <x v="819"/>
    <x v="3"/>
    <x v="3"/>
    <x v="2"/>
    <n v="706"/>
    <n v="1"/>
    <n v="147.80000000000001"/>
    <n v="234.98"/>
    <m/>
    <n v="0"/>
    <x v="3"/>
    <x v="2"/>
    <x v="2"/>
    <d v="2026-01-15T00:00:00"/>
    <d v="2026-01-25T00:00:00"/>
    <d v="2026-01-18T00:00:00"/>
    <x v="0"/>
    <x v="0"/>
    <s v="Entrega no prazo e produto conforme descrito."/>
    <x v="819"/>
    <n v="147.80000000000001"/>
    <x v="818"/>
    <x v="819"/>
    <x v="9"/>
    <x v="0"/>
  </r>
  <r>
    <x v="820"/>
    <n v="28"/>
    <x v="820"/>
    <x v="22"/>
    <x v="22"/>
    <x v="3"/>
    <n v="0"/>
    <n v="2"/>
    <n v="320.54000000000002"/>
    <n v="704.15"/>
    <m/>
    <n v="0"/>
    <x v="2"/>
    <x v="780"/>
    <x v="6"/>
    <d v="2026-01-16T00:00:00"/>
    <d v="2026-01-21T00:00:00"/>
    <m/>
    <x v="2"/>
    <x v="1"/>
    <s v="Nada de especial, cumpriu o básico."/>
    <x v="820"/>
    <n v="641.08000000000004"/>
    <x v="819"/>
    <x v="820"/>
    <x v="3"/>
    <x v="1"/>
  </r>
  <r>
    <x v="821"/>
    <n v="53"/>
    <x v="821"/>
    <x v="19"/>
    <x v="19"/>
    <x v="0"/>
    <n v="3527"/>
    <n v="3"/>
    <n v="732.95"/>
    <n v="1468.45"/>
    <m/>
    <n v="0"/>
    <x v="3"/>
    <x v="781"/>
    <x v="11"/>
    <d v="2026-01-15T00:00:00"/>
    <d v="2026-01-20T00:00:00"/>
    <d v="2026-01-21T00:00:00"/>
    <x v="0"/>
    <x v="2"/>
    <s v="Produto extraviado, tive que abrir reclamação."/>
    <x v="821"/>
    <n v="2198.85"/>
    <x v="820"/>
    <x v="821"/>
    <x v="8"/>
    <x v="2"/>
  </r>
  <r>
    <x v="822"/>
    <n v="8"/>
    <x v="822"/>
    <x v="21"/>
    <x v="21"/>
    <x v="3"/>
    <n v="0"/>
    <n v="1"/>
    <n v="217.12"/>
    <n v="491.72"/>
    <m/>
    <n v="0"/>
    <x v="0"/>
    <x v="189"/>
    <x v="5"/>
    <d v="2026-01-17T00:00:00"/>
    <d v="2026-01-24T00:00:00"/>
    <d v="2026-01-24T00:00:00"/>
    <x v="0"/>
    <x v="3"/>
    <s v="Superou minhas expectativas!"/>
    <x v="822"/>
    <n v="217.12"/>
    <x v="821"/>
    <x v="822"/>
    <x v="4"/>
    <x v="0"/>
  </r>
  <r>
    <x v="823"/>
    <n v="158"/>
    <x v="823"/>
    <x v="13"/>
    <x v="13"/>
    <x v="0"/>
    <n v="2068"/>
    <n v="2"/>
    <n v="369.14"/>
    <n v="448.18"/>
    <m/>
    <n v="0"/>
    <x v="3"/>
    <x v="782"/>
    <x v="2"/>
    <d v="2026-01-17T00:00:00"/>
    <d v="2026-01-22T00:00:00"/>
    <d v="2026-01-23T00:00:00"/>
    <x v="0"/>
    <x v="2"/>
    <s v="Cancelei porque demorou demais."/>
    <x v="823"/>
    <n v="738.28"/>
    <x v="822"/>
    <x v="823"/>
    <x v="8"/>
    <x v="2"/>
  </r>
  <r>
    <x v="824"/>
    <n v="90"/>
    <x v="824"/>
    <x v="19"/>
    <x v="19"/>
    <x v="0"/>
    <n v="4074"/>
    <n v="2"/>
    <n v="446.87"/>
    <n v="1731.99"/>
    <m/>
    <n v="0"/>
    <x v="1"/>
    <x v="783"/>
    <x v="2"/>
    <d v="2026-01-16T00:00:00"/>
    <d v="2026-01-24T00:00:00"/>
    <d v="2026-01-21T00:00:00"/>
    <x v="0"/>
    <x v="0"/>
    <s v="Frete rápido, adorei!"/>
    <x v="824"/>
    <n v="893.74"/>
    <x v="823"/>
    <x v="824"/>
    <x v="0"/>
    <x v="0"/>
  </r>
  <r>
    <x v="825"/>
    <n v="112"/>
    <x v="825"/>
    <x v="13"/>
    <x v="13"/>
    <x v="0"/>
    <n v="2019"/>
    <n v="3"/>
    <n v="361.98"/>
    <n v="477.33"/>
    <m/>
    <n v="0"/>
    <x v="0"/>
    <x v="784"/>
    <x v="7"/>
    <d v="2026-01-17T00:00:00"/>
    <d v="2026-01-23T00:00:00"/>
    <d v="2026-01-19T00:00:00"/>
    <x v="0"/>
    <x v="0"/>
    <s v="Ótimo custo-benefício!"/>
    <x v="825"/>
    <n v="1085.94"/>
    <x v="824"/>
    <x v="825"/>
    <x v="1"/>
    <x v="0"/>
  </r>
  <r>
    <x v="826"/>
    <n v="126"/>
    <x v="826"/>
    <x v="17"/>
    <x v="17"/>
    <x v="2"/>
    <n v="363"/>
    <n v="1"/>
    <n v="109.91"/>
    <n v="205.08"/>
    <m/>
    <n v="0"/>
    <x v="3"/>
    <x v="785"/>
    <x v="4"/>
    <d v="2026-01-17T00:00:00"/>
    <d v="2026-01-26T00:00:00"/>
    <d v="2026-01-30T00:00:00"/>
    <x v="0"/>
    <x v="2"/>
    <s v="Atendimento ao cliente inexistente."/>
    <x v="826"/>
    <n v="109.91"/>
    <x v="825"/>
    <x v="826"/>
    <x v="7"/>
    <x v="2"/>
  </r>
  <r>
    <x v="827"/>
    <n v="22"/>
    <x v="827"/>
    <x v="18"/>
    <x v="18"/>
    <x v="0"/>
    <n v="2824"/>
    <n v="2"/>
    <n v="512.73"/>
    <n v="736.28"/>
    <s v="OFF20"/>
    <n v="0.2"/>
    <x v="3"/>
    <x v="786"/>
    <x v="0"/>
    <d v="2026-01-17T00:00:00"/>
    <d v="2026-01-24T00:00:00"/>
    <d v="2026-01-24T00:00:00"/>
    <x v="0"/>
    <x v="0"/>
    <s v="Produto de qualidade, entrega pontual."/>
    <x v="827"/>
    <n v="1025.46"/>
    <x v="826"/>
    <x v="827"/>
    <x v="4"/>
    <x v="0"/>
  </r>
  <r>
    <x v="828"/>
    <n v="199"/>
    <x v="828"/>
    <x v="10"/>
    <x v="10"/>
    <x v="2"/>
    <n v="332"/>
    <n v="2"/>
    <n v="71.73"/>
    <n v="187.01"/>
    <m/>
    <n v="0"/>
    <x v="1"/>
    <x v="787"/>
    <x v="2"/>
    <d v="2026-01-19T00:00:00"/>
    <d v="2026-01-24T00:00:00"/>
    <d v="2026-01-27T00:00:00"/>
    <x v="0"/>
    <x v="1"/>
    <s v="Esperava mais pela qualidade do produto."/>
    <x v="828"/>
    <n v="143.46"/>
    <x v="827"/>
    <x v="828"/>
    <x v="11"/>
    <x v="2"/>
  </r>
  <r>
    <x v="829"/>
    <n v="77"/>
    <x v="829"/>
    <x v="11"/>
    <x v="11"/>
    <x v="2"/>
    <n v="226"/>
    <n v="3"/>
    <n v="49.24"/>
    <n v="100.18"/>
    <m/>
    <n v="0"/>
    <x v="0"/>
    <x v="788"/>
    <x v="6"/>
    <d v="2026-01-18T00:00:00"/>
    <d v="2026-01-26T00:00:00"/>
    <d v="2026-01-25T00:00:00"/>
    <x v="0"/>
    <x v="3"/>
    <s v="Ótimo custo-benefício!"/>
    <x v="829"/>
    <n v="147.72"/>
    <x v="828"/>
    <x v="829"/>
    <x v="6"/>
    <x v="0"/>
  </r>
  <r>
    <x v="830"/>
    <n v="194"/>
    <x v="830"/>
    <x v="6"/>
    <x v="6"/>
    <x v="2"/>
    <n v="243"/>
    <n v="3"/>
    <n v="45.81"/>
    <n v="73.400000000000006"/>
    <s v="PROMO10"/>
    <n v="0.1"/>
    <x v="3"/>
    <x v="285"/>
    <x v="4"/>
    <d v="2026-01-18T00:00:00"/>
    <d v="2026-01-28T00:00:00"/>
    <d v="2026-01-25T00:00:00"/>
    <x v="0"/>
    <x v="3"/>
    <s v="Frete rápido, adorei!"/>
    <x v="830"/>
    <n v="137.43"/>
    <x v="829"/>
    <x v="830"/>
    <x v="0"/>
    <x v="0"/>
  </r>
  <r>
    <x v="831"/>
    <n v="28"/>
    <x v="831"/>
    <x v="11"/>
    <x v="11"/>
    <x v="2"/>
    <n v="260"/>
    <n v="1"/>
    <n v="26.14"/>
    <n v="115.38"/>
    <m/>
    <n v="0"/>
    <x v="3"/>
    <x v="789"/>
    <x v="1"/>
    <d v="2026-01-20T00:00:00"/>
    <d v="2026-01-26T00:00:00"/>
    <d v="2026-01-23T00:00:00"/>
    <x v="0"/>
    <x v="3"/>
    <s v="Entrega rápida, muito satisfeito!"/>
    <x v="831"/>
    <n v="26.14"/>
    <x v="830"/>
    <x v="831"/>
    <x v="0"/>
    <x v="0"/>
  </r>
  <r>
    <x v="832"/>
    <n v="52"/>
    <x v="832"/>
    <x v="20"/>
    <x v="20"/>
    <x v="3"/>
    <n v="0"/>
    <n v="1"/>
    <n v="347.7"/>
    <n v="431.67"/>
    <m/>
    <n v="0"/>
    <x v="1"/>
    <x v="790"/>
    <x v="5"/>
    <d v="2026-01-20T00:00:00"/>
    <d v="2026-01-29T00:00:00"/>
    <d v="2026-01-24T00:00:00"/>
    <x v="0"/>
    <x v="0"/>
    <s v="Frete rápido, adorei!"/>
    <x v="832"/>
    <n v="347.7"/>
    <x v="831"/>
    <x v="832"/>
    <x v="5"/>
    <x v="0"/>
  </r>
  <r>
    <x v="833"/>
    <n v="170"/>
    <x v="833"/>
    <x v="3"/>
    <x v="3"/>
    <x v="2"/>
    <n v="616"/>
    <n v="3"/>
    <n v="132.9"/>
    <n v="298.3"/>
    <m/>
    <n v="0"/>
    <x v="1"/>
    <x v="791"/>
    <x v="11"/>
    <d v="2026-01-21T00:00:00"/>
    <d v="2026-01-26T00:00:00"/>
    <d v="2026-01-25T00:00:00"/>
    <x v="0"/>
    <x v="3"/>
    <s v="Superou minhas expectativas!"/>
    <x v="833"/>
    <n v="398.7"/>
    <x v="832"/>
    <x v="833"/>
    <x v="6"/>
    <x v="0"/>
  </r>
  <r>
    <x v="834"/>
    <n v="108"/>
    <x v="834"/>
    <x v="11"/>
    <x v="11"/>
    <x v="2"/>
    <n v="300"/>
    <n v="1"/>
    <n v="24.27"/>
    <n v="57.58"/>
    <m/>
    <n v="0"/>
    <x v="1"/>
    <x v="792"/>
    <x v="2"/>
    <d v="2026-01-21T00:00:00"/>
    <d v="2026-01-29T00:00:00"/>
    <d v="2026-01-23T00:00:00"/>
    <x v="0"/>
    <x v="3"/>
    <s v="Superou minhas expectativas!"/>
    <x v="834"/>
    <n v="24.27"/>
    <x v="833"/>
    <x v="834"/>
    <x v="12"/>
    <x v="0"/>
  </r>
  <r>
    <x v="835"/>
    <n v="50"/>
    <x v="835"/>
    <x v="18"/>
    <x v="18"/>
    <x v="0"/>
    <n v="2707"/>
    <n v="1"/>
    <n v="331.84"/>
    <n v="714.7"/>
    <m/>
    <n v="0"/>
    <x v="3"/>
    <x v="793"/>
    <x v="14"/>
    <d v="2026-01-22T00:00:00"/>
    <d v="2026-01-27T00:00:00"/>
    <d v="2026-01-30T00:00:00"/>
    <x v="0"/>
    <x v="1"/>
    <s v="Embalagem poderia ser melhor."/>
    <x v="835"/>
    <n v="331.84"/>
    <x v="834"/>
    <x v="835"/>
    <x v="11"/>
    <x v="2"/>
  </r>
  <r>
    <x v="836"/>
    <n v="22"/>
    <x v="836"/>
    <x v="0"/>
    <x v="0"/>
    <x v="0"/>
    <n v="2290"/>
    <n v="1"/>
    <n v="1656.55"/>
    <n v="3880.9"/>
    <m/>
    <n v="0"/>
    <x v="3"/>
    <x v="794"/>
    <x v="9"/>
    <d v="2026-01-22T00:00:00"/>
    <d v="2026-01-28T00:00:00"/>
    <d v="2026-01-26T00:00:00"/>
    <x v="0"/>
    <x v="0"/>
    <s v="Ótimo custo-benefício!"/>
    <x v="836"/>
    <n v="1656.55"/>
    <x v="835"/>
    <x v="836"/>
    <x v="2"/>
    <x v="0"/>
  </r>
  <r>
    <x v="837"/>
    <n v="171"/>
    <x v="837"/>
    <x v="4"/>
    <x v="4"/>
    <x v="0"/>
    <n v="4355"/>
    <n v="2"/>
    <n v="420.51"/>
    <n v="658.94"/>
    <m/>
    <n v="0"/>
    <x v="3"/>
    <x v="795"/>
    <x v="5"/>
    <d v="2026-01-22T00:00:00"/>
    <d v="2026-01-31T00:00:00"/>
    <d v="2026-01-26T00:00:00"/>
    <x v="0"/>
    <x v="0"/>
    <s v="Tudo certo, nota 10!"/>
    <x v="837"/>
    <n v="841.02"/>
    <x v="836"/>
    <x v="837"/>
    <x v="5"/>
    <x v="0"/>
  </r>
  <r>
    <x v="838"/>
    <n v="175"/>
    <x v="838"/>
    <x v="16"/>
    <x v="16"/>
    <x v="1"/>
    <n v="0"/>
    <n v="3"/>
    <n v="269.29000000000002"/>
    <n v="346.09"/>
    <m/>
    <n v="0"/>
    <x v="3"/>
    <x v="441"/>
    <x v="1"/>
    <d v="2026-01-22T00:00:00"/>
    <d v="2026-02-01T00:00:00"/>
    <d v="2026-01-27T00:00:00"/>
    <x v="0"/>
    <x v="0"/>
    <s v="Superou minhas expectativas!"/>
    <x v="838"/>
    <n v="807.87000000000012"/>
    <x v="837"/>
    <x v="838"/>
    <x v="5"/>
    <x v="0"/>
  </r>
  <r>
    <x v="839"/>
    <n v="33"/>
    <x v="839"/>
    <x v="4"/>
    <x v="4"/>
    <x v="0"/>
    <n v="4717"/>
    <n v="3"/>
    <n v="262.33999999999997"/>
    <n v="384.84"/>
    <m/>
    <n v="0"/>
    <x v="2"/>
    <x v="796"/>
    <x v="13"/>
    <d v="2026-01-23T00:00:00"/>
    <d v="2026-01-31T00:00:00"/>
    <d v="2026-01-27T00:00:00"/>
    <x v="0"/>
    <x v="3"/>
    <s v="Embalagem perfeita, produto intacto."/>
    <x v="839"/>
    <n v="787.02"/>
    <x v="838"/>
    <x v="839"/>
    <x v="1"/>
    <x v="0"/>
  </r>
  <r>
    <x v="840"/>
    <n v="143"/>
    <x v="840"/>
    <x v="1"/>
    <x v="1"/>
    <x v="0"/>
    <n v="2379"/>
    <n v="3"/>
    <n v="460.2"/>
    <n v="724.18"/>
    <m/>
    <n v="0"/>
    <x v="1"/>
    <x v="797"/>
    <x v="1"/>
    <d v="2026-01-24T00:00:00"/>
    <d v="2026-02-01T00:00:00"/>
    <d v="2026-01-30T00:00:00"/>
    <x v="0"/>
    <x v="0"/>
    <s v="Embalagem perfeita, produto intacto."/>
    <x v="840"/>
    <n v="1380.6"/>
    <x v="839"/>
    <x v="840"/>
    <x v="2"/>
    <x v="0"/>
  </r>
  <r>
    <x v="841"/>
    <n v="78"/>
    <x v="841"/>
    <x v="11"/>
    <x v="11"/>
    <x v="2"/>
    <n v="222"/>
    <n v="3"/>
    <n v="46.35"/>
    <n v="94.96"/>
    <m/>
    <n v="0"/>
    <x v="1"/>
    <x v="798"/>
    <x v="4"/>
    <d v="2026-01-23T00:00:00"/>
    <d v="2026-01-29T00:00:00"/>
    <m/>
    <x v="1"/>
    <x v="2"/>
    <s v="Decepcionante do início ao fim."/>
    <x v="841"/>
    <n v="139.05000000000001"/>
    <x v="840"/>
    <x v="841"/>
    <x v="3"/>
    <x v="1"/>
  </r>
  <r>
    <x v="842"/>
    <n v="30"/>
    <x v="842"/>
    <x v="7"/>
    <x v="7"/>
    <x v="0"/>
    <n v="2379"/>
    <n v="3"/>
    <n v="2609.8200000000002"/>
    <n v="4263.25"/>
    <m/>
    <n v="0"/>
    <x v="1"/>
    <x v="799"/>
    <x v="2"/>
    <d v="2026-01-24T00:00:00"/>
    <d v="2026-02-01T00:00:00"/>
    <d v="2026-01-28T00:00:00"/>
    <x v="0"/>
    <x v="0"/>
    <s v="Ótimo custo-benefício!"/>
    <x v="842"/>
    <n v="7829.4600000000009"/>
    <x v="841"/>
    <x v="842"/>
    <x v="1"/>
    <x v="0"/>
  </r>
  <r>
    <x v="843"/>
    <n v="61"/>
    <x v="843"/>
    <x v="11"/>
    <x v="11"/>
    <x v="2"/>
    <n v="288"/>
    <n v="1"/>
    <n v="34.54"/>
    <n v="110.59"/>
    <m/>
    <n v="0"/>
    <x v="0"/>
    <x v="800"/>
    <x v="2"/>
    <d v="2026-01-24T00:00:00"/>
    <d v="2026-02-02T00:00:00"/>
    <d v="2026-02-02T00:00:00"/>
    <x v="0"/>
    <x v="3"/>
    <s v="Muito bom, sem reclamações."/>
    <x v="843"/>
    <n v="34.54"/>
    <x v="842"/>
    <x v="843"/>
    <x v="4"/>
    <x v="0"/>
  </r>
  <r>
    <x v="844"/>
    <n v="12"/>
    <x v="844"/>
    <x v="2"/>
    <x v="2"/>
    <x v="1"/>
    <n v="0"/>
    <n v="1"/>
    <n v="40.64"/>
    <n v="54.2"/>
    <m/>
    <n v="0"/>
    <x v="0"/>
    <x v="362"/>
    <x v="7"/>
    <d v="2026-01-25T00:00:00"/>
    <d v="2026-02-04T00:00:00"/>
    <m/>
    <x v="1"/>
    <x v="1"/>
    <s v="Produto ok, mas a entrega atrasou um pouco."/>
    <x v="844"/>
    <n v="40.64"/>
    <x v="843"/>
    <x v="844"/>
    <x v="3"/>
    <x v="1"/>
  </r>
  <r>
    <x v="845"/>
    <n v="114"/>
    <x v="845"/>
    <x v="21"/>
    <x v="21"/>
    <x v="3"/>
    <n v="0"/>
    <n v="2"/>
    <n v="164.53"/>
    <n v="464.64"/>
    <s v="OFF20"/>
    <n v="0.2"/>
    <x v="0"/>
    <x v="801"/>
    <x v="1"/>
    <d v="2026-01-24T00:00:00"/>
    <d v="2026-01-30T00:00:00"/>
    <d v="2026-01-26T00:00:00"/>
    <x v="0"/>
    <x v="3"/>
    <s v="Tudo certo, nota 10!"/>
    <x v="845"/>
    <n v="329.06"/>
    <x v="844"/>
    <x v="845"/>
    <x v="1"/>
    <x v="0"/>
  </r>
  <r>
    <x v="846"/>
    <n v="182"/>
    <x v="846"/>
    <x v="12"/>
    <x v="12"/>
    <x v="2"/>
    <n v="394"/>
    <n v="2"/>
    <n v="33.76"/>
    <n v="69.55"/>
    <s v="PROMO10"/>
    <n v="0.1"/>
    <x v="0"/>
    <x v="802"/>
    <x v="1"/>
    <d v="2026-01-25T00:00:00"/>
    <d v="2026-02-03T00:00:00"/>
    <d v="2026-02-01T00:00:00"/>
    <x v="0"/>
    <x v="0"/>
    <s v="Ótimo custo-benefício!"/>
    <x v="846"/>
    <n v="67.52"/>
    <x v="845"/>
    <x v="846"/>
    <x v="2"/>
    <x v="0"/>
  </r>
  <r>
    <x v="847"/>
    <n v="156"/>
    <x v="847"/>
    <x v="22"/>
    <x v="22"/>
    <x v="3"/>
    <n v="0"/>
    <n v="1"/>
    <n v="341.83"/>
    <n v="616.11"/>
    <m/>
    <n v="0"/>
    <x v="0"/>
    <x v="803"/>
    <x v="4"/>
    <d v="2026-01-25T00:00:00"/>
    <d v="2026-01-30T00:00:00"/>
    <m/>
    <x v="1"/>
    <x v="2"/>
    <s v="Produto não era o que esperava."/>
    <x v="847"/>
    <n v="341.83"/>
    <x v="846"/>
    <x v="847"/>
    <x v="3"/>
    <x v="1"/>
  </r>
  <r>
    <x v="848"/>
    <n v="137"/>
    <x v="848"/>
    <x v="19"/>
    <x v="19"/>
    <x v="0"/>
    <n v="3834"/>
    <n v="3"/>
    <n v="671.71"/>
    <n v="1533.2"/>
    <m/>
    <n v="0"/>
    <x v="2"/>
    <x v="804"/>
    <x v="8"/>
    <d v="2026-01-25T00:00:00"/>
    <d v="2026-02-03T00:00:00"/>
    <d v="2026-01-27T00:00:00"/>
    <x v="0"/>
    <x v="0"/>
    <s v="Excelente atendimento e entrega."/>
    <x v="848"/>
    <n v="2015.13"/>
    <x v="847"/>
    <x v="848"/>
    <x v="9"/>
    <x v="0"/>
  </r>
  <r>
    <x v="849"/>
    <n v="154"/>
    <x v="849"/>
    <x v="22"/>
    <x v="22"/>
    <x v="3"/>
    <n v="0"/>
    <n v="1"/>
    <n v="399.68"/>
    <n v="641.16999999999996"/>
    <s v="PROMO10"/>
    <n v="0.1"/>
    <x v="1"/>
    <x v="805"/>
    <x v="7"/>
    <d v="2026-01-26T00:00:00"/>
    <d v="2026-02-01T00:00:00"/>
    <d v="2026-02-01T00:00:00"/>
    <x v="0"/>
    <x v="3"/>
    <s v="Ótimo custo-benefício!"/>
    <x v="849"/>
    <n v="399.68"/>
    <x v="848"/>
    <x v="849"/>
    <x v="4"/>
    <x v="0"/>
  </r>
  <r>
    <x v="850"/>
    <n v="58"/>
    <x v="850"/>
    <x v="6"/>
    <x v="6"/>
    <x v="2"/>
    <n v="285"/>
    <n v="3"/>
    <n v="49.77"/>
    <n v="138.81"/>
    <m/>
    <n v="0"/>
    <x v="3"/>
    <x v="806"/>
    <x v="2"/>
    <d v="2026-01-27T00:00:00"/>
    <d v="2026-02-01T00:00:00"/>
    <d v="2026-01-31T00:00:00"/>
    <x v="0"/>
    <x v="0"/>
    <s v="Superou minhas expectativas!"/>
    <x v="850"/>
    <n v="149.31"/>
    <x v="849"/>
    <x v="850"/>
    <x v="6"/>
    <x v="0"/>
  </r>
  <r>
    <x v="851"/>
    <n v="97"/>
    <x v="851"/>
    <x v="7"/>
    <x v="7"/>
    <x v="0"/>
    <n v="2257"/>
    <n v="1"/>
    <n v="2329.63"/>
    <n v="4137.8999999999996"/>
    <s v="PROMO10"/>
    <n v="0.1"/>
    <x v="0"/>
    <x v="807"/>
    <x v="6"/>
    <d v="2026-01-27T00:00:00"/>
    <d v="2026-02-04T00:00:00"/>
    <m/>
    <x v="2"/>
    <x v="2"/>
    <s v="Atendimento ao cliente inexistente."/>
    <x v="851"/>
    <n v="2329.63"/>
    <x v="850"/>
    <x v="851"/>
    <x v="3"/>
    <x v="1"/>
  </r>
  <r>
    <x v="852"/>
    <n v="49"/>
    <x v="852"/>
    <x v="13"/>
    <x v="13"/>
    <x v="0"/>
    <n v="2063"/>
    <n v="2"/>
    <n v="210.2"/>
    <n v="378.81"/>
    <s v="PROMO10"/>
    <n v="0.1"/>
    <x v="3"/>
    <x v="808"/>
    <x v="13"/>
    <d v="2026-01-27T00:00:00"/>
    <d v="2026-02-03T00:00:00"/>
    <m/>
    <x v="1"/>
    <x v="1"/>
    <s v="Entrega demorou mais que o previsto."/>
    <x v="852"/>
    <n v="420.4"/>
    <x v="851"/>
    <x v="852"/>
    <x v="3"/>
    <x v="1"/>
  </r>
  <r>
    <x v="853"/>
    <n v="197"/>
    <x v="853"/>
    <x v="10"/>
    <x v="10"/>
    <x v="2"/>
    <n v="329"/>
    <n v="1"/>
    <n v="114.63"/>
    <n v="217.32"/>
    <m/>
    <n v="0"/>
    <x v="3"/>
    <x v="809"/>
    <x v="2"/>
    <d v="2026-01-28T00:00:00"/>
    <d v="2026-02-05T00:00:00"/>
    <d v="2026-01-30T00:00:00"/>
    <x v="0"/>
    <x v="3"/>
    <s v="Produto de qualidade, entrega pontual."/>
    <x v="853"/>
    <n v="114.63"/>
    <x v="852"/>
    <x v="853"/>
    <x v="12"/>
    <x v="0"/>
  </r>
  <r>
    <x v="854"/>
    <n v="57"/>
    <x v="854"/>
    <x v="3"/>
    <x v="3"/>
    <x v="2"/>
    <n v="747"/>
    <n v="1"/>
    <n v="120.85"/>
    <n v="158.72999999999999"/>
    <m/>
    <n v="0"/>
    <x v="1"/>
    <x v="810"/>
    <x v="2"/>
    <d v="2026-01-27T00:00:00"/>
    <d v="2026-02-05T00:00:00"/>
    <d v="2026-01-30T00:00:00"/>
    <x v="0"/>
    <x v="0"/>
    <s v="Entrega no prazo e produto conforme descrito."/>
    <x v="854"/>
    <n v="120.85"/>
    <x v="853"/>
    <x v="854"/>
    <x v="12"/>
    <x v="0"/>
  </r>
  <r>
    <x v="855"/>
    <n v="10"/>
    <x v="855"/>
    <x v="12"/>
    <x v="12"/>
    <x v="2"/>
    <n v="598"/>
    <n v="1"/>
    <n v="41.51"/>
    <n v="74.180000000000007"/>
    <m/>
    <n v="0"/>
    <x v="3"/>
    <x v="811"/>
    <x v="5"/>
    <d v="2026-01-29T00:00:00"/>
    <d v="2026-02-03T00:00:00"/>
    <d v="2026-02-02T00:00:00"/>
    <x v="0"/>
    <x v="0"/>
    <s v="Produto top, recomendo!"/>
    <x v="855"/>
    <n v="41.51"/>
    <x v="854"/>
    <x v="855"/>
    <x v="6"/>
    <x v="0"/>
  </r>
  <r>
    <x v="856"/>
    <n v="121"/>
    <x v="856"/>
    <x v="19"/>
    <x v="19"/>
    <x v="0"/>
    <n v="4796"/>
    <n v="1"/>
    <n v="774.58"/>
    <n v="1287.33"/>
    <s v="OFF20"/>
    <n v="0.2"/>
    <x v="0"/>
    <x v="812"/>
    <x v="4"/>
    <d v="2026-01-29T00:00:00"/>
    <d v="2026-02-08T00:00:00"/>
    <d v="2026-02-10T00:00:00"/>
    <x v="0"/>
    <x v="2"/>
    <s v="Pior experiência de compra online."/>
    <x v="856"/>
    <n v="774.58"/>
    <x v="855"/>
    <x v="856"/>
    <x v="14"/>
    <x v="2"/>
  </r>
  <r>
    <x v="857"/>
    <n v="169"/>
    <x v="857"/>
    <x v="19"/>
    <x v="19"/>
    <x v="0"/>
    <n v="4641"/>
    <n v="1"/>
    <n v="1039.18"/>
    <n v="1817.6"/>
    <s v="PROMO10"/>
    <n v="0.1"/>
    <x v="3"/>
    <x v="813"/>
    <x v="4"/>
    <d v="2026-01-30T00:00:00"/>
    <d v="2026-02-05T00:00:00"/>
    <m/>
    <x v="1"/>
    <x v="3"/>
    <s v="Parabéns pela agilidade!"/>
    <x v="857"/>
    <n v="1039.18"/>
    <x v="856"/>
    <x v="857"/>
    <x v="3"/>
    <x v="1"/>
  </r>
  <r>
    <x v="858"/>
    <n v="62"/>
    <x v="858"/>
    <x v="18"/>
    <x v="18"/>
    <x v="0"/>
    <n v="3222"/>
    <n v="1"/>
    <n v="372.84"/>
    <n v="761.31"/>
    <s v="OFF20"/>
    <n v="0.2"/>
    <x v="1"/>
    <x v="814"/>
    <x v="7"/>
    <d v="2026-01-30T00:00:00"/>
    <d v="2026-02-08T00:00:00"/>
    <d v="2026-02-05T00:00:00"/>
    <x v="0"/>
    <x v="0"/>
    <s v="Entrega rápida, muito satisfeito!"/>
    <x v="858"/>
    <n v="372.84"/>
    <x v="857"/>
    <x v="858"/>
    <x v="0"/>
    <x v="0"/>
  </r>
  <r>
    <x v="859"/>
    <n v="130"/>
    <x v="859"/>
    <x v="19"/>
    <x v="19"/>
    <x v="0"/>
    <n v="3784"/>
    <n v="2"/>
    <n v="543.66"/>
    <n v="1288.5"/>
    <m/>
    <n v="0"/>
    <x v="0"/>
    <x v="815"/>
    <x v="0"/>
    <d v="2026-01-29T00:00:00"/>
    <d v="2026-02-05T00:00:00"/>
    <m/>
    <x v="1"/>
    <x v="2"/>
    <s v="Embalagem danificada, produto riscado."/>
    <x v="859"/>
    <n v="1087.32"/>
    <x v="858"/>
    <x v="859"/>
    <x v="3"/>
    <x v="1"/>
  </r>
  <r>
    <x v="860"/>
    <n v="139"/>
    <x v="860"/>
    <x v="9"/>
    <x v="9"/>
    <x v="1"/>
    <n v="0"/>
    <n v="3"/>
    <n v="43.47"/>
    <n v="195.32"/>
    <m/>
    <n v="0"/>
    <x v="0"/>
    <x v="816"/>
    <x v="2"/>
    <d v="2026-01-30T00:00:00"/>
    <d v="2026-02-09T00:00:00"/>
    <d v="2026-02-05T00:00:00"/>
    <x v="0"/>
    <x v="3"/>
    <s v="Produto de qualidade, entrega pontual."/>
    <x v="860"/>
    <n v="130.41"/>
    <x v="859"/>
    <x v="860"/>
    <x v="1"/>
    <x v="0"/>
  </r>
  <r>
    <x v="861"/>
    <n v="61"/>
    <x v="861"/>
    <x v="2"/>
    <x v="2"/>
    <x v="1"/>
    <n v="0"/>
    <n v="3"/>
    <n v="68.010000000000005"/>
    <n v="111.66"/>
    <m/>
    <n v="0"/>
    <x v="3"/>
    <x v="817"/>
    <x v="13"/>
    <d v="2026-01-30T00:00:00"/>
    <d v="2026-02-04T00:00:00"/>
    <m/>
    <x v="1"/>
    <x v="3"/>
    <s v="Produto original, vendedor confiável."/>
    <x v="861"/>
    <n v="204.03"/>
    <x v="860"/>
    <x v="861"/>
    <x v="3"/>
    <x v="1"/>
  </r>
  <r>
    <x v="862"/>
    <n v="185"/>
    <x v="862"/>
    <x v="13"/>
    <x v="13"/>
    <x v="0"/>
    <n v="2049"/>
    <n v="3"/>
    <n v="390.34"/>
    <n v="454.07"/>
    <m/>
    <n v="0"/>
    <x v="3"/>
    <x v="818"/>
    <x v="2"/>
    <d v="2026-01-31T00:00:00"/>
    <d v="2026-02-05T00:00:00"/>
    <d v="2026-02-02T00:00:00"/>
    <x v="0"/>
    <x v="0"/>
    <s v="Parabéns pela agilidade!"/>
    <x v="862"/>
    <n v="1171.02"/>
    <x v="861"/>
    <x v="862"/>
    <x v="0"/>
    <x v="0"/>
  </r>
  <r>
    <x v="863"/>
    <n v="40"/>
    <x v="863"/>
    <x v="13"/>
    <x v="13"/>
    <x v="0"/>
    <n v="2051"/>
    <n v="1"/>
    <n v="365.17"/>
    <n v="694.02"/>
    <m/>
    <n v="0"/>
    <x v="2"/>
    <x v="819"/>
    <x v="5"/>
    <d v="2026-01-30T00:00:00"/>
    <d v="2026-02-07T00:00:00"/>
    <m/>
    <x v="3"/>
    <x v="4"/>
    <s v="Nunca mais compro aqui."/>
    <x v="863"/>
    <n v="365.17"/>
    <x v="862"/>
    <x v="863"/>
    <x v="3"/>
    <x v="1"/>
  </r>
  <r>
    <x v="864"/>
    <n v="65"/>
    <x v="864"/>
    <x v="4"/>
    <x v="4"/>
    <x v="0"/>
    <n v="4385"/>
    <n v="2"/>
    <n v="442.5"/>
    <n v="522.66999999999996"/>
    <m/>
    <n v="0"/>
    <x v="2"/>
    <x v="820"/>
    <x v="7"/>
    <d v="2026-01-31T00:00:00"/>
    <d v="2026-02-05T00:00:00"/>
    <d v="2026-02-03T00:00:00"/>
    <x v="0"/>
    <x v="3"/>
    <s v="Parabéns pela agilidade!"/>
    <x v="864"/>
    <n v="885"/>
    <x v="863"/>
    <x v="864"/>
    <x v="2"/>
    <x v="0"/>
  </r>
  <r>
    <x v="865"/>
    <n v="60"/>
    <x v="865"/>
    <x v="1"/>
    <x v="1"/>
    <x v="0"/>
    <n v="2384"/>
    <n v="1"/>
    <n v="553.36"/>
    <n v="769.65"/>
    <s v="OFF20"/>
    <n v="0.2"/>
    <x v="0"/>
    <x v="821"/>
    <x v="2"/>
    <d v="2026-02-01T00:00:00"/>
    <d v="2026-02-09T00:00:00"/>
    <d v="2026-02-14T00:00:00"/>
    <x v="0"/>
    <x v="4"/>
    <s v="Não recomendo, péssima experiência."/>
    <x v="865"/>
    <n v="553.36"/>
    <x v="864"/>
    <x v="865"/>
    <x v="10"/>
    <x v="2"/>
  </r>
  <r>
    <x v="866"/>
    <n v="68"/>
    <x v="866"/>
    <x v="17"/>
    <x v="17"/>
    <x v="2"/>
    <n v="358"/>
    <n v="2"/>
    <n v="110.97"/>
    <n v="161.51"/>
    <m/>
    <n v="0"/>
    <x v="0"/>
    <x v="822"/>
    <x v="2"/>
    <d v="2026-01-31T00:00:00"/>
    <d v="2026-02-10T00:00:00"/>
    <m/>
    <x v="1"/>
    <x v="1"/>
    <s v="Razoável, poderia ser melhor."/>
    <x v="866"/>
    <n v="221.94"/>
    <x v="865"/>
    <x v="866"/>
    <x v="3"/>
    <x v="1"/>
  </r>
  <r>
    <x v="867"/>
    <n v="48"/>
    <x v="867"/>
    <x v="2"/>
    <x v="2"/>
    <x v="1"/>
    <n v="0"/>
    <n v="2"/>
    <n v="45.37"/>
    <n v="71.83"/>
    <m/>
    <n v="0"/>
    <x v="0"/>
    <x v="823"/>
    <x v="14"/>
    <d v="2026-01-31T00:00:00"/>
    <d v="2026-02-10T00:00:00"/>
    <d v="2026-02-06T00:00:00"/>
    <x v="0"/>
    <x v="3"/>
    <s v="Muito bom, sem reclamações."/>
    <x v="867"/>
    <n v="90.74"/>
    <x v="866"/>
    <x v="867"/>
    <x v="1"/>
    <x v="0"/>
  </r>
  <r>
    <x v="868"/>
    <n v="93"/>
    <x v="868"/>
    <x v="2"/>
    <x v="2"/>
    <x v="1"/>
    <n v="0"/>
    <n v="3"/>
    <n v="75.45"/>
    <n v="142.58000000000001"/>
    <m/>
    <n v="0"/>
    <x v="3"/>
    <x v="824"/>
    <x v="10"/>
    <d v="2026-02-02T00:00:00"/>
    <d v="2026-02-11T00:00:00"/>
    <d v="2026-02-12T00:00:00"/>
    <x v="0"/>
    <x v="4"/>
    <s v="Produto extraviado, tive que abrir reclamação."/>
    <x v="868"/>
    <n v="226.35"/>
    <x v="867"/>
    <x v="868"/>
    <x v="8"/>
    <x v="2"/>
  </r>
  <r>
    <x v="869"/>
    <n v="28"/>
    <x v="869"/>
    <x v="8"/>
    <x v="8"/>
    <x v="1"/>
    <n v="0"/>
    <n v="2"/>
    <n v="43.08"/>
    <n v="160.97"/>
    <s v="PROMO10"/>
    <n v="0.1"/>
    <x v="0"/>
    <x v="825"/>
    <x v="4"/>
    <d v="2026-02-01T00:00:00"/>
    <d v="2026-02-11T00:00:00"/>
    <d v="2026-02-11T00:00:00"/>
    <x v="0"/>
    <x v="3"/>
    <s v="Produto original, vendedor confiável."/>
    <x v="869"/>
    <n v="86.16"/>
    <x v="868"/>
    <x v="869"/>
    <x v="4"/>
    <x v="0"/>
  </r>
  <r>
    <x v="870"/>
    <n v="73"/>
    <x v="870"/>
    <x v="8"/>
    <x v="8"/>
    <x v="1"/>
    <n v="0"/>
    <n v="3"/>
    <n v="26.41"/>
    <n v="221.07"/>
    <m/>
    <n v="0"/>
    <x v="1"/>
    <x v="66"/>
    <x v="2"/>
    <d v="2026-02-01T00:00:00"/>
    <d v="2026-02-09T00:00:00"/>
    <d v="2026-02-12T00:00:00"/>
    <x v="0"/>
    <x v="1"/>
    <s v="Produto bom, mas o frete foi caro."/>
    <x v="870"/>
    <n v="79.23"/>
    <x v="869"/>
    <x v="870"/>
    <x v="11"/>
    <x v="2"/>
  </r>
  <r>
    <x v="871"/>
    <n v="185"/>
    <x v="871"/>
    <x v="6"/>
    <x v="6"/>
    <x v="2"/>
    <n v="282"/>
    <n v="3"/>
    <n v="59.97"/>
    <n v="116.55"/>
    <m/>
    <n v="0"/>
    <x v="0"/>
    <x v="826"/>
    <x v="4"/>
    <d v="2026-02-03T00:00:00"/>
    <d v="2026-02-08T00:00:00"/>
    <m/>
    <x v="1"/>
    <x v="3"/>
    <s v="Excelente atendimento e entrega."/>
    <x v="871"/>
    <n v="179.91"/>
    <x v="870"/>
    <x v="871"/>
    <x v="3"/>
    <x v="1"/>
  </r>
  <r>
    <x v="872"/>
    <n v="190"/>
    <x v="872"/>
    <x v="13"/>
    <x v="13"/>
    <x v="0"/>
    <n v="2046"/>
    <n v="3"/>
    <n v="362.13"/>
    <n v="542.42999999999995"/>
    <m/>
    <n v="0"/>
    <x v="2"/>
    <x v="827"/>
    <x v="3"/>
    <d v="2026-02-03T00:00:00"/>
    <d v="2026-02-12T00:00:00"/>
    <d v="2026-02-15T00:00:00"/>
    <x v="0"/>
    <x v="2"/>
    <s v="Cancelei porque demorou demais."/>
    <x v="872"/>
    <n v="1086.3900000000001"/>
    <x v="871"/>
    <x v="872"/>
    <x v="11"/>
    <x v="2"/>
  </r>
  <r>
    <x v="873"/>
    <n v="143"/>
    <x v="873"/>
    <x v="5"/>
    <x v="5"/>
    <x v="2"/>
    <n v="225"/>
    <n v="3"/>
    <n v="46.57"/>
    <n v="74.5"/>
    <s v="OFF20"/>
    <n v="0.2"/>
    <x v="2"/>
    <x v="828"/>
    <x v="11"/>
    <d v="2026-02-04T00:00:00"/>
    <d v="2026-02-11T00:00:00"/>
    <m/>
    <x v="1"/>
    <x v="1"/>
    <s v="Entrega demorou mais que o previsto."/>
    <x v="873"/>
    <n v="139.71"/>
    <x v="872"/>
    <x v="873"/>
    <x v="3"/>
    <x v="1"/>
  </r>
  <r>
    <x v="874"/>
    <n v="72"/>
    <x v="874"/>
    <x v="1"/>
    <x v="1"/>
    <x v="0"/>
    <n v="2483"/>
    <n v="2"/>
    <n v="896.43"/>
    <n v="1295.96"/>
    <s v="PROMO10"/>
    <n v="0.1"/>
    <x v="1"/>
    <x v="829"/>
    <x v="8"/>
    <d v="2026-02-03T00:00:00"/>
    <d v="2026-02-12T00:00:00"/>
    <d v="2026-02-12T00:00:00"/>
    <x v="0"/>
    <x v="0"/>
    <s v="Chegou antes do prazo, excelente!"/>
    <x v="874"/>
    <n v="1792.86"/>
    <x v="873"/>
    <x v="874"/>
    <x v="4"/>
    <x v="0"/>
  </r>
  <r>
    <x v="875"/>
    <n v="23"/>
    <x v="875"/>
    <x v="13"/>
    <x v="13"/>
    <x v="0"/>
    <n v="2070"/>
    <n v="1"/>
    <n v="311.39999999999998"/>
    <n v="640.58000000000004"/>
    <m/>
    <n v="0"/>
    <x v="2"/>
    <x v="830"/>
    <x v="10"/>
    <d v="2026-02-03T00:00:00"/>
    <d v="2026-02-13T00:00:00"/>
    <d v="2026-02-14T00:00:00"/>
    <x v="0"/>
    <x v="4"/>
    <s v="Suporte ruim, difícil contato."/>
    <x v="875"/>
    <n v="311.39999999999998"/>
    <x v="874"/>
    <x v="875"/>
    <x v="8"/>
    <x v="2"/>
  </r>
  <r>
    <x v="876"/>
    <n v="156"/>
    <x v="876"/>
    <x v="17"/>
    <x v="17"/>
    <x v="2"/>
    <n v="317"/>
    <n v="2"/>
    <n v="111.25"/>
    <n v="204.15"/>
    <s v="PROMO10"/>
    <n v="0.1"/>
    <x v="2"/>
    <x v="831"/>
    <x v="4"/>
    <d v="2026-02-03T00:00:00"/>
    <d v="2026-02-09T00:00:00"/>
    <m/>
    <x v="3"/>
    <x v="4"/>
    <s v="Suporte ruim, difícil contato."/>
    <x v="876"/>
    <n v="222.5"/>
    <x v="875"/>
    <x v="876"/>
    <x v="3"/>
    <x v="1"/>
  </r>
  <r>
    <x v="877"/>
    <n v="171"/>
    <x v="877"/>
    <x v="4"/>
    <x v="4"/>
    <x v="0"/>
    <n v="4320"/>
    <n v="2"/>
    <n v="377.96"/>
    <n v="485.27"/>
    <s v="OFF20"/>
    <n v="0.2"/>
    <x v="0"/>
    <x v="832"/>
    <x v="13"/>
    <d v="2026-02-03T00:00:00"/>
    <d v="2026-02-11T00:00:00"/>
    <m/>
    <x v="3"/>
    <x v="2"/>
    <s v="Não recomendo, péssima experiência."/>
    <x v="877"/>
    <n v="755.92"/>
    <x v="876"/>
    <x v="877"/>
    <x v="3"/>
    <x v="1"/>
  </r>
  <r>
    <x v="878"/>
    <n v="49"/>
    <x v="878"/>
    <x v="11"/>
    <x v="11"/>
    <x v="2"/>
    <n v="232"/>
    <n v="3"/>
    <n v="45.38"/>
    <n v="96.84"/>
    <m/>
    <n v="0"/>
    <x v="1"/>
    <x v="833"/>
    <x v="2"/>
    <d v="2026-02-03T00:00:00"/>
    <d v="2026-02-13T00:00:00"/>
    <d v="2026-02-10T00:00:00"/>
    <x v="0"/>
    <x v="0"/>
    <s v="Embalagem perfeita, produto intacto."/>
    <x v="878"/>
    <n v="136.13999999999999"/>
    <x v="877"/>
    <x v="878"/>
    <x v="0"/>
    <x v="0"/>
  </r>
  <r>
    <x v="879"/>
    <n v="91"/>
    <x v="879"/>
    <x v="13"/>
    <x v="13"/>
    <x v="0"/>
    <n v="2058"/>
    <n v="2"/>
    <n v="334.03"/>
    <n v="453.53"/>
    <m/>
    <n v="0"/>
    <x v="3"/>
    <x v="834"/>
    <x v="2"/>
    <d v="2026-02-04T00:00:00"/>
    <d v="2026-02-13T00:00:00"/>
    <d v="2026-02-11T00:00:00"/>
    <x v="0"/>
    <x v="3"/>
    <s v="Frete rápido, adorei!"/>
    <x v="879"/>
    <n v="668.06"/>
    <x v="878"/>
    <x v="879"/>
    <x v="2"/>
    <x v="0"/>
  </r>
  <r>
    <x v="880"/>
    <n v="20"/>
    <x v="880"/>
    <x v="10"/>
    <x v="10"/>
    <x v="2"/>
    <n v="340"/>
    <n v="2"/>
    <n v="109.87"/>
    <n v="215.49"/>
    <m/>
    <n v="0"/>
    <x v="1"/>
    <x v="835"/>
    <x v="13"/>
    <d v="2026-02-04T00:00:00"/>
    <d v="2026-02-12T00:00:00"/>
    <d v="2026-02-15T00:00:00"/>
    <x v="0"/>
    <x v="1"/>
    <s v="Entrega demorou mais que o previsto."/>
    <x v="880"/>
    <n v="219.74"/>
    <x v="879"/>
    <x v="880"/>
    <x v="11"/>
    <x v="2"/>
  </r>
  <r>
    <x v="881"/>
    <n v="198"/>
    <x v="881"/>
    <x v="19"/>
    <x v="19"/>
    <x v="0"/>
    <n v="3682"/>
    <n v="3"/>
    <n v="905.28"/>
    <n v="1568.41"/>
    <m/>
    <n v="0"/>
    <x v="1"/>
    <x v="836"/>
    <x v="7"/>
    <d v="2026-02-04T00:00:00"/>
    <d v="2026-02-14T00:00:00"/>
    <d v="2026-02-06T00:00:00"/>
    <x v="0"/>
    <x v="3"/>
    <s v="Parabéns pela agilidade!"/>
    <x v="881"/>
    <n v="2715.84"/>
    <x v="880"/>
    <x v="881"/>
    <x v="13"/>
    <x v="0"/>
  </r>
  <r>
    <x v="882"/>
    <n v="141"/>
    <x v="882"/>
    <x v="0"/>
    <x v="0"/>
    <x v="0"/>
    <n v="2186"/>
    <n v="1"/>
    <n v="2113.23"/>
    <n v="2825.69"/>
    <m/>
    <n v="0"/>
    <x v="3"/>
    <x v="837"/>
    <x v="1"/>
    <d v="2026-02-05T00:00:00"/>
    <d v="2026-02-15T00:00:00"/>
    <d v="2026-02-08T00:00:00"/>
    <x v="0"/>
    <x v="0"/>
    <s v="Excelente atendimento e entrega."/>
    <x v="882"/>
    <n v="2113.23"/>
    <x v="881"/>
    <x v="882"/>
    <x v="9"/>
    <x v="0"/>
  </r>
  <r>
    <x v="883"/>
    <n v="200"/>
    <x v="883"/>
    <x v="13"/>
    <x v="13"/>
    <x v="0"/>
    <n v="2060"/>
    <n v="2"/>
    <n v="357.57"/>
    <n v="416.69"/>
    <s v="OFF20"/>
    <n v="0.2"/>
    <x v="0"/>
    <x v="838"/>
    <x v="8"/>
    <d v="2026-02-06T00:00:00"/>
    <d v="2026-02-16T00:00:00"/>
    <d v="2026-02-08T00:00:00"/>
    <x v="0"/>
    <x v="0"/>
    <s v="Entrega rápida, muito satisfeito!"/>
    <x v="883"/>
    <n v="715.14"/>
    <x v="882"/>
    <x v="883"/>
    <x v="13"/>
    <x v="0"/>
  </r>
  <r>
    <x v="884"/>
    <n v="175"/>
    <x v="884"/>
    <x v="0"/>
    <x v="0"/>
    <x v="0"/>
    <n v="2312"/>
    <n v="1"/>
    <n v="2076.1799999999998"/>
    <n v="3879.46"/>
    <s v="OFF20"/>
    <n v="0.2"/>
    <x v="1"/>
    <x v="839"/>
    <x v="2"/>
    <d v="2026-02-06T00:00:00"/>
    <d v="2026-02-12T00:00:00"/>
    <d v="2026-02-10T00:00:00"/>
    <x v="0"/>
    <x v="0"/>
    <s v="Entrega no prazo e produto conforme descrito."/>
    <x v="884"/>
    <n v="2076.1799999999998"/>
    <x v="883"/>
    <x v="884"/>
    <x v="2"/>
    <x v="0"/>
  </r>
  <r>
    <x v="885"/>
    <n v="130"/>
    <x v="885"/>
    <x v="4"/>
    <x v="4"/>
    <x v="0"/>
    <n v="4516"/>
    <n v="2"/>
    <n v="239.13"/>
    <n v="684.39"/>
    <m/>
    <n v="0"/>
    <x v="1"/>
    <x v="840"/>
    <x v="4"/>
    <d v="2026-02-06T00:00:00"/>
    <d v="2026-02-15T00:00:00"/>
    <d v="2026-02-16T00:00:00"/>
    <x v="0"/>
    <x v="4"/>
    <s v="Produto não era o que esperava."/>
    <x v="885"/>
    <n v="478.26"/>
    <x v="884"/>
    <x v="885"/>
    <x v="8"/>
    <x v="2"/>
  </r>
  <r>
    <x v="886"/>
    <n v="12"/>
    <x v="886"/>
    <x v="7"/>
    <x v="7"/>
    <x v="0"/>
    <n v="2925"/>
    <n v="3"/>
    <n v="2452.13"/>
    <n v="4632.54"/>
    <s v="OFF20"/>
    <n v="0.2"/>
    <x v="2"/>
    <x v="841"/>
    <x v="2"/>
    <d v="2026-02-07T00:00:00"/>
    <d v="2026-02-17T00:00:00"/>
    <d v="2026-02-10T00:00:00"/>
    <x v="0"/>
    <x v="0"/>
    <s v="Parabéns pela agilidade!"/>
    <x v="886"/>
    <n v="7356.39"/>
    <x v="885"/>
    <x v="886"/>
    <x v="9"/>
    <x v="0"/>
  </r>
  <r>
    <x v="887"/>
    <n v="13"/>
    <x v="887"/>
    <x v="17"/>
    <x v="17"/>
    <x v="2"/>
    <n v="396"/>
    <n v="2"/>
    <n v="79.459999999999994"/>
    <n v="106.29"/>
    <s v="OFF20"/>
    <n v="0.2"/>
    <x v="3"/>
    <x v="842"/>
    <x v="2"/>
    <d v="2026-02-07T00:00:00"/>
    <d v="2026-02-14T00:00:00"/>
    <d v="2026-02-09T00:00:00"/>
    <x v="0"/>
    <x v="0"/>
    <s v="Frete rápido, adorei!"/>
    <x v="887"/>
    <n v="158.91999999999999"/>
    <x v="886"/>
    <x v="887"/>
    <x v="5"/>
    <x v="0"/>
  </r>
  <r>
    <x v="888"/>
    <n v="85"/>
    <x v="888"/>
    <x v="3"/>
    <x v="3"/>
    <x v="2"/>
    <n v="757"/>
    <n v="1"/>
    <n v="80.3"/>
    <n v="309.52999999999997"/>
    <m/>
    <n v="0"/>
    <x v="2"/>
    <x v="843"/>
    <x v="8"/>
    <d v="2026-02-07T00:00:00"/>
    <d v="2026-02-15T00:00:00"/>
    <d v="2026-02-09T00:00:00"/>
    <x v="0"/>
    <x v="3"/>
    <s v="Produto original, vendedor confiável."/>
    <x v="888"/>
    <n v="80.3"/>
    <x v="887"/>
    <x v="888"/>
    <x v="12"/>
    <x v="0"/>
  </r>
  <r>
    <x v="889"/>
    <n v="26"/>
    <x v="889"/>
    <x v="11"/>
    <x v="11"/>
    <x v="2"/>
    <n v="265"/>
    <n v="3"/>
    <n v="38.44"/>
    <n v="55.9"/>
    <m/>
    <n v="0"/>
    <x v="2"/>
    <x v="844"/>
    <x v="6"/>
    <d v="2026-02-07T00:00:00"/>
    <d v="2026-02-15T00:00:00"/>
    <m/>
    <x v="1"/>
    <x v="2"/>
    <s v="Nunca mais compro aqui."/>
    <x v="889"/>
    <n v="115.32"/>
    <x v="888"/>
    <x v="889"/>
    <x v="3"/>
    <x v="1"/>
  </r>
  <r>
    <x v="890"/>
    <n v="72"/>
    <x v="890"/>
    <x v="15"/>
    <x v="15"/>
    <x v="3"/>
    <n v="0"/>
    <n v="3"/>
    <n v="441.11"/>
    <n v="721.82"/>
    <s v="PROMO10"/>
    <n v="0.1"/>
    <x v="0"/>
    <x v="845"/>
    <x v="2"/>
    <d v="2026-02-08T00:00:00"/>
    <d v="2026-02-13T00:00:00"/>
    <d v="2026-02-12T00:00:00"/>
    <x v="0"/>
    <x v="0"/>
    <s v="Superou minhas expectativas!"/>
    <x v="890"/>
    <n v="1323.33"/>
    <x v="889"/>
    <x v="890"/>
    <x v="6"/>
    <x v="0"/>
  </r>
  <r>
    <x v="891"/>
    <n v="146"/>
    <x v="891"/>
    <x v="8"/>
    <x v="8"/>
    <x v="1"/>
    <n v="0"/>
    <n v="1"/>
    <n v="61.73"/>
    <n v="235.92"/>
    <s v="PROMO10"/>
    <n v="0.1"/>
    <x v="2"/>
    <x v="846"/>
    <x v="2"/>
    <d v="2026-02-09T00:00:00"/>
    <d v="2026-02-18T00:00:00"/>
    <d v="2026-02-15T00:00:00"/>
    <x v="0"/>
    <x v="3"/>
    <s v="Produto de qualidade, entrega pontual."/>
    <x v="891"/>
    <n v="61.73"/>
    <x v="890"/>
    <x v="891"/>
    <x v="0"/>
    <x v="0"/>
  </r>
  <r>
    <x v="892"/>
    <n v="174"/>
    <x v="892"/>
    <x v="0"/>
    <x v="0"/>
    <x v="0"/>
    <n v="2204"/>
    <n v="3"/>
    <n v="2195.65"/>
    <n v="3394.19"/>
    <s v="OFF20"/>
    <n v="0.2"/>
    <x v="2"/>
    <x v="847"/>
    <x v="14"/>
    <d v="2026-02-09T00:00:00"/>
    <d v="2026-02-19T00:00:00"/>
    <d v="2026-02-11T00:00:00"/>
    <x v="0"/>
    <x v="0"/>
    <s v="Frete rápido, adorei!"/>
    <x v="892"/>
    <n v="6586.9500000000007"/>
    <x v="891"/>
    <x v="892"/>
    <x v="13"/>
    <x v="0"/>
  </r>
  <r>
    <x v="893"/>
    <n v="176"/>
    <x v="893"/>
    <x v="2"/>
    <x v="2"/>
    <x v="1"/>
    <n v="0"/>
    <n v="1"/>
    <n v="33.86"/>
    <n v="132.75"/>
    <m/>
    <n v="0"/>
    <x v="0"/>
    <x v="725"/>
    <x v="2"/>
    <d v="2026-02-08T00:00:00"/>
    <d v="2026-02-18T00:00:00"/>
    <d v="2026-02-16T00:00:00"/>
    <x v="0"/>
    <x v="3"/>
    <s v="Frete rápido, adorei!"/>
    <x v="893"/>
    <n v="33.86"/>
    <x v="892"/>
    <x v="893"/>
    <x v="2"/>
    <x v="0"/>
  </r>
  <r>
    <x v="894"/>
    <n v="131"/>
    <x v="894"/>
    <x v="13"/>
    <x v="13"/>
    <x v="0"/>
    <n v="2048"/>
    <n v="3"/>
    <n v="277.12"/>
    <n v="366.62"/>
    <m/>
    <n v="0"/>
    <x v="0"/>
    <x v="848"/>
    <x v="4"/>
    <d v="2026-02-10T00:00:00"/>
    <d v="2026-02-18T00:00:00"/>
    <d v="2026-02-16T00:00:00"/>
    <x v="0"/>
    <x v="3"/>
    <s v="Produto de qualidade, entrega pontual."/>
    <x v="894"/>
    <n v="831.36"/>
    <x v="893"/>
    <x v="894"/>
    <x v="2"/>
    <x v="0"/>
  </r>
  <r>
    <x v="895"/>
    <n v="136"/>
    <x v="895"/>
    <x v="13"/>
    <x v="13"/>
    <x v="0"/>
    <n v="2081"/>
    <n v="3"/>
    <n v="214.72"/>
    <n v="365.24"/>
    <m/>
    <n v="0"/>
    <x v="2"/>
    <x v="849"/>
    <x v="4"/>
    <d v="2026-02-09T00:00:00"/>
    <d v="2026-02-18T00:00:00"/>
    <d v="2026-02-14T00:00:00"/>
    <x v="0"/>
    <x v="0"/>
    <s v="Chegou antes do prazo, excelente!"/>
    <x v="895"/>
    <n v="644.16"/>
    <x v="894"/>
    <x v="895"/>
    <x v="1"/>
    <x v="0"/>
  </r>
  <r>
    <x v="896"/>
    <n v="96"/>
    <x v="896"/>
    <x v="16"/>
    <x v="16"/>
    <x v="1"/>
    <n v="0"/>
    <n v="1"/>
    <n v="297.57"/>
    <n v="408.58"/>
    <s v="OFF20"/>
    <n v="0.2"/>
    <x v="3"/>
    <x v="850"/>
    <x v="4"/>
    <d v="2026-02-11T00:00:00"/>
    <d v="2026-02-18T00:00:00"/>
    <m/>
    <x v="1"/>
    <x v="2"/>
    <s v="Decepcionante do início ao fim."/>
    <x v="896"/>
    <n v="297.57"/>
    <x v="895"/>
    <x v="896"/>
    <x v="3"/>
    <x v="1"/>
  </r>
  <r>
    <x v="897"/>
    <n v="66"/>
    <x v="897"/>
    <x v="6"/>
    <x v="6"/>
    <x v="2"/>
    <n v="257"/>
    <n v="1"/>
    <n v="66.59"/>
    <n v="90.8"/>
    <m/>
    <n v="0"/>
    <x v="0"/>
    <x v="851"/>
    <x v="11"/>
    <d v="2026-02-11T00:00:00"/>
    <d v="2026-02-19T00:00:00"/>
    <d v="2026-02-16T00:00:00"/>
    <x v="0"/>
    <x v="3"/>
    <s v="Produto top, recomendo!"/>
    <x v="897"/>
    <n v="66.59"/>
    <x v="896"/>
    <x v="897"/>
    <x v="0"/>
    <x v="0"/>
  </r>
  <r>
    <x v="898"/>
    <n v="163"/>
    <x v="898"/>
    <x v="8"/>
    <x v="8"/>
    <x v="1"/>
    <n v="0"/>
    <n v="1"/>
    <n v="113.16"/>
    <n v="149.33000000000001"/>
    <s v="PROMO10"/>
    <n v="0.1"/>
    <x v="2"/>
    <x v="390"/>
    <x v="0"/>
    <d v="2026-02-12T00:00:00"/>
    <d v="2026-02-20T00:00:00"/>
    <d v="2026-02-20T00:00:00"/>
    <x v="0"/>
    <x v="0"/>
    <s v="Embalagem perfeita, produto intacto."/>
    <x v="898"/>
    <n v="113.16"/>
    <x v="897"/>
    <x v="898"/>
    <x v="4"/>
    <x v="0"/>
  </r>
  <r>
    <x v="899"/>
    <n v="112"/>
    <x v="899"/>
    <x v="0"/>
    <x v="0"/>
    <x v="0"/>
    <n v="2269"/>
    <n v="3"/>
    <n v="2101.67"/>
    <n v="3331.2"/>
    <m/>
    <n v="0"/>
    <x v="3"/>
    <x v="852"/>
    <x v="7"/>
    <d v="2026-02-13T00:00:00"/>
    <d v="2026-02-21T00:00:00"/>
    <d v="2026-02-16T00:00:00"/>
    <x v="0"/>
    <x v="0"/>
    <s v="Excelente atendimento e entrega."/>
    <x v="899"/>
    <n v="6305.01"/>
    <x v="898"/>
    <x v="899"/>
    <x v="5"/>
    <x v="0"/>
  </r>
  <r>
    <x v="900"/>
    <n v="115"/>
    <x v="900"/>
    <x v="18"/>
    <x v="18"/>
    <x v="0"/>
    <n v="3349"/>
    <n v="3"/>
    <n v="495.37"/>
    <n v="860.93"/>
    <s v="PROMO10"/>
    <n v="0.1"/>
    <x v="2"/>
    <x v="853"/>
    <x v="12"/>
    <d v="2026-02-12T00:00:00"/>
    <d v="2026-02-21T00:00:00"/>
    <d v="2026-02-20T00:00:00"/>
    <x v="0"/>
    <x v="0"/>
    <s v="Ótimo custo-benefício!"/>
    <x v="900"/>
    <n v="1486.11"/>
    <x v="899"/>
    <x v="900"/>
    <x v="6"/>
    <x v="0"/>
  </r>
  <r>
    <x v="901"/>
    <n v="170"/>
    <x v="901"/>
    <x v="2"/>
    <x v="2"/>
    <x v="1"/>
    <n v="0"/>
    <n v="2"/>
    <n v="36.200000000000003"/>
    <n v="145.54"/>
    <s v="OFF20"/>
    <n v="0.2"/>
    <x v="2"/>
    <x v="854"/>
    <x v="14"/>
    <d v="2026-02-13T00:00:00"/>
    <d v="2026-02-22T00:00:00"/>
    <d v="2026-02-16T00:00:00"/>
    <x v="0"/>
    <x v="3"/>
    <s v="Frete rápido, adorei!"/>
    <x v="901"/>
    <n v="72.400000000000006"/>
    <x v="900"/>
    <x v="901"/>
    <x v="12"/>
    <x v="0"/>
  </r>
  <r>
    <x v="902"/>
    <n v="108"/>
    <x v="902"/>
    <x v="22"/>
    <x v="22"/>
    <x v="3"/>
    <n v="0"/>
    <n v="3"/>
    <n v="338.86"/>
    <n v="660.81"/>
    <m/>
    <n v="0"/>
    <x v="0"/>
    <x v="855"/>
    <x v="2"/>
    <d v="2026-02-14T00:00:00"/>
    <d v="2026-02-21T00:00:00"/>
    <d v="2026-02-17T00:00:00"/>
    <x v="0"/>
    <x v="3"/>
    <s v="Produto de qualidade, entrega pontual."/>
    <x v="902"/>
    <n v="1016.58"/>
    <x v="901"/>
    <x v="902"/>
    <x v="1"/>
    <x v="0"/>
  </r>
  <r>
    <x v="903"/>
    <n v="192"/>
    <x v="903"/>
    <x v="10"/>
    <x v="10"/>
    <x v="2"/>
    <n v="338"/>
    <n v="1"/>
    <n v="105.65"/>
    <n v="155.19"/>
    <m/>
    <n v="0"/>
    <x v="0"/>
    <x v="856"/>
    <x v="4"/>
    <d v="2026-02-15T00:00:00"/>
    <d v="2026-02-21T00:00:00"/>
    <m/>
    <x v="2"/>
    <x v="2"/>
    <s v="Frete caro e entrega lenta."/>
    <x v="903"/>
    <n v="105.65"/>
    <x v="902"/>
    <x v="903"/>
    <x v="3"/>
    <x v="1"/>
  </r>
  <r>
    <x v="904"/>
    <n v="44"/>
    <x v="904"/>
    <x v="21"/>
    <x v="21"/>
    <x v="3"/>
    <n v="0"/>
    <n v="1"/>
    <n v="198.88"/>
    <n v="573.86"/>
    <s v="OFF20"/>
    <n v="0.2"/>
    <x v="2"/>
    <x v="857"/>
    <x v="2"/>
    <d v="2026-02-14T00:00:00"/>
    <d v="2026-02-22T00:00:00"/>
    <d v="2026-02-24T00:00:00"/>
    <x v="0"/>
    <x v="2"/>
    <s v="Muito atraso na entrega."/>
    <x v="904"/>
    <n v="198.88"/>
    <x v="903"/>
    <x v="904"/>
    <x v="14"/>
    <x v="2"/>
  </r>
  <r>
    <x v="905"/>
    <n v="156"/>
    <x v="905"/>
    <x v="4"/>
    <x v="4"/>
    <x v="0"/>
    <n v="4282"/>
    <n v="1"/>
    <n v="398.54"/>
    <n v="472.16"/>
    <m/>
    <n v="0"/>
    <x v="1"/>
    <x v="858"/>
    <x v="2"/>
    <d v="2026-02-15T00:00:00"/>
    <d v="2026-02-22T00:00:00"/>
    <d v="2026-02-21T00:00:00"/>
    <x v="0"/>
    <x v="0"/>
    <s v="Muito bom, sem reclamações."/>
    <x v="905"/>
    <n v="398.54"/>
    <x v="904"/>
    <x v="905"/>
    <x v="6"/>
    <x v="0"/>
  </r>
  <r>
    <x v="906"/>
    <n v="37"/>
    <x v="906"/>
    <x v="22"/>
    <x v="22"/>
    <x v="3"/>
    <n v="0"/>
    <n v="3"/>
    <n v="354.7"/>
    <n v="736.55"/>
    <m/>
    <n v="0"/>
    <x v="2"/>
    <x v="859"/>
    <x v="2"/>
    <d v="2026-02-17T00:00:00"/>
    <d v="2026-02-22T00:00:00"/>
    <m/>
    <x v="2"/>
    <x v="1"/>
    <s v="Chegou com pequeno atraso, mas o produto é bom."/>
    <x v="906"/>
    <n v="1064.0999999999999"/>
    <x v="905"/>
    <x v="906"/>
    <x v="3"/>
    <x v="1"/>
  </r>
  <r>
    <x v="907"/>
    <n v="61"/>
    <x v="907"/>
    <x v="17"/>
    <x v="17"/>
    <x v="2"/>
    <n v="382"/>
    <n v="2"/>
    <n v="90.45"/>
    <n v="262.20999999999998"/>
    <s v="PROMO10"/>
    <n v="0.1"/>
    <x v="1"/>
    <x v="419"/>
    <x v="0"/>
    <d v="2026-02-16T00:00:00"/>
    <d v="2026-02-25T00:00:00"/>
    <d v="2026-02-23T00:00:00"/>
    <x v="0"/>
    <x v="3"/>
    <s v="Frete rápido, adorei!"/>
    <x v="907"/>
    <n v="180.9"/>
    <x v="906"/>
    <x v="907"/>
    <x v="2"/>
    <x v="0"/>
  </r>
  <r>
    <x v="908"/>
    <n v="66"/>
    <x v="908"/>
    <x v="22"/>
    <x v="22"/>
    <x v="3"/>
    <n v="0"/>
    <n v="3"/>
    <n v="386.86"/>
    <n v="660.67"/>
    <s v="OFF20"/>
    <n v="0.2"/>
    <x v="3"/>
    <x v="860"/>
    <x v="2"/>
    <d v="2026-02-18T00:00:00"/>
    <d v="2026-02-23T00:00:00"/>
    <d v="2026-02-22T00:00:00"/>
    <x v="0"/>
    <x v="0"/>
    <s v="Embalagem perfeita, produto intacto."/>
    <x v="908"/>
    <n v="1160.58"/>
    <x v="907"/>
    <x v="908"/>
    <x v="6"/>
    <x v="0"/>
  </r>
  <r>
    <x v="909"/>
    <n v="147"/>
    <x v="909"/>
    <x v="9"/>
    <x v="9"/>
    <x v="1"/>
    <n v="0"/>
    <n v="2"/>
    <n v="92.73"/>
    <n v="163.26"/>
    <s v="OFF20"/>
    <n v="0.2"/>
    <x v="0"/>
    <x v="861"/>
    <x v="0"/>
    <d v="2026-02-19T00:00:00"/>
    <d v="2026-02-27T00:00:00"/>
    <d v="2026-02-22T00:00:00"/>
    <x v="0"/>
    <x v="3"/>
    <s v="Qualidade impecável, voltarei a comprar."/>
    <x v="909"/>
    <n v="185.46"/>
    <x v="908"/>
    <x v="909"/>
    <x v="5"/>
    <x v="0"/>
  </r>
  <r>
    <x v="910"/>
    <n v="138"/>
    <x v="910"/>
    <x v="5"/>
    <x v="5"/>
    <x v="2"/>
    <n v="233"/>
    <n v="3"/>
    <n v="37.6"/>
    <n v="82.34"/>
    <s v="OFF20"/>
    <n v="0.2"/>
    <x v="1"/>
    <x v="862"/>
    <x v="4"/>
    <d v="2026-02-19T00:00:00"/>
    <d v="2026-03-01T00:00:00"/>
    <m/>
    <x v="2"/>
    <x v="4"/>
    <s v="Produto chegou com defeito."/>
    <x v="910"/>
    <n v="112.8"/>
    <x v="909"/>
    <x v="910"/>
    <x v="3"/>
    <x v="1"/>
  </r>
  <r>
    <x v="911"/>
    <n v="133"/>
    <x v="911"/>
    <x v="11"/>
    <x v="11"/>
    <x v="2"/>
    <n v="228"/>
    <n v="1"/>
    <n v="40.549999999999997"/>
    <n v="108.84"/>
    <s v="OFF20"/>
    <n v="0.2"/>
    <x v="1"/>
    <x v="863"/>
    <x v="2"/>
    <d v="2026-02-20T00:00:00"/>
    <d v="2026-03-01T00:00:00"/>
    <d v="2026-02-25T00:00:00"/>
    <x v="0"/>
    <x v="3"/>
    <s v="Entrega rápida, muito satisfeito!"/>
    <x v="911"/>
    <n v="40.549999999999997"/>
    <x v="910"/>
    <x v="911"/>
    <x v="1"/>
    <x v="0"/>
  </r>
  <r>
    <x v="912"/>
    <n v="164"/>
    <x v="912"/>
    <x v="22"/>
    <x v="22"/>
    <x v="3"/>
    <n v="0"/>
    <n v="2"/>
    <n v="432.84"/>
    <n v="685.54"/>
    <m/>
    <n v="0"/>
    <x v="3"/>
    <x v="864"/>
    <x v="1"/>
    <d v="2026-02-21T00:00:00"/>
    <d v="2026-03-02T00:00:00"/>
    <d v="2026-03-04T00:00:00"/>
    <x v="0"/>
    <x v="2"/>
    <s v="Atrasou e a caixa veio amassada."/>
    <x v="912"/>
    <n v="865.68"/>
    <x v="911"/>
    <x v="912"/>
    <x v="14"/>
    <x v="2"/>
  </r>
  <r>
    <x v="913"/>
    <n v="171"/>
    <x v="913"/>
    <x v="16"/>
    <x v="16"/>
    <x v="1"/>
    <n v="0"/>
    <n v="3"/>
    <n v="214.25"/>
    <n v="312.29000000000002"/>
    <m/>
    <n v="0"/>
    <x v="3"/>
    <x v="865"/>
    <x v="13"/>
    <d v="2026-02-21T00:00:00"/>
    <d v="2026-03-02T00:00:00"/>
    <d v="2026-02-25T00:00:00"/>
    <x v="0"/>
    <x v="0"/>
    <s v="Frete rápido, adorei!"/>
    <x v="913"/>
    <n v="642.75"/>
    <x v="912"/>
    <x v="913"/>
    <x v="5"/>
    <x v="0"/>
  </r>
  <r>
    <x v="914"/>
    <n v="161"/>
    <x v="914"/>
    <x v="10"/>
    <x v="10"/>
    <x v="2"/>
    <n v="345"/>
    <n v="2"/>
    <n v="95.09"/>
    <n v="173.65"/>
    <m/>
    <n v="0"/>
    <x v="3"/>
    <x v="866"/>
    <x v="2"/>
    <d v="2026-02-22T00:00:00"/>
    <d v="2026-02-27T00:00:00"/>
    <d v="2026-03-01T00:00:00"/>
    <x v="0"/>
    <x v="4"/>
    <s v="Suporte ruim, difícil contato."/>
    <x v="914"/>
    <n v="190.18"/>
    <x v="913"/>
    <x v="914"/>
    <x v="14"/>
    <x v="2"/>
  </r>
  <r>
    <x v="915"/>
    <n v="128"/>
    <x v="915"/>
    <x v="12"/>
    <x v="12"/>
    <x v="2"/>
    <n v="410"/>
    <n v="1"/>
    <n v="22.87"/>
    <n v="53.26"/>
    <s v="OFF20"/>
    <n v="0.2"/>
    <x v="0"/>
    <x v="182"/>
    <x v="4"/>
    <d v="2026-02-22T00:00:00"/>
    <d v="2026-03-03T00:00:00"/>
    <d v="2026-03-01T00:00:00"/>
    <x v="0"/>
    <x v="0"/>
    <s v="Entrega no prazo e produto conforme descrito."/>
    <x v="915"/>
    <n v="22.87"/>
    <x v="914"/>
    <x v="915"/>
    <x v="2"/>
    <x v="0"/>
  </r>
  <r>
    <x v="916"/>
    <n v="34"/>
    <x v="916"/>
    <x v="7"/>
    <x v="7"/>
    <x v="0"/>
    <n v="2944"/>
    <n v="3"/>
    <n v="2126.36"/>
    <n v="3506.97"/>
    <m/>
    <n v="0"/>
    <x v="1"/>
    <x v="867"/>
    <x v="8"/>
    <d v="2026-02-23T00:00:00"/>
    <d v="2026-03-01T00:00:00"/>
    <d v="2026-03-05T00:00:00"/>
    <x v="0"/>
    <x v="1"/>
    <s v="Esperava mais pela qualidade do produto."/>
    <x v="916"/>
    <n v="6379.08"/>
    <x v="915"/>
    <x v="916"/>
    <x v="7"/>
    <x v="2"/>
  </r>
  <r>
    <x v="917"/>
    <n v="137"/>
    <x v="917"/>
    <x v="5"/>
    <x v="5"/>
    <x v="2"/>
    <n v="203"/>
    <n v="2"/>
    <n v="51.94"/>
    <n v="128.87"/>
    <s v="OFF20"/>
    <n v="0.2"/>
    <x v="2"/>
    <x v="868"/>
    <x v="12"/>
    <d v="2026-02-22T00:00:00"/>
    <d v="2026-03-01T00:00:00"/>
    <d v="2026-02-26T00:00:00"/>
    <x v="0"/>
    <x v="0"/>
    <s v="Entrega no prazo e produto conforme descrito."/>
    <x v="917"/>
    <n v="103.88"/>
    <x v="916"/>
    <x v="917"/>
    <x v="0"/>
    <x v="0"/>
  </r>
  <r>
    <x v="918"/>
    <n v="31"/>
    <x v="918"/>
    <x v="5"/>
    <x v="5"/>
    <x v="2"/>
    <n v="207"/>
    <n v="2"/>
    <n v="29.8"/>
    <n v="59.29"/>
    <s v="PROMO10"/>
    <n v="0.1"/>
    <x v="2"/>
    <x v="97"/>
    <x v="8"/>
    <d v="2026-02-23T00:00:00"/>
    <d v="2026-03-02T00:00:00"/>
    <m/>
    <x v="2"/>
    <x v="1"/>
    <s v="Embalagem poderia ser melhor."/>
    <x v="918"/>
    <n v="59.6"/>
    <x v="917"/>
    <x v="918"/>
    <x v="3"/>
    <x v="1"/>
  </r>
  <r>
    <x v="919"/>
    <n v="55"/>
    <x v="919"/>
    <x v="20"/>
    <x v="20"/>
    <x v="3"/>
    <n v="0"/>
    <n v="1"/>
    <n v="362.4"/>
    <n v="704.25"/>
    <m/>
    <n v="0"/>
    <x v="0"/>
    <x v="459"/>
    <x v="7"/>
    <d v="2026-02-22T00:00:00"/>
    <d v="2026-03-04T00:00:00"/>
    <d v="2026-03-04T00:00:00"/>
    <x v="0"/>
    <x v="0"/>
    <s v="Qualidade impecável, voltarei a comprar."/>
    <x v="919"/>
    <n v="362.4"/>
    <x v="918"/>
    <x v="919"/>
    <x v="4"/>
    <x v="0"/>
  </r>
  <r>
    <x v="920"/>
    <n v="108"/>
    <x v="920"/>
    <x v="0"/>
    <x v="0"/>
    <x v="0"/>
    <n v="2446"/>
    <n v="1"/>
    <n v="1864.07"/>
    <n v="2509.2199999999998"/>
    <s v="PROMO10"/>
    <n v="0.1"/>
    <x v="2"/>
    <x v="869"/>
    <x v="12"/>
    <d v="2026-02-22T00:00:00"/>
    <d v="2026-02-28T00:00:00"/>
    <d v="2026-02-25T00:00:00"/>
    <x v="0"/>
    <x v="0"/>
    <s v="Produto top, recomendo!"/>
    <x v="920"/>
    <n v="1864.07"/>
    <x v="919"/>
    <x v="920"/>
    <x v="0"/>
    <x v="0"/>
  </r>
  <r>
    <x v="921"/>
    <n v="123"/>
    <x v="921"/>
    <x v="8"/>
    <x v="8"/>
    <x v="1"/>
    <n v="0"/>
    <n v="3"/>
    <n v="102.04"/>
    <n v="133.34"/>
    <m/>
    <n v="0"/>
    <x v="2"/>
    <x v="870"/>
    <x v="7"/>
    <d v="2026-02-23T00:00:00"/>
    <d v="2026-03-02T00:00:00"/>
    <d v="2026-02-27T00:00:00"/>
    <x v="0"/>
    <x v="0"/>
    <s v="Produto original, vendedor confiável."/>
    <x v="184"/>
    <n v="306.12"/>
    <x v="920"/>
    <x v="921"/>
    <x v="0"/>
    <x v="0"/>
  </r>
  <r>
    <x v="922"/>
    <n v="140"/>
    <x v="922"/>
    <x v="18"/>
    <x v="18"/>
    <x v="0"/>
    <n v="2695"/>
    <n v="1"/>
    <n v="587.83000000000004"/>
    <n v="727.99"/>
    <s v="PROMO10"/>
    <n v="0.1"/>
    <x v="1"/>
    <x v="871"/>
    <x v="6"/>
    <d v="2026-02-23T00:00:00"/>
    <d v="2026-03-05T00:00:00"/>
    <d v="2026-02-26T00:00:00"/>
    <x v="0"/>
    <x v="3"/>
    <s v="Produto original, vendedor confiável."/>
    <x v="921"/>
    <n v="587.83000000000004"/>
    <x v="921"/>
    <x v="922"/>
    <x v="9"/>
    <x v="0"/>
  </r>
  <r>
    <x v="923"/>
    <n v="71"/>
    <x v="923"/>
    <x v="8"/>
    <x v="8"/>
    <x v="1"/>
    <n v="0"/>
    <n v="3"/>
    <n v="103.19"/>
    <n v="243.38"/>
    <s v="OFF20"/>
    <n v="0.2"/>
    <x v="2"/>
    <x v="872"/>
    <x v="4"/>
    <d v="2026-02-24T00:00:00"/>
    <d v="2026-03-06T00:00:00"/>
    <d v="2026-03-04T00:00:00"/>
    <x v="0"/>
    <x v="0"/>
    <s v="Produto de qualidade, entrega pontual."/>
    <x v="922"/>
    <n v="309.57"/>
    <x v="922"/>
    <x v="923"/>
    <x v="2"/>
    <x v="0"/>
  </r>
  <r>
    <x v="924"/>
    <n v="78"/>
    <x v="924"/>
    <x v="12"/>
    <x v="12"/>
    <x v="2"/>
    <n v="527"/>
    <n v="1"/>
    <n v="22.62"/>
    <n v="85.44"/>
    <s v="OFF20"/>
    <n v="0.2"/>
    <x v="0"/>
    <x v="873"/>
    <x v="7"/>
    <d v="2026-02-23T00:00:00"/>
    <d v="2026-03-01T00:00:00"/>
    <d v="2026-02-27T00:00:00"/>
    <x v="0"/>
    <x v="3"/>
    <s v="Parabéns pela agilidade!"/>
    <x v="923"/>
    <n v="22.62"/>
    <x v="923"/>
    <x v="924"/>
    <x v="2"/>
    <x v="0"/>
  </r>
  <r>
    <x v="925"/>
    <n v="111"/>
    <x v="925"/>
    <x v="0"/>
    <x v="0"/>
    <x v="0"/>
    <n v="2748"/>
    <n v="1"/>
    <n v="1955.12"/>
    <n v="2637.74"/>
    <s v="OFF20"/>
    <n v="0.2"/>
    <x v="3"/>
    <x v="874"/>
    <x v="5"/>
    <d v="2026-02-24T00:00:00"/>
    <d v="2026-03-02T00:00:00"/>
    <d v="2026-03-06T00:00:00"/>
    <x v="0"/>
    <x v="1"/>
    <s v="Produto bom, mas o frete foi caro."/>
    <x v="924"/>
    <n v="1955.12"/>
    <x v="924"/>
    <x v="925"/>
    <x v="7"/>
    <x v="2"/>
  </r>
  <r>
    <x v="926"/>
    <n v="131"/>
    <x v="926"/>
    <x v="5"/>
    <x v="5"/>
    <x v="2"/>
    <n v="278"/>
    <n v="2"/>
    <n v="52.46"/>
    <n v="137.55000000000001"/>
    <m/>
    <n v="0"/>
    <x v="0"/>
    <x v="875"/>
    <x v="4"/>
    <d v="2026-02-24T00:00:00"/>
    <d v="2026-03-02T00:00:00"/>
    <m/>
    <x v="1"/>
    <x v="2"/>
    <s v="Cancelei porque demorou demais."/>
    <x v="925"/>
    <n v="104.92"/>
    <x v="925"/>
    <x v="926"/>
    <x v="3"/>
    <x v="1"/>
  </r>
  <r>
    <x v="927"/>
    <n v="26"/>
    <x v="927"/>
    <x v="5"/>
    <x v="5"/>
    <x v="2"/>
    <n v="268"/>
    <n v="3"/>
    <n v="34.69"/>
    <n v="69.150000000000006"/>
    <s v="PROMO10"/>
    <n v="0.1"/>
    <x v="1"/>
    <x v="876"/>
    <x v="2"/>
    <d v="2026-02-26T00:00:00"/>
    <d v="2026-03-04T00:00:00"/>
    <d v="2026-02-28T00:00:00"/>
    <x v="0"/>
    <x v="0"/>
    <s v="Entrega no prazo e produto conforme descrito."/>
    <x v="926"/>
    <n v="104.07"/>
    <x v="926"/>
    <x v="927"/>
    <x v="1"/>
    <x v="0"/>
  </r>
  <r>
    <x v="928"/>
    <n v="27"/>
    <x v="928"/>
    <x v="6"/>
    <x v="6"/>
    <x v="2"/>
    <n v="234"/>
    <n v="1"/>
    <n v="40.57"/>
    <n v="142.19"/>
    <m/>
    <n v="0"/>
    <x v="2"/>
    <x v="877"/>
    <x v="8"/>
    <d v="2026-02-27T00:00:00"/>
    <d v="2026-03-06T00:00:00"/>
    <d v="2026-03-05T00:00:00"/>
    <x v="0"/>
    <x v="0"/>
    <s v="Produto original, vendedor confiável."/>
    <x v="927"/>
    <n v="40.57"/>
    <x v="927"/>
    <x v="928"/>
    <x v="6"/>
    <x v="0"/>
  </r>
  <r>
    <x v="929"/>
    <n v="188"/>
    <x v="929"/>
    <x v="3"/>
    <x v="3"/>
    <x v="2"/>
    <n v="639"/>
    <n v="3"/>
    <n v="194.34"/>
    <n v="271.61"/>
    <s v="OFF20"/>
    <n v="0.2"/>
    <x v="0"/>
    <x v="878"/>
    <x v="4"/>
    <d v="2026-02-26T00:00:00"/>
    <d v="2026-03-07T00:00:00"/>
    <d v="2026-03-07T00:00:00"/>
    <x v="0"/>
    <x v="0"/>
    <s v="Excelente atendimento e entrega."/>
    <x v="928"/>
    <n v="583.02"/>
    <x v="928"/>
    <x v="929"/>
    <x v="4"/>
    <x v="0"/>
  </r>
  <r>
    <x v="930"/>
    <n v="171"/>
    <x v="930"/>
    <x v="19"/>
    <x v="19"/>
    <x v="0"/>
    <n v="4940"/>
    <n v="3"/>
    <n v="755.99"/>
    <n v="1297.6400000000001"/>
    <s v="PROMO10"/>
    <n v="0.1"/>
    <x v="3"/>
    <x v="879"/>
    <x v="8"/>
    <d v="2026-02-27T00:00:00"/>
    <d v="2026-03-09T00:00:00"/>
    <m/>
    <x v="3"/>
    <x v="4"/>
    <s v="Produto não era o que esperava."/>
    <x v="929"/>
    <n v="2267.9699999999998"/>
    <x v="929"/>
    <x v="930"/>
    <x v="3"/>
    <x v="1"/>
  </r>
  <r>
    <x v="931"/>
    <n v="89"/>
    <x v="931"/>
    <x v="15"/>
    <x v="15"/>
    <x v="3"/>
    <n v="0"/>
    <n v="1"/>
    <n v="407.36"/>
    <n v="574.27"/>
    <m/>
    <n v="0"/>
    <x v="1"/>
    <x v="880"/>
    <x v="4"/>
    <d v="2026-02-27T00:00:00"/>
    <d v="2026-03-05T00:00:00"/>
    <d v="2026-03-01T00:00:00"/>
    <x v="0"/>
    <x v="0"/>
    <s v="Tudo certo, nota 10!"/>
    <x v="930"/>
    <n v="407.36"/>
    <x v="930"/>
    <x v="931"/>
    <x v="1"/>
    <x v="0"/>
  </r>
  <r>
    <x v="932"/>
    <n v="67"/>
    <x v="932"/>
    <x v="16"/>
    <x v="16"/>
    <x v="1"/>
    <n v="0"/>
    <n v="3"/>
    <n v="176.58"/>
    <n v="230.25"/>
    <m/>
    <n v="0"/>
    <x v="2"/>
    <x v="881"/>
    <x v="4"/>
    <d v="2026-02-27T00:00:00"/>
    <d v="2026-03-04T00:00:00"/>
    <m/>
    <x v="1"/>
    <x v="1"/>
    <s v="Razoável, poderia ser melhor."/>
    <x v="931"/>
    <n v="529.74"/>
    <x v="931"/>
    <x v="932"/>
    <x v="3"/>
    <x v="1"/>
  </r>
  <r>
    <x v="933"/>
    <n v="25"/>
    <x v="933"/>
    <x v="7"/>
    <x v="7"/>
    <x v="0"/>
    <n v="2978"/>
    <n v="2"/>
    <n v="2484.48"/>
    <n v="4563.91"/>
    <s v="PROMO10"/>
    <n v="0.1"/>
    <x v="3"/>
    <x v="882"/>
    <x v="1"/>
    <d v="2026-03-01T00:00:00"/>
    <d v="2026-03-08T00:00:00"/>
    <d v="2026-03-08T00:00:00"/>
    <x v="0"/>
    <x v="3"/>
    <s v="Chegou antes do prazo, excelente!"/>
    <x v="932"/>
    <n v="4968.96"/>
    <x v="932"/>
    <x v="933"/>
    <x v="4"/>
    <x v="0"/>
  </r>
  <r>
    <x v="934"/>
    <n v="10"/>
    <x v="934"/>
    <x v="5"/>
    <x v="5"/>
    <x v="2"/>
    <n v="248"/>
    <n v="3"/>
    <n v="54.14"/>
    <n v="78.19"/>
    <s v="OFF20"/>
    <n v="0.2"/>
    <x v="0"/>
    <x v="883"/>
    <x v="0"/>
    <d v="2026-02-28T00:00:00"/>
    <d v="2026-03-05T00:00:00"/>
    <d v="2026-03-06T00:00:00"/>
    <x v="0"/>
    <x v="2"/>
    <s v="Pior experiência de compra online."/>
    <x v="933"/>
    <n v="162.41999999999999"/>
    <x v="933"/>
    <x v="934"/>
    <x v="8"/>
    <x v="2"/>
  </r>
  <r>
    <x v="935"/>
    <n v="17"/>
    <x v="935"/>
    <x v="16"/>
    <x v="16"/>
    <x v="1"/>
    <n v="0"/>
    <n v="3"/>
    <n v="242.5"/>
    <n v="284.79000000000002"/>
    <m/>
    <n v="0"/>
    <x v="1"/>
    <x v="884"/>
    <x v="2"/>
    <d v="2026-03-01T00:00:00"/>
    <d v="2026-03-07T00:00:00"/>
    <d v="2026-03-05T00:00:00"/>
    <x v="0"/>
    <x v="3"/>
    <s v="Produto original, vendedor confiável."/>
    <x v="934"/>
    <n v="727.5"/>
    <x v="934"/>
    <x v="935"/>
    <x v="2"/>
    <x v="0"/>
  </r>
  <r>
    <x v="936"/>
    <n v="115"/>
    <x v="936"/>
    <x v="16"/>
    <x v="16"/>
    <x v="1"/>
    <n v="0"/>
    <n v="1"/>
    <n v="183.63"/>
    <n v="224.84"/>
    <m/>
    <n v="0"/>
    <x v="2"/>
    <x v="885"/>
    <x v="2"/>
    <d v="2026-03-01T00:00:00"/>
    <d v="2026-03-06T00:00:00"/>
    <d v="2026-03-05T00:00:00"/>
    <x v="0"/>
    <x v="3"/>
    <s v="Produto original, vendedor confiável."/>
    <x v="935"/>
    <n v="183.63"/>
    <x v="935"/>
    <x v="936"/>
    <x v="6"/>
    <x v="0"/>
  </r>
  <r>
    <x v="937"/>
    <n v="164"/>
    <x v="937"/>
    <x v="7"/>
    <x v="7"/>
    <x v="0"/>
    <n v="2261"/>
    <n v="3"/>
    <n v="2791.33"/>
    <n v="4031.97"/>
    <m/>
    <n v="0"/>
    <x v="2"/>
    <x v="886"/>
    <x v="1"/>
    <d v="2026-03-02T00:00:00"/>
    <d v="2026-03-09T00:00:00"/>
    <d v="2026-03-08T00:00:00"/>
    <x v="0"/>
    <x v="0"/>
    <s v="Produto top, recomendo!"/>
    <x v="936"/>
    <n v="8373.99"/>
    <x v="936"/>
    <x v="937"/>
    <x v="6"/>
    <x v="0"/>
  </r>
  <r>
    <x v="938"/>
    <n v="8"/>
    <x v="938"/>
    <x v="4"/>
    <x v="4"/>
    <x v="0"/>
    <n v="4673"/>
    <n v="1"/>
    <n v="247.44"/>
    <n v="435.21"/>
    <m/>
    <n v="0"/>
    <x v="2"/>
    <x v="887"/>
    <x v="10"/>
    <d v="2026-03-01T00:00:00"/>
    <d v="2026-03-07T00:00:00"/>
    <d v="2026-03-08T00:00:00"/>
    <x v="0"/>
    <x v="4"/>
    <s v="Atrasou e a caixa veio amassada."/>
    <x v="937"/>
    <n v="247.44"/>
    <x v="937"/>
    <x v="938"/>
    <x v="8"/>
    <x v="2"/>
  </r>
  <r>
    <x v="939"/>
    <n v="150"/>
    <x v="939"/>
    <x v="3"/>
    <x v="3"/>
    <x v="2"/>
    <n v="673"/>
    <n v="1"/>
    <n v="199.05"/>
    <n v="261.87"/>
    <m/>
    <n v="0"/>
    <x v="1"/>
    <x v="816"/>
    <x v="2"/>
    <d v="2026-03-01T00:00:00"/>
    <d v="2026-03-11T00:00:00"/>
    <d v="2026-03-07T00:00:00"/>
    <x v="0"/>
    <x v="0"/>
    <s v="Tudo certo, nota 10!"/>
    <x v="938"/>
    <n v="199.05"/>
    <x v="938"/>
    <x v="939"/>
    <x v="1"/>
    <x v="0"/>
  </r>
  <r>
    <x v="940"/>
    <n v="61"/>
    <x v="940"/>
    <x v="1"/>
    <x v="1"/>
    <x v="0"/>
    <n v="2589"/>
    <n v="2"/>
    <n v="644.22"/>
    <n v="921.23"/>
    <s v="PROMO10"/>
    <n v="0.1"/>
    <x v="3"/>
    <x v="469"/>
    <x v="7"/>
    <d v="2026-03-01T00:00:00"/>
    <d v="2026-03-06T00:00:00"/>
    <d v="2026-03-05T00:00:00"/>
    <x v="0"/>
    <x v="3"/>
    <s v="Superou minhas expectativas!"/>
    <x v="939"/>
    <n v="1288.44"/>
    <x v="939"/>
    <x v="940"/>
    <x v="6"/>
    <x v="0"/>
  </r>
  <r>
    <x v="941"/>
    <n v="82"/>
    <x v="941"/>
    <x v="11"/>
    <x v="11"/>
    <x v="2"/>
    <n v="258"/>
    <n v="2"/>
    <n v="49.33"/>
    <n v="115"/>
    <m/>
    <n v="0"/>
    <x v="2"/>
    <x v="888"/>
    <x v="7"/>
    <d v="2026-03-02T00:00:00"/>
    <d v="2026-03-08T00:00:00"/>
    <d v="2026-03-06T00:00:00"/>
    <x v="0"/>
    <x v="0"/>
    <s v="Qualidade impecável, voltarei a comprar."/>
    <x v="940"/>
    <n v="98.66"/>
    <x v="940"/>
    <x v="941"/>
    <x v="2"/>
    <x v="0"/>
  </r>
  <r>
    <x v="942"/>
    <n v="175"/>
    <x v="942"/>
    <x v="1"/>
    <x v="1"/>
    <x v="0"/>
    <n v="2375"/>
    <n v="1"/>
    <n v="846.51"/>
    <n v="1487.49"/>
    <m/>
    <n v="0"/>
    <x v="3"/>
    <x v="889"/>
    <x v="4"/>
    <d v="2026-03-03T00:00:00"/>
    <d v="2026-03-10T00:00:00"/>
    <d v="2026-03-08T00:00:00"/>
    <x v="0"/>
    <x v="0"/>
    <s v="Parabéns pela agilidade!"/>
    <x v="941"/>
    <n v="846.51"/>
    <x v="941"/>
    <x v="942"/>
    <x v="2"/>
    <x v="0"/>
  </r>
  <r>
    <x v="943"/>
    <n v="48"/>
    <x v="943"/>
    <x v="9"/>
    <x v="9"/>
    <x v="1"/>
    <n v="0"/>
    <n v="2"/>
    <n v="54.99"/>
    <n v="140.91"/>
    <s v="OFF20"/>
    <n v="0.2"/>
    <x v="1"/>
    <x v="890"/>
    <x v="13"/>
    <d v="2026-03-03T00:00:00"/>
    <d v="2026-03-09T00:00:00"/>
    <d v="2026-03-08T00:00:00"/>
    <x v="0"/>
    <x v="3"/>
    <s v="Entrega no prazo e produto conforme descrito."/>
    <x v="942"/>
    <n v="109.98"/>
    <x v="942"/>
    <x v="943"/>
    <x v="6"/>
    <x v="0"/>
  </r>
  <r>
    <x v="944"/>
    <n v="42"/>
    <x v="944"/>
    <x v="12"/>
    <x v="12"/>
    <x v="2"/>
    <n v="564"/>
    <n v="1"/>
    <n v="25.97"/>
    <n v="98.04"/>
    <m/>
    <n v="0"/>
    <x v="0"/>
    <x v="891"/>
    <x v="5"/>
    <d v="2026-03-02T00:00:00"/>
    <d v="2026-03-08T00:00:00"/>
    <m/>
    <x v="1"/>
    <x v="2"/>
    <s v="Nunca mais compro aqui."/>
    <x v="943"/>
    <n v="25.97"/>
    <x v="943"/>
    <x v="944"/>
    <x v="3"/>
    <x v="1"/>
  </r>
  <r>
    <x v="945"/>
    <n v="194"/>
    <x v="945"/>
    <x v="18"/>
    <x v="18"/>
    <x v="0"/>
    <n v="2892"/>
    <n v="1"/>
    <n v="571.52"/>
    <n v="907.01"/>
    <s v="PROMO10"/>
    <n v="0.1"/>
    <x v="3"/>
    <x v="758"/>
    <x v="1"/>
    <d v="2026-03-03T00:00:00"/>
    <d v="2026-03-10T00:00:00"/>
    <d v="2026-03-07T00:00:00"/>
    <x v="0"/>
    <x v="3"/>
    <s v="Muito bom, sem reclamações."/>
    <x v="944"/>
    <n v="571.52"/>
    <x v="944"/>
    <x v="945"/>
    <x v="0"/>
    <x v="0"/>
  </r>
  <r>
    <x v="946"/>
    <n v="63"/>
    <x v="946"/>
    <x v="9"/>
    <x v="9"/>
    <x v="1"/>
    <n v="0"/>
    <n v="1"/>
    <n v="71.739999999999995"/>
    <n v="90.24"/>
    <s v="OFF20"/>
    <n v="0.2"/>
    <x v="3"/>
    <x v="892"/>
    <x v="5"/>
    <d v="2026-03-03T00:00:00"/>
    <d v="2026-03-12T00:00:00"/>
    <d v="2026-03-05T00:00:00"/>
    <x v="0"/>
    <x v="3"/>
    <s v="Muito bom, sem reclamações."/>
    <x v="945"/>
    <n v="71.739999999999995"/>
    <x v="945"/>
    <x v="946"/>
    <x v="9"/>
    <x v="0"/>
  </r>
  <r>
    <x v="947"/>
    <n v="40"/>
    <x v="947"/>
    <x v="8"/>
    <x v="8"/>
    <x v="1"/>
    <n v="0"/>
    <n v="1"/>
    <n v="66.39"/>
    <n v="154.88999999999999"/>
    <m/>
    <n v="0"/>
    <x v="0"/>
    <x v="893"/>
    <x v="14"/>
    <d v="2026-03-04T00:00:00"/>
    <d v="2026-03-10T00:00:00"/>
    <d v="2026-03-09T00:00:00"/>
    <x v="0"/>
    <x v="3"/>
    <s v="Tudo certo, nota 10!"/>
    <x v="946"/>
    <n v="66.39"/>
    <x v="946"/>
    <x v="947"/>
    <x v="6"/>
    <x v="0"/>
  </r>
  <r>
    <x v="948"/>
    <n v="139"/>
    <x v="948"/>
    <x v="1"/>
    <x v="1"/>
    <x v="0"/>
    <n v="2461"/>
    <n v="1"/>
    <n v="787.18"/>
    <n v="1174.47"/>
    <m/>
    <n v="0"/>
    <x v="3"/>
    <x v="894"/>
    <x v="7"/>
    <d v="2026-03-04T00:00:00"/>
    <d v="2026-03-10T00:00:00"/>
    <d v="2026-03-09T00:00:00"/>
    <x v="0"/>
    <x v="3"/>
    <s v="Produto top, recomendo!"/>
    <x v="947"/>
    <n v="787.18"/>
    <x v="947"/>
    <x v="948"/>
    <x v="6"/>
    <x v="0"/>
  </r>
  <r>
    <x v="949"/>
    <n v="120"/>
    <x v="949"/>
    <x v="11"/>
    <x v="11"/>
    <x v="2"/>
    <n v="227"/>
    <n v="3"/>
    <n v="25.23"/>
    <n v="113.91"/>
    <s v="PROMO10"/>
    <n v="0.1"/>
    <x v="3"/>
    <x v="895"/>
    <x v="1"/>
    <d v="2026-03-04T00:00:00"/>
    <d v="2026-03-11T00:00:00"/>
    <d v="2026-03-07T00:00:00"/>
    <x v="0"/>
    <x v="0"/>
    <s v="Qualidade impecável, voltarei a comprar."/>
    <x v="948"/>
    <n v="75.69"/>
    <x v="948"/>
    <x v="949"/>
    <x v="1"/>
    <x v="0"/>
  </r>
  <r>
    <x v="950"/>
    <n v="40"/>
    <x v="950"/>
    <x v="18"/>
    <x v="18"/>
    <x v="0"/>
    <n v="3314"/>
    <n v="3"/>
    <n v="559.62"/>
    <n v="716.37"/>
    <m/>
    <n v="0"/>
    <x v="2"/>
    <x v="896"/>
    <x v="2"/>
    <d v="2026-03-05T00:00:00"/>
    <d v="2026-03-14T00:00:00"/>
    <d v="2026-03-14T00:00:00"/>
    <x v="0"/>
    <x v="0"/>
    <s v="Parabéns pela agilidade!"/>
    <x v="949"/>
    <n v="1678.86"/>
    <x v="949"/>
    <x v="950"/>
    <x v="4"/>
    <x v="0"/>
  </r>
  <r>
    <x v="951"/>
    <n v="63"/>
    <x v="951"/>
    <x v="21"/>
    <x v="21"/>
    <x v="3"/>
    <n v="0"/>
    <n v="3"/>
    <n v="219.06"/>
    <n v="514.76"/>
    <s v="PROMO10"/>
    <n v="0.1"/>
    <x v="3"/>
    <x v="315"/>
    <x v="2"/>
    <d v="2026-03-05T00:00:00"/>
    <d v="2026-03-14T00:00:00"/>
    <d v="2026-03-11T00:00:00"/>
    <x v="0"/>
    <x v="0"/>
    <s v="Embalagem perfeita, produto intacto."/>
    <x v="950"/>
    <n v="657.18000000000006"/>
    <x v="950"/>
    <x v="951"/>
    <x v="0"/>
    <x v="0"/>
  </r>
  <r>
    <x v="952"/>
    <n v="26"/>
    <x v="952"/>
    <x v="17"/>
    <x v="17"/>
    <x v="2"/>
    <n v="335"/>
    <n v="3"/>
    <n v="67.69"/>
    <n v="127.43"/>
    <m/>
    <n v="0"/>
    <x v="1"/>
    <x v="897"/>
    <x v="7"/>
    <d v="2026-03-05T00:00:00"/>
    <d v="2026-03-13T00:00:00"/>
    <d v="2026-03-12T00:00:00"/>
    <x v="0"/>
    <x v="0"/>
    <s v="Ótimo custo-benefício!"/>
    <x v="951"/>
    <n v="203.07"/>
    <x v="951"/>
    <x v="952"/>
    <x v="6"/>
    <x v="0"/>
  </r>
  <r>
    <x v="953"/>
    <n v="106"/>
    <x v="953"/>
    <x v="11"/>
    <x v="11"/>
    <x v="2"/>
    <n v="220"/>
    <n v="3"/>
    <n v="58.89"/>
    <n v="80.42"/>
    <s v="OFF20"/>
    <n v="0.2"/>
    <x v="2"/>
    <x v="898"/>
    <x v="2"/>
    <d v="2026-03-05T00:00:00"/>
    <d v="2026-03-13T00:00:00"/>
    <d v="2026-03-09T00:00:00"/>
    <x v="0"/>
    <x v="0"/>
    <s v="Excelente atendimento e entrega."/>
    <x v="952"/>
    <n v="176.67"/>
    <x v="952"/>
    <x v="953"/>
    <x v="1"/>
    <x v="0"/>
  </r>
  <r>
    <x v="954"/>
    <n v="130"/>
    <x v="954"/>
    <x v="11"/>
    <x v="11"/>
    <x v="2"/>
    <n v="214"/>
    <n v="2"/>
    <n v="27.43"/>
    <n v="95.35"/>
    <m/>
    <n v="0"/>
    <x v="2"/>
    <x v="899"/>
    <x v="2"/>
    <d v="2026-03-06T00:00:00"/>
    <d v="2026-03-16T00:00:00"/>
    <d v="2026-03-12T00:00:00"/>
    <x v="0"/>
    <x v="3"/>
    <s v="Parabéns pela agilidade!"/>
    <x v="953"/>
    <n v="54.86"/>
    <x v="953"/>
    <x v="954"/>
    <x v="1"/>
    <x v="0"/>
  </r>
  <r>
    <x v="955"/>
    <n v="125"/>
    <x v="955"/>
    <x v="5"/>
    <x v="5"/>
    <x v="2"/>
    <n v="277"/>
    <n v="1"/>
    <n v="33.840000000000003"/>
    <n v="110.58"/>
    <m/>
    <n v="0"/>
    <x v="0"/>
    <x v="900"/>
    <x v="4"/>
    <d v="2026-03-06T00:00:00"/>
    <d v="2026-03-15T00:00:00"/>
    <d v="2026-03-14T00:00:00"/>
    <x v="0"/>
    <x v="0"/>
    <s v="Produto top, recomendo!"/>
    <x v="954"/>
    <n v="33.840000000000003"/>
    <x v="954"/>
    <x v="955"/>
    <x v="6"/>
    <x v="0"/>
  </r>
  <r>
    <x v="956"/>
    <n v="56"/>
    <x v="956"/>
    <x v="2"/>
    <x v="2"/>
    <x v="1"/>
    <n v="0"/>
    <n v="2"/>
    <n v="21.57"/>
    <n v="141.93"/>
    <m/>
    <n v="0"/>
    <x v="1"/>
    <x v="901"/>
    <x v="4"/>
    <d v="2026-03-06T00:00:00"/>
    <d v="2026-03-16T00:00:00"/>
    <d v="2026-03-14T00:00:00"/>
    <x v="0"/>
    <x v="3"/>
    <s v="Chegou antes do prazo, excelente!"/>
    <x v="955"/>
    <n v="43.14"/>
    <x v="955"/>
    <x v="956"/>
    <x v="2"/>
    <x v="0"/>
  </r>
  <r>
    <x v="957"/>
    <n v="37"/>
    <x v="957"/>
    <x v="8"/>
    <x v="8"/>
    <x v="1"/>
    <n v="0"/>
    <n v="2"/>
    <n v="39.869999999999997"/>
    <n v="98.46"/>
    <s v="PROMO10"/>
    <n v="0.1"/>
    <x v="3"/>
    <x v="902"/>
    <x v="2"/>
    <d v="2026-03-06T00:00:00"/>
    <d v="2026-03-12T00:00:00"/>
    <m/>
    <x v="1"/>
    <x v="3"/>
    <s v="Entrega rápida, muito satisfeito!"/>
    <x v="956"/>
    <n v="79.739999999999995"/>
    <x v="956"/>
    <x v="957"/>
    <x v="3"/>
    <x v="1"/>
  </r>
  <r>
    <x v="958"/>
    <n v="123"/>
    <x v="958"/>
    <x v="9"/>
    <x v="9"/>
    <x v="1"/>
    <n v="0"/>
    <n v="2"/>
    <n v="61.97"/>
    <n v="193.49"/>
    <m/>
    <n v="0"/>
    <x v="2"/>
    <x v="903"/>
    <x v="6"/>
    <d v="2026-03-06T00:00:00"/>
    <d v="2026-03-11T00:00:00"/>
    <d v="2026-03-09T00:00:00"/>
    <x v="0"/>
    <x v="0"/>
    <s v="Ótimo custo-benefício!"/>
    <x v="957"/>
    <n v="123.94"/>
    <x v="957"/>
    <x v="958"/>
    <x v="2"/>
    <x v="0"/>
  </r>
  <r>
    <x v="959"/>
    <n v="82"/>
    <x v="959"/>
    <x v="1"/>
    <x v="1"/>
    <x v="0"/>
    <n v="2762"/>
    <n v="1"/>
    <n v="784.93"/>
    <n v="1320.91"/>
    <m/>
    <n v="0"/>
    <x v="2"/>
    <x v="904"/>
    <x v="4"/>
    <d v="2026-03-07T00:00:00"/>
    <d v="2026-03-14T00:00:00"/>
    <m/>
    <x v="1"/>
    <x v="1"/>
    <s v="Produto bom, mas o frete foi caro."/>
    <x v="958"/>
    <n v="784.93"/>
    <x v="958"/>
    <x v="959"/>
    <x v="3"/>
    <x v="1"/>
  </r>
  <r>
    <x v="960"/>
    <n v="44"/>
    <x v="960"/>
    <x v="7"/>
    <x v="7"/>
    <x v="0"/>
    <n v="2686"/>
    <n v="1"/>
    <n v="2588.71"/>
    <n v="4609.79"/>
    <s v="PROMO10"/>
    <n v="0.1"/>
    <x v="0"/>
    <x v="905"/>
    <x v="8"/>
    <d v="2026-03-09T00:00:00"/>
    <d v="2026-03-17T00:00:00"/>
    <d v="2026-03-14T00:00:00"/>
    <x v="0"/>
    <x v="0"/>
    <s v="Parabéns pela agilidade!"/>
    <x v="959"/>
    <n v="2588.71"/>
    <x v="959"/>
    <x v="960"/>
    <x v="0"/>
    <x v="0"/>
  </r>
  <r>
    <x v="961"/>
    <n v="69"/>
    <x v="961"/>
    <x v="21"/>
    <x v="21"/>
    <x v="3"/>
    <n v="0"/>
    <n v="2"/>
    <n v="320.89"/>
    <n v="590.38"/>
    <m/>
    <n v="0"/>
    <x v="0"/>
    <x v="906"/>
    <x v="2"/>
    <d v="2026-03-08T00:00:00"/>
    <d v="2026-03-16T00:00:00"/>
    <d v="2026-03-13T00:00:00"/>
    <x v="0"/>
    <x v="3"/>
    <s v="Excelente atendimento e entrega."/>
    <x v="960"/>
    <n v="641.78"/>
    <x v="960"/>
    <x v="961"/>
    <x v="0"/>
    <x v="0"/>
  </r>
  <r>
    <x v="962"/>
    <n v="124"/>
    <x v="962"/>
    <x v="0"/>
    <x v="0"/>
    <x v="0"/>
    <n v="2378"/>
    <n v="2"/>
    <n v="2293.48"/>
    <n v="2868.7"/>
    <m/>
    <n v="0"/>
    <x v="0"/>
    <x v="907"/>
    <x v="1"/>
    <d v="2026-03-10T00:00:00"/>
    <d v="2026-03-20T00:00:00"/>
    <d v="2026-03-16T00:00:00"/>
    <x v="0"/>
    <x v="0"/>
    <s v="Produto original, vendedor confiável."/>
    <x v="961"/>
    <n v="4586.96"/>
    <x v="961"/>
    <x v="962"/>
    <x v="1"/>
    <x v="0"/>
  </r>
  <r>
    <x v="963"/>
    <n v="133"/>
    <x v="963"/>
    <x v="4"/>
    <x v="4"/>
    <x v="0"/>
    <n v="4757"/>
    <n v="3"/>
    <n v="431.99"/>
    <n v="695.39"/>
    <s v="PROMO10"/>
    <n v="0.1"/>
    <x v="3"/>
    <x v="908"/>
    <x v="11"/>
    <d v="2026-03-10T00:00:00"/>
    <d v="2026-03-15T00:00:00"/>
    <m/>
    <x v="1"/>
    <x v="2"/>
    <s v="Muito atraso na entrega."/>
    <x v="962"/>
    <n v="1295.97"/>
    <x v="962"/>
    <x v="963"/>
    <x v="3"/>
    <x v="1"/>
  </r>
  <r>
    <x v="964"/>
    <n v="157"/>
    <x v="964"/>
    <x v="15"/>
    <x v="15"/>
    <x v="3"/>
    <n v="0"/>
    <n v="1"/>
    <n v="434.42"/>
    <n v="725.18"/>
    <s v="PROMO10"/>
    <n v="0.1"/>
    <x v="3"/>
    <x v="909"/>
    <x v="2"/>
    <d v="2026-03-11T00:00:00"/>
    <d v="2026-03-17T00:00:00"/>
    <d v="2026-03-15T00:00:00"/>
    <x v="0"/>
    <x v="3"/>
    <s v="Ótimo custo-benefício!"/>
    <x v="963"/>
    <n v="434.42"/>
    <x v="963"/>
    <x v="964"/>
    <x v="2"/>
    <x v="0"/>
  </r>
  <r>
    <x v="965"/>
    <n v="158"/>
    <x v="965"/>
    <x v="21"/>
    <x v="21"/>
    <x v="3"/>
    <n v="0"/>
    <n v="3"/>
    <n v="274.08"/>
    <n v="536.66999999999996"/>
    <m/>
    <n v="0"/>
    <x v="1"/>
    <x v="910"/>
    <x v="1"/>
    <d v="2026-03-12T00:00:00"/>
    <d v="2026-03-22T00:00:00"/>
    <m/>
    <x v="1"/>
    <x v="3"/>
    <s v="Produto original, vendedor confiável."/>
    <x v="964"/>
    <n v="822.24"/>
    <x v="964"/>
    <x v="965"/>
    <x v="3"/>
    <x v="1"/>
  </r>
  <r>
    <x v="966"/>
    <n v="61"/>
    <x v="966"/>
    <x v="6"/>
    <x v="6"/>
    <x v="2"/>
    <n v="331"/>
    <n v="1"/>
    <n v="34.520000000000003"/>
    <n v="128.84"/>
    <s v="OFF20"/>
    <n v="0.2"/>
    <x v="1"/>
    <x v="911"/>
    <x v="13"/>
    <d v="2026-03-11T00:00:00"/>
    <d v="2026-03-17T00:00:00"/>
    <d v="2026-03-21T00:00:00"/>
    <x v="0"/>
    <x v="2"/>
    <s v="Veio errado, tive que devolver."/>
    <x v="965"/>
    <n v="34.520000000000003"/>
    <x v="965"/>
    <x v="966"/>
    <x v="7"/>
    <x v="2"/>
  </r>
  <r>
    <x v="967"/>
    <n v="118"/>
    <x v="967"/>
    <x v="0"/>
    <x v="0"/>
    <x v="0"/>
    <n v="2367"/>
    <n v="2"/>
    <n v="2290.13"/>
    <n v="3168.3"/>
    <m/>
    <n v="0"/>
    <x v="3"/>
    <x v="912"/>
    <x v="2"/>
    <d v="2026-03-11T00:00:00"/>
    <d v="2026-03-21T00:00:00"/>
    <d v="2026-03-21T00:00:00"/>
    <x v="0"/>
    <x v="3"/>
    <s v="Produto top, recomendo!"/>
    <x v="966"/>
    <n v="4580.26"/>
    <x v="966"/>
    <x v="967"/>
    <x v="4"/>
    <x v="0"/>
  </r>
  <r>
    <x v="968"/>
    <n v="123"/>
    <x v="968"/>
    <x v="12"/>
    <x v="12"/>
    <x v="2"/>
    <n v="393"/>
    <n v="3"/>
    <n v="33.56"/>
    <n v="76.17"/>
    <m/>
    <n v="0"/>
    <x v="2"/>
    <x v="913"/>
    <x v="12"/>
    <d v="2026-03-12T00:00:00"/>
    <d v="2026-03-22T00:00:00"/>
    <d v="2026-03-22T00:00:00"/>
    <x v="0"/>
    <x v="0"/>
    <s v="Tudo certo, nota 10!"/>
    <x v="967"/>
    <n v="100.68"/>
    <x v="967"/>
    <x v="968"/>
    <x v="4"/>
    <x v="0"/>
  </r>
  <r>
    <x v="969"/>
    <n v="196"/>
    <x v="969"/>
    <x v="6"/>
    <x v="6"/>
    <x v="2"/>
    <n v="337"/>
    <n v="2"/>
    <n v="35.22"/>
    <n v="57.83"/>
    <m/>
    <n v="0"/>
    <x v="1"/>
    <x v="914"/>
    <x v="1"/>
    <d v="2026-03-13T00:00:00"/>
    <d v="2026-03-21T00:00:00"/>
    <d v="2026-03-19T00:00:00"/>
    <x v="0"/>
    <x v="3"/>
    <s v="Parabéns pela agilidade!"/>
    <x v="968"/>
    <n v="70.44"/>
    <x v="968"/>
    <x v="969"/>
    <x v="2"/>
    <x v="0"/>
  </r>
  <r>
    <x v="970"/>
    <n v="113"/>
    <x v="970"/>
    <x v="18"/>
    <x v="18"/>
    <x v="0"/>
    <n v="2891"/>
    <n v="2"/>
    <n v="388.23"/>
    <n v="884.15"/>
    <m/>
    <n v="0"/>
    <x v="0"/>
    <x v="915"/>
    <x v="1"/>
    <d v="2026-03-13T00:00:00"/>
    <d v="2026-03-23T00:00:00"/>
    <d v="2026-03-15T00:00:00"/>
    <x v="0"/>
    <x v="0"/>
    <s v="Entrega no prazo e produto conforme descrito."/>
    <x v="969"/>
    <n v="776.46"/>
    <x v="969"/>
    <x v="970"/>
    <x v="13"/>
    <x v="0"/>
  </r>
  <r>
    <x v="971"/>
    <n v="38"/>
    <x v="971"/>
    <x v="7"/>
    <x v="7"/>
    <x v="0"/>
    <n v="2525"/>
    <n v="3"/>
    <n v="2356.63"/>
    <n v="4736.76"/>
    <m/>
    <n v="0"/>
    <x v="3"/>
    <x v="916"/>
    <x v="5"/>
    <d v="2026-03-13T00:00:00"/>
    <d v="2026-03-20T00:00:00"/>
    <d v="2026-03-16T00:00:00"/>
    <x v="0"/>
    <x v="0"/>
    <s v="Parabéns pela agilidade!"/>
    <x v="970"/>
    <n v="7069.89"/>
    <x v="970"/>
    <x v="971"/>
    <x v="1"/>
    <x v="0"/>
  </r>
  <r>
    <x v="972"/>
    <n v="30"/>
    <x v="972"/>
    <x v="0"/>
    <x v="0"/>
    <x v="0"/>
    <n v="2513"/>
    <n v="1"/>
    <n v="2442.16"/>
    <n v="3810.85"/>
    <m/>
    <n v="0"/>
    <x v="2"/>
    <x v="917"/>
    <x v="13"/>
    <d v="2026-03-13T00:00:00"/>
    <d v="2026-03-22T00:00:00"/>
    <d v="2026-03-16T00:00:00"/>
    <x v="0"/>
    <x v="3"/>
    <s v="Excelente atendimento e entrega."/>
    <x v="971"/>
    <n v="2442.16"/>
    <x v="971"/>
    <x v="972"/>
    <x v="12"/>
    <x v="0"/>
  </r>
  <r>
    <x v="973"/>
    <n v="151"/>
    <x v="973"/>
    <x v="1"/>
    <x v="1"/>
    <x v="0"/>
    <n v="2548"/>
    <n v="2"/>
    <n v="550.49"/>
    <n v="1314.46"/>
    <m/>
    <n v="0"/>
    <x v="3"/>
    <x v="918"/>
    <x v="4"/>
    <d v="2026-03-14T00:00:00"/>
    <d v="2026-03-23T00:00:00"/>
    <d v="2026-03-19T00:00:00"/>
    <x v="0"/>
    <x v="3"/>
    <s v="Qualidade impecável, voltarei a comprar."/>
    <x v="972"/>
    <n v="1100.98"/>
    <x v="972"/>
    <x v="973"/>
    <x v="1"/>
    <x v="0"/>
  </r>
  <r>
    <x v="974"/>
    <n v="132"/>
    <x v="974"/>
    <x v="7"/>
    <x v="7"/>
    <x v="0"/>
    <n v="2891"/>
    <n v="2"/>
    <n v="2525.7800000000002"/>
    <n v="4163.26"/>
    <m/>
    <n v="0"/>
    <x v="1"/>
    <x v="919"/>
    <x v="2"/>
    <d v="2026-03-14T00:00:00"/>
    <d v="2026-03-19T00:00:00"/>
    <d v="2026-03-19T00:00:00"/>
    <x v="0"/>
    <x v="3"/>
    <s v="Frete rápido, adorei!"/>
    <x v="973"/>
    <n v="5051.5600000000004"/>
    <x v="973"/>
    <x v="974"/>
    <x v="4"/>
    <x v="0"/>
  </r>
  <r>
    <x v="975"/>
    <n v="199"/>
    <x v="975"/>
    <x v="7"/>
    <x v="7"/>
    <x v="0"/>
    <n v="2936"/>
    <n v="2"/>
    <n v="2526.69"/>
    <n v="3878.74"/>
    <m/>
    <n v="0"/>
    <x v="2"/>
    <x v="920"/>
    <x v="7"/>
    <d v="2026-03-14T00:00:00"/>
    <d v="2026-03-23T00:00:00"/>
    <d v="2026-03-16T00:00:00"/>
    <x v="0"/>
    <x v="0"/>
    <s v="Parabéns pela agilidade!"/>
    <x v="974"/>
    <n v="5053.38"/>
    <x v="974"/>
    <x v="975"/>
    <x v="9"/>
    <x v="0"/>
  </r>
  <r>
    <x v="976"/>
    <n v="166"/>
    <x v="976"/>
    <x v="20"/>
    <x v="20"/>
    <x v="3"/>
    <n v="0"/>
    <n v="2"/>
    <n v="268.31"/>
    <n v="433.36"/>
    <s v="PROMO10"/>
    <n v="0.1"/>
    <x v="2"/>
    <x v="921"/>
    <x v="9"/>
    <d v="2026-03-15T00:00:00"/>
    <d v="2026-03-20T00:00:00"/>
    <m/>
    <x v="1"/>
    <x v="3"/>
    <s v="Superou minhas expectativas!"/>
    <x v="975"/>
    <n v="536.62"/>
    <x v="975"/>
    <x v="976"/>
    <x v="3"/>
    <x v="1"/>
  </r>
  <r>
    <x v="977"/>
    <n v="116"/>
    <x v="977"/>
    <x v="15"/>
    <x v="15"/>
    <x v="3"/>
    <n v="0"/>
    <n v="1"/>
    <n v="389.63"/>
    <n v="607.73"/>
    <m/>
    <n v="0"/>
    <x v="0"/>
    <x v="922"/>
    <x v="5"/>
    <d v="2026-03-16T00:00:00"/>
    <d v="2026-03-21T00:00:00"/>
    <d v="2026-03-20T00:00:00"/>
    <x v="0"/>
    <x v="3"/>
    <s v="Chegou antes do prazo, excelente!"/>
    <x v="976"/>
    <n v="389.63"/>
    <x v="976"/>
    <x v="977"/>
    <x v="6"/>
    <x v="0"/>
  </r>
  <r>
    <x v="978"/>
    <n v="97"/>
    <x v="978"/>
    <x v="7"/>
    <x v="7"/>
    <x v="0"/>
    <n v="2616"/>
    <n v="3"/>
    <n v="2736.55"/>
    <n v="3924.55"/>
    <m/>
    <n v="0"/>
    <x v="2"/>
    <x v="923"/>
    <x v="2"/>
    <d v="2026-03-16T00:00:00"/>
    <d v="2026-03-21T00:00:00"/>
    <d v="2026-03-21T00:00:00"/>
    <x v="0"/>
    <x v="3"/>
    <s v="Chegou antes do prazo, excelente!"/>
    <x v="977"/>
    <n v="8209.6500000000015"/>
    <x v="977"/>
    <x v="978"/>
    <x v="4"/>
    <x v="0"/>
  </r>
  <r>
    <x v="979"/>
    <n v="85"/>
    <x v="979"/>
    <x v="15"/>
    <x v="15"/>
    <x v="3"/>
    <n v="0"/>
    <n v="1"/>
    <n v="340.15"/>
    <n v="670.74"/>
    <m/>
    <n v="0"/>
    <x v="3"/>
    <x v="924"/>
    <x v="1"/>
    <d v="2026-03-17T00:00:00"/>
    <d v="2026-03-25T00:00:00"/>
    <m/>
    <x v="3"/>
    <x v="2"/>
    <s v="Produto extraviado, tive que abrir reclamação."/>
    <x v="978"/>
    <n v="340.15"/>
    <x v="978"/>
    <x v="979"/>
    <x v="3"/>
    <x v="1"/>
  </r>
  <r>
    <x v="980"/>
    <n v="90"/>
    <x v="980"/>
    <x v="17"/>
    <x v="17"/>
    <x v="2"/>
    <n v="403"/>
    <n v="1"/>
    <n v="117.51"/>
    <n v="149.29"/>
    <s v="OFF20"/>
    <n v="0.2"/>
    <x v="1"/>
    <x v="925"/>
    <x v="8"/>
    <d v="2026-03-17T00:00:00"/>
    <d v="2026-03-22T00:00:00"/>
    <d v="2026-03-20T00:00:00"/>
    <x v="0"/>
    <x v="0"/>
    <s v="Excelente atendimento e entrega."/>
    <x v="979"/>
    <n v="117.51"/>
    <x v="979"/>
    <x v="980"/>
    <x v="2"/>
    <x v="0"/>
  </r>
  <r>
    <x v="981"/>
    <n v="89"/>
    <x v="981"/>
    <x v="12"/>
    <x v="12"/>
    <x v="2"/>
    <n v="516"/>
    <n v="2"/>
    <n v="25.19"/>
    <n v="91.22"/>
    <s v="PROMO10"/>
    <n v="0.1"/>
    <x v="3"/>
    <x v="926"/>
    <x v="4"/>
    <d v="2026-03-18T00:00:00"/>
    <d v="2026-03-28T00:00:00"/>
    <d v="2026-03-21T00:00:00"/>
    <x v="0"/>
    <x v="3"/>
    <s v="Chegou antes do prazo, excelente!"/>
    <x v="980"/>
    <n v="50.38"/>
    <x v="980"/>
    <x v="981"/>
    <x v="9"/>
    <x v="0"/>
  </r>
  <r>
    <x v="982"/>
    <n v="150"/>
    <x v="982"/>
    <x v="1"/>
    <x v="1"/>
    <x v="0"/>
    <n v="2566"/>
    <n v="2"/>
    <n v="775.25"/>
    <n v="1101.8399999999999"/>
    <m/>
    <n v="0"/>
    <x v="3"/>
    <x v="927"/>
    <x v="2"/>
    <d v="2026-03-19T00:00:00"/>
    <d v="2026-03-24T00:00:00"/>
    <d v="2026-03-21T00:00:00"/>
    <x v="0"/>
    <x v="0"/>
    <s v="Qualidade impecável, voltarei a comprar."/>
    <x v="981"/>
    <n v="1550.5"/>
    <x v="981"/>
    <x v="982"/>
    <x v="0"/>
    <x v="0"/>
  </r>
  <r>
    <x v="983"/>
    <n v="152"/>
    <x v="983"/>
    <x v="13"/>
    <x v="13"/>
    <x v="0"/>
    <n v="2092"/>
    <n v="3"/>
    <n v="385.65"/>
    <n v="565.59"/>
    <s v="OFF20"/>
    <n v="0.2"/>
    <x v="1"/>
    <x v="928"/>
    <x v="7"/>
    <d v="2026-03-21T00:00:00"/>
    <d v="2026-03-29T00:00:00"/>
    <d v="2026-04-01T00:00:00"/>
    <x v="0"/>
    <x v="4"/>
    <s v="Nunca mais compro aqui."/>
    <x v="982"/>
    <n v="1156.95"/>
    <x v="982"/>
    <x v="983"/>
    <x v="11"/>
    <x v="2"/>
  </r>
  <r>
    <x v="984"/>
    <n v="124"/>
    <x v="984"/>
    <x v="13"/>
    <x v="13"/>
    <x v="0"/>
    <n v="2099"/>
    <n v="3"/>
    <n v="260.94"/>
    <n v="511.26"/>
    <m/>
    <n v="0"/>
    <x v="2"/>
    <x v="929"/>
    <x v="2"/>
    <d v="2026-03-21T00:00:00"/>
    <d v="2026-03-31T00:00:00"/>
    <d v="2026-03-29T00:00:00"/>
    <x v="0"/>
    <x v="3"/>
    <s v="Parabéns pela agilidade!"/>
    <x v="983"/>
    <n v="782.81999999999994"/>
    <x v="983"/>
    <x v="984"/>
    <x v="2"/>
    <x v="0"/>
  </r>
  <r>
    <x v="985"/>
    <n v="18"/>
    <x v="985"/>
    <x v="11"/>
    <x v="11"/>
    <x v="2"/>
    <n v="243"/>
    <n v="2"/>
    <n v="32.17"/>
    <n v="110.43"/>
    <m/>
    <n v="0"/>
    <x v="2"/>
    <x v="389"/>
    <x v="1"/>
    <d v="2026-03-22T00:00:00"/>
    <d v="2026-03-30T00:00:00"/>
    <d v="2026-03-30T00:00:00"/>
    <x v="0"/>
    <x v="3"/>
    <s v="Tudo certo, nota 10!"/>
    <x v="984"/>
    <n v="64.34"/>
    <x v="984"/>
    <x v="985"/>
    <x v="4"/>
    <x v="0"/>
  </r>
  <r>
    <x v="986"/>
    <n v="26"/>
    <x v="986"/>
    <x v="10"/>
    <x v="10"/>
    <x v="2"/>
    <n v="239"/>
    <n v="2"/>
    <n v="98.85"/>
    <n v="155.99"/>
    <m/>
    <n v="0"/>
    <x v="1"/>
    <x v="930"/>
    <x v="4"/>
    <d v="2026-03-22T00:00:00"/>
    <d v="2026-03-30T00:00:00"/>
    <m/>
    <x v="1"/>
    <x v="2"/>
    <s v="Produto não era o que esperava."/>
    <x v="985"/>
    <n v="197.7"/>
    <x v="985"/>
    <x v="986"/>
    <x v="3"/>
    <x v="1"/>
  </r>
  <r>
    <x v="987"/>
    <n v="58"/>
    <x v="987"/>
    <x v="1"/>
    <x v="1"/>
    <x v="0"/>
    <n v="2296"/>
    <n v="3"/>
    <n v="565.83000000000004"/>
    <n v="1149.1300000000001"/>
    <m/>
    <n v="0"/>
    <x v="1"/>
    <x v="931"/>
    <x v="8"/>
    <d v="2026-03-21T00:00:00"/>
    <d v="2026-03-28T00:00:00"/>
    <d v="2026-03-24T00:00:00"/>
    <x v="0"/>
    <x v="3"/>
    <s v="Produto top, recomendo!"/>
    <x v="986"/>
    <n v="1697.49"/>
    <x v="986"/>
    <x v="987"/>
    <x v="1"/>
    <x v="0"/>
  </r>
  <r>
    <x v="988"/>
    <n v="48"/>
    <x v="988"/>
    <x v="1"/>
    <x v="1"/>
    <x v="0"/>
    <n v="2177"/>
    <n v="3"/>
    <n v="801.6"/>
    <n v="1403.66"/>
    <m/>
    <n v="0"/>
    <x v="3"/>
    <x v="932"/>
    <x v="13"/>
    <d v="2026-03-21T00:00:00"/>
    <d v="2026-03-26T00:00:00"/>
    <m/>
    <x v="1"/>
    <x v="1"/>
    <s v="Produto ok, mas a entrega atrasou um pouco."/>
    <x v="987"/>
    <n v="2404.8000000000002"/>
    <x v="987"/>
    <x v="988"/>
    <x v="3"/>
    <x v="1"/>
  </r>
  <r>
    <x v="989"/>
    <n v="91"/>
    <x v="989"/>
    <x v="0"/>
    <x v="0"/>
    <x v="0"/>
    <n v="2756"/>
    <n v="1"/>
    <n v="1699.1"/>
    <n v="3511.01"/>
    <m/>
    <n v="0"/>
    <x v="0"/>
    <x v="933"/>
    <x v="12"/>
    <d v="2026-03-22T00:00:00"/>
    <d v="2026-04-01T00:00:00"/>
    <m/>
    <x v="1"/>
    <x v="3"/>
    <s v="Qualidade impecável, voltarei a comprar."/>
    <x v="988"/>
    <n v="1699.1"/>
    <x v="988"/>
    <x v="989"/>
    <x v="3"/>
    <x v="1"/>
  </r>
  <r>
    <x v="990"/>
    <n v="169"/>
    <x v="990"/>
    <x v="19"/>
    <x v="19"/>
    <x v="0"/>
    <n v="4585"/>
    <n v="3"/>
    <n v="950.82"/>
    <n v="1951.89"/>
    <s v="PROMO10"/>
    <n v="0.1"/>
    <x v="1"/>
    <x v="934"/>
    <x v="8"/>
    <d v="2026-03-23T00:00:00"/>
    <d v="2026-04-02T00:00:00"/>
    <d v="2026-03-29T00:00:00"/>
    <x v="0"/>
    <x v="0"/>
    <s v="Produto original, vendedor confiável."/>
    <x v="989"/>
    <n v="2852.46"/>
    <x v="989"/>
    <x v="990"/>
    <x v="1"/>
    <x v="0"/>
  </r>
  <r>
    <x v="991"/>
    <n v="190"/>
    <x v="991"/>
    <x v="19"/>
    <x v="19"/>
    <x v="0"/>
    <n v="3787"/>
    <n v="2"/>
    <n v="980.05"/>
    <n v="1222.83"/>
    <m/>
    <n v="0"/>
    <x v="1"/>
    <x v="935"/>
    <x v="14"/>
    <d v="2026-03-23T00:00:00"/>
    <d v="2026-03-28T00:00:00"/>
    <d v="2026-03-25T00:00:00"/>
    <x v="0"/>
    <x v="3"/>
    <s v="Muito bom, sem reclamações."/>
    <x v="990"/>
    <n v="1960.1"/>
    <x v="990"/>
    <x v="991"/>
    <x v="0"/>
    <x v="0"/>
  </r>
  <r>
    <x v="992"/>
    <n v="62"/>
    <x v="992"/>
    <x v="22"/>
    <x v="22"/>
    <x v="3"/>
    <n v="0"/>
    <n v="3"/>
    <n v="482.22"/>
    <n v="578.83000000000004"/>
    <s v="OFF20"/>
    <n v="0.2"/>
    <x v="1"/>
    <x v="936"/>
    <x v="4"/>
    <d v="2026-03-23T00:00:00"/>
    <d v="2026-04-02T00:00:00"/>
    <m/>
    <x v="2"/>
    <x v="2"/>
    <s v="Produto extraviado, tive que abrir reclamação."/>
    <x v="991"/>
    <n v="1446.66"/>
    <x v="991"/>
    <x v="992"/>
    <x v="3"/>
    <x v="1"/>
  </r>
  <r>
    <x v="993"/>
    <n v="164"/>
    <x v="993"/>
    <x v="8"/>
    <x v="8"/>
    <x v="1"/>
    <n v="0"/>
    <n v="1"/>
    <n v="76.19"/>
    <n v="248.79"/>
    <s v="OFF20"/>
    <n v="0.2"/>
    <x v="0"/>
    <x v="937"/>
    <x v="1"/>
    <d v="2026-03-23T00:00:00"/>
    <d v="2026-03-28T00:00:00"/>
    <d v="2026-04-02T00:00:00"/>
    <x v="0"/>
    <x v="4"/>
    <s v="Pior experiência de compra online."/>
    <x v="992"/>
    <n v="76.19"/>
    <x v="992"/>
    <x v="993"/>
    <x v="10"/>
    <x v="2"/>
  </r>
  <r>
    <x v="994"/>
    <n v="1"/>
    <x v="994"/>
    <x v="5"/>
    <x v="5"/>
    <x v="2"/>
    <n v="267"/>
    <n v="2"/>
    <n v="36.82"/>
    <n v="119.15"/>
    <m/>
    <n v="0"/>
    <x v="2"/>
    <x v="938"/>
    <x v="6"/>
    <d v="2026-03-24T00:00:00"/>
    <d v="2026-04-03T00:00:00"/>
    <m/>
    <x v="2"/>
    <x v="2"/>
    <s v="Não recomendo, péssima experiência."/>
    <x v="993"/>
    <n v="73.64"/>
    <x v="993"/>
    <x v="994"/>
    <x v="3"/>
    <x v="1"/>
  </r>
  <r>
    <x v="995"/>
    <n v="157"/>
    <x v="995"/>
    <x v="9"/>
    <x v="9"/>
    <x v="1"/>
    <n v="0"/>
    <n v="3"/>
    <n v="61.74"/>
    <n v="178.96"/>
    <m/>
    <n v="0"/>
    <x v="2"/>
    <x v="939"/>
    <x v="10"/>
    <d v="2026-03-26T00:00:00"/>
    <d v="2026-03-31T00:00:00"/>
    <d v="2026-04-02T00:00:00"/>
    <x v="0"/>
    <x v="4"/>
    <s v="Produto chegou com defeito."/>
    <x v="994"/>
    <n v="185.22"/>
    <x v="994"/>
    <x v="995"/>
    <x v="14"/>
    <x v="2"/>
  </r>
  <r>
    <x v="996"/>
    <n v="181"/>
    <x v="996"/>
    <x v="19"/>
    <x v="19"/>
    <x v="0"/>
    <n v="4734"/>
    <n v="1"/>
    <n v="643.24"/>
    <n v="1981.07"/>
    <m/>
    <n v="0"/>
    <x v="1"/>
    <x v="940"/>
    <x v="7"/>
    <d v="2026-03-26T00:00:00"/>
    <d v="2026-04-05T00:00:00"/>
    <d v="2026-04-03T00:00:00"/>
    <x v="0"/>
    <x v="0"/>
    <s v="Excelente atendimento e entrega."/>
    <x v="995"/>
    <n v="643.24"/>
    <x v="995"/>
    <x v="996"/>
    <x v="2"/>
    <x v="0"/>
  </r>
  <r>
    <x v="997"/>
    <n v="52"/>
    <x v="997"/>
    <x v="6"/>
    <x v="6"/>
    <x v="2"/>
    <n v="307"/>
    <n v="1"/>
    <n v="39.21"/>
    <n v="87.25"/>
    <m/>
    <n v="0"/>
    <x v="2"/>
    <x v="941"/>
    <x v="2"/>
    <d v="2026-03-27T00:00:00"/>
    <d v="2026-04-03T00:00:00"/>
    <d v="2026-04-08T00:00:00"/>
    <x v="0"/>
    <x v="2"/>
    <s v="Nunca mais compro aqui."/>
    <x v="996"/>
    <n v="39.21"/>
    <x v="996"/>
    <x v="997"/>
    <x v="10"/>
    <x v="2"/>
  </r>
  <r>
    <x v="998"/>
    <n v="154"/>
    <x v="998"/>
    <x v="3"/>
    <x v="3"/>
    <x v="2"/>
    <n v="743"/>
    <n v="3"/>
    <n v="189.48"/>
    <n v="246.85"/>
    <s v="OFF20"/>
    <n v="0.2"/>
    <x v="2"/>
    <x v="942"/>
    <x v="10"/>
    <d v="2026-03-27T00:00:00"/>
    <d v="2026-04-03T00:00:00"/>
    <d v="2026-03-29T00:00:00"/>
    <x v="0"/>
    <x v="0"/>
    <s v="Entrega rápida, muito satisfeito!"/>
    <x v="997"/>
    <n v="568.43999999999994"/>
    <x v="997"/>
    <x v="998"/>
    <x v="5"/>
    <x v="0"/>
  </r>
  <r>
    <x v="999"/>
    <n v="104"/>
    <x v="999"/>
    <x v="0"/>
    <x v="0"/>
    <x v="0"/>
    <n v="2516"/>
    <n v="2"/>
    <n v="2199.66"/>
    <n v="3442.85"/>
    <m/>
    <n v="0"/>
    <x v="1"/>
    <x v="943"/>
    <x v="7"/>
    <d v="2026-03-27T00:00:00"/>
    <d v="2026-04-06T00:00:00"/>
    <d v="2026-03-30T00:00:00"/>
    <x v="0"/>
    <x v="0"/>
    <s v="Entrega no prazo e produto conforme descrito."/>
    <x v="998"/>
    <n v="4399.32"/>
    <x v="998"/>
    <x v="999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28B3A-D191-4D2F-A3C3-92D616831753}" name="Tabela dinâmica2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5">
  <location ref="A50:B55" firstHeaderRow="1" firstDataRow="1" firstDataCol="1"/>
  <pivotFields count="30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Pedidos" fld="0" subtotal="count" showDataAs="percentOfTotal" baseField="0" baseItem="0" numFmtId="10"/>
  </dataFields>
  <chartFormats count="13"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3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4" format="14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4" format="15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4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3D90B-8227-441D-98BC-82BDCC9E2253}" name="Tabela dinâmica1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9">
  <location ref="A66:C79" firstHeaderRow="0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dataField="1"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dataField="1"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Receita" fld="21" baseField="27" baseItem="1" numFmtId="165"/>
    <dataField name="Lucro Líquido" fld="23" baseField="27" baseItem="1" numFmtId="165"/>
  </dataFields>
  <chartFormats count="6">
    <chartFormat chart="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F9152-8BCB-4FD5-9ABC-45E22B63E7EA}" name="Tabela dinâmica18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0">
  <location ref="A4:D9" firstHeaderRow="0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dataField="1" numFmtId="165" showAll="0">
      <items count="945">
        <item x="308"/>
        <item x="668"/>
        <item x="729"/>
        <item x="546"/>
        <item x="312"/>
        <item x="216"/>
        <item x="25"/>
        <item x="370"/>
        <item x="421"/>
        <item x="300"/>
        <item x="10"/>
        <item x="689"/>
        <item x="200"/>
        <item x="861"/>
        <item x="738"/>
        <item x="207"/>
        <item x="502"/>
        <item x="860"/>
        <item x="165"/>
        <item x="719"/>
        <item x="74"/>
        <item x="528"/>
        <item x="122"/>
        <item x="823"/>
        <item x="939"/>
        <item x="880"/>
        <item x="279"/>
        <item x="408"/>
        <item x="735"/>
        <item x="854"/>
        <item x="778"/>
        <item x="283"/>
        <item x="441"/>
        <item x="124"/>
        <item x="175"/>
        <item x="893"/>
        <item x="164"/>
        <item x="380"/>
        <item x="81"/>
        <item x="544"/>
        <item x="864"/>
        <item x="121"/>
        <item x="872"/>
        <item x="450"/>
        <item x="870"/>
        <item x="662"/>
        <item x="471"/>
        <item x="512"/>
        <item x="342"/>
        <item x="922"/>
        <item x="612"/>
        <item x="41"/>
        <item x="437"/>
        <item x="140"/>
        <item x="687"/>
        <item x="275"/>
        <item x="66"/>
        <item x="263"/>
        <item x="526"/>
        <item x="924"/>
        <item x="188"/>
        <item x="65"/>
        <item x="9"/>
        <item x="751"/>
        <item x="153"/>
        <item x="937"/>
        <item x="846"/>
        <item x="345"/>
        <item x="488"/>
        <item x="706"/>
        <item x="661"/>
        <item x="680"/>
        <item x="567"/>
        <item x="463"/>
        <item x="636"/>
        <item x="315"/>
        <item x="522"/>
        <item x="824"/>
        <item x="766"/>
        <item x="338"/>
        <item x="726"/>
        <item x="390"/>
        <item x="499"/>
        <item x="19"/>
        <item x="825"/>
        <item x="456"/>
        <item x="429"/>
        <item x="80"/>
        <item x="478"/>
        <item x="547"/>
        <item x="288"/>
        <item x="465"/>
        <item x="151"/>
        <item x="525"/>
        <item x="171"/>
        <item x="431"/>
        <item x="571"/>
        <item x="921"/>
        <item x="457"/>
        <item x="690"/>
        <item x="555"/>
        <item x="906"/>
        <item x="523"/>
        <item x="417"/>
        <item x="805"/>
        <item x="467"/>
        <item x="901"/>
        <item x="712"/>
        <item x="791"/>
        <item x="639"/>
        <item x="12"/>
        <item x="109"/>
        <item x="229"/>
        <item x="717"/>
        <item x="618"/>
        <item x="725"/>
        <item x="459"/>
        <item x="586"/>
        <item x="611"/>
        <item x="340"/>
        <item x="890"/>
        <item x="11"/>
        <item x="235"/>
        <item x="744"/>
        <item x="850"/>
        <item x="362"/>
        <item x="817"/>
        <item x="187"/>
        <item x="537"/>
        <item x="892"/>
        <item x="98"/>
        <item x="339"/>
        <item x="578"/>
        <item x="548"/>
        <item x="61"/>
        <item x="206"/>
        <item x="570"/>
        <item x="353"/>
        <item x="409"/>
        <item x="865"/>
        <item x="790"/>
        <item x="403"/>
        <item x="936"/>
        <item x="280"/>
        <item x="580"/>
        <item x="646"/>
        <item x="82"/>
        <item x="85"/>
        <item x="147"/>
        <item x="108"/>
        <item x="26"/>
        <item x="261"/>
        <item x="491"/>
        <item x="15"/>
        <item x="656"/>
        <item x="128"/>
        <item x="705"/>
        <item x="42"/>
        <item x="652"/>
        <item x="718"/>
        <item x="167"/>
        <item x="52"/>
        <item x="93"/>
        <item x="258"/>
        <item x="290"/>
        <item x="695"/>
        <item x="803"/>
        <item x="291"/>
        <item x="282"/>
        <item x="55"/>
        <item x="69"/>
        <item x="326"/>
        <item x="903"/>
        <item x="72"/>
        <item x="694"/>
        <item x="352"/>
        <item x="884"/>
        <item x="27"/>
        <item x="189"/>
        <item x="361"/>
        <item x="529"/>
        <item x="209"/>
        <item x="89"/>
        <item x="675"/>
        <item x="363"/>
        <item x="368"/>
        <item x="262"/>
        <item x="676"/>
        <item x="116"/>
        <item x="354"/>
        <item x="123"/>
        <item x="448"/>
        <item x="774"/>
        <item x="389"/>
        <item x="562"/>
        <item x="335"/>
        <item x="245"/>
        <item x="22"/>
        <item x="79"/>
        <item x="47"/>
        <item x="355"/>
        <item x="215"/>
        <item x="713"/>
        <item x="324"/>
        <item x="747"/>
        <item x="584"/>
        <item x="3"/>
        <item x="30"/>
        <item x="704"/>
        <item x="351"/>
        <item x="32"/>
        <item x="885"/>
        <item x="87"/>
        <item x="221"/>
        <item x="909"/>
        <item x="780"/>
        <item x="278"/>
        <item x="213"/>
        <item x="568"/>
        <item x="49"/>
        <item x="497"/>
        <item x="348"/>
        <item x="218"/>
        <item x="664"/>
        <item x="671"/>
        <item x="739"/>
        <item x="902"/>
        <item x="57"/>
        <item x="651"/>
        <item x="60"/>
        <item x="505"/>
        <item x="177"/>
        <item x="247"/>
        <item x="289"/>
        <item x="801"/>
        <item x="48"/>
        <item x="416"/>
        <item x="855"/>
        <item x="845"/>
        <item x="816"/>
        <item x="742"/>
        <item x="859"/>
        <item x="303"/>
        <item x="97"/>
        <item x="107"/>
        <item x="941"/>
        <item x="775"/>
        <item x="619"/>
        <item x="232"/>
        <item x="498"/>
        <item x="753"/>
        <item x="857"/>
        <item x="552"/>
        <item x="462"/>
        <item x="246"/>
        <item x="553"/>
        <item x="549"/>
        <item x="253"/>
        <item x="367"/>
        <item x="856"/>
        <item x="198"/>
        <item x="433"/>
        <item x="556"/>
        <item x="895"/>
        <item x="545"/>
        <item x="264"/>
        <item x="653"/>
        <item x="685"/>
        <item x="202"/>
        <item x="306"/>
        <item x="272"/>
        <item x="223"/>
        <item x="414"/>
        <item x="293"/>
        <item x="532"/>
        <item x="557"/>
        <item x="281"/>
        <item x="881"/>
        <item x="111"/>
        <item x="452"/>
        <item x="542"/>
        <item x="2"/>
        <item x="267"/>
        <item x="769"/>
        <item x="224"/>
        <item x="254"/>
        <item x="569"/>
        <item x="454"/>
        <item x="602"/>
        <item x="910"/>
        <item x="307"/>
        <item x="720"/>
        <item x="319"/>
        <item x="768"/>
        <item x="440"/>
        <item x="166"/>
        <item x="56"/>
        <item x="806"/>
        <item x="473"/>
        <item x="330"/>
        <item x="40"/>
        <item x="152"/>
        <item x="344"/>
        <item x="826"/>
        <item x="102"/>
        <item x="402"/>
        <item x="677"/>
        <item x="412"/>
        <item x="878"/>
        <item x="620"/>
        <item x="477"/>
        <item x="332"/>
        <item x="212"/>
        <item x="410"/>
        <item x="508"/>
        <item x="518"/>
        <item x="86"/>
        <item x="811"/>
        <item x="500"/>
        <item x="692"/>
        <item x="691"/>
        <item x="470"/>
        <item x="446"/>
        <item x="360"/>
        <item x="741"/>
        <item x="614"/>
        <item x="392"/>
        <item x="257"/>
        <item x="50"/>
        <item x="137"/>
        <item x="45"/>
        <item x="866"/>
        <item x="581"/>
        <item x="193"/>
        <item x="373"/>
        <item x="683"/>
        <item x="208"/>
        <item x="394"/>
        <item x="419"/>
        <item x="585"/>
        <item x="697"/>
        <item x="114"/>
        <item x="99"/>
        <item x="787"/>
        <item x="443"/>
        <item x="59"/>
        <item x="589"/>
        <item x="533"/>
        <item x="822"/>
        <item x="161"/>
        <item x="259"/>
        <item x="731"/>
        <item x="337"/>
        <item x="930"/>
        <item x="754"/>
        <item x="606"/>
        <item x="316"/>
        <item x="708"/>
        <item x="877"/>
        <item x="483"/>
        <item x="550"/>
        <item x="268"/>
        <item x="541"/>
        <item x="835"/>
        <item x="750"/>
        <item x="914"/>
        <item x="809"/>
        <item x="868"/>
        <item x="810"/>
        <item x="126"/>
        <item x="761"/>
        <item x="633"/>
        <item x="789"/>
        <item x="310"/>
        <item x="888"/>
        <item x="284"/>
        <item x="727"/>
        <item x="911"/>
        <item x="592"/>
        <item x="785"/>
        <item x="684"/>
        <item x="800"/>
        <item x="132"/>
        <item x="54"/>
        <item x="771"/>
        <item x="182"/>
        <item x="118"/>
        <item x="382"/>
        <item x="325"/>
        <item x="364"/>
        <item x="20"/>
        <item x="700"/>
        <item x="772"/>
        <item x="481"/>
        <item x="358"/>
        <item x="106"/>
        <item x="711"/>
        <item x="302"/>
        <item x="476"/>
        <item x="379"/>
        <item x="270"/>
        <item x="323"/>
        <item x="472"/>
        <item x="833"/>
        <item x="913"/>
        <item x="926"/>
        <item x="597"/>
        <item x="44"/>
        <item x="798"/>
        <item x="96"/>
        <item x="94"/>
        <item x="710"/>
        <item x="251"/>
        <item x="77"/>
        <item x="900"/>
        <item x="442"/>
        <item x="563"/>
        <item x="757"/>
        <item x="788"/>
        <item x="942"/>
        <item x="501"/>
        <item x="883"/>
        <item x="174"/>
        <item x="299"/>
        <item x="201"/>
        <item x="359"/>
        <item x="635"/>
        <item x="371"/>
        <item x="699"/>
        <item x="31"/>
        <item x="730"/>
        <item x="160"/>
        <item x="851"/>
        <item x="438"/>
        <item x="173"/>
        <item x="520"/>
        <item x="468"/>
        <item x="186"/>
        <item x="600"/>
        <item x="404"/>
        <item x="703"/>
        <item x="875"/>
        <item x="925"/>
        <item x="333"/>
        <item x="645"/>
        <item x="179"/>
        <item x="249"/>
        <item x="842"/>
        <item x="5"/>
        <item x="831"/>
        <item x="625"/>
        <item x="862"/>
        <item x="346"/>
        <item x="168"/>
        <item x="792"/>
        <item x="723"/>
        <item x="474"/>
        <item x="760"/>
        <item x="210"/>
        <item x="644"/>
        <item x="482"/>
        <item x="400"/>
        <item x="938"/>
        <item x="225"/>
        <item x="617"/>
        <item x="510"/>
        <item x="95"/>
        <item x="286"/>
        <item x="64"/>
        <item x="627"/>
        <item x="828"/>
        <item x="530"/>
        <item x="494"/>
        <item x="655"/>
        <item x="91"/>
        <item x="487"/>
        <item x="891"/>
        <item x="628"/>
        <item x="391"/>
        <item x="226"/>
        <item x="610"/>
        <item x="762"/>
        <item x="6"/>
        <item x="113"/>
        <item x="309"/>
        <item x="603"/>
        <item x="311"/>
        <item x="575"/>
        <item x="83"/>
        <item x="105"/>
        <item x="464"/>
        <item x="432"/>
        <item x="447"/>
        <item x="607"/>
        <item x="701"/>
        <item x="737"/>
        <item x="898"/>
        <item x="634"/>
        <item x="573"/>
        <item x="519"/>
        <item x="722"/>
        <item x="33"/>
        <item x="436"/>
        <item x="13"/>
        <item x="863"/>
        <item x="632"/>
        <item x="736"/>
        <item x="642"/>
        <item x="764"/>
        <item x="103"/>
        <item x="238"/>
        <item x="170"/>
        <item x="657"/>
        <item x="658"/>
        <item x="184"/>
        <item x="559"/>
        <item x="133"/>
        <item x="378"/>
        <item x="648"/>
        <item x="372"/>
        <item x="853"/>
        <item x="92"/>
        <item x="564"/>
        <item x="88"/>
        <item x="28"/>
        <item x="301"/>
        <item x="511"/>
        <item x="637"/>
        <item x="591"/>
        <item x="314"/>
        <item x="509"/>
        <item x="285"/>
        <item x="328"/>
        <item x="756"/>
        <item x="211"/>
        <item x="343"/>
        <item x="365"/>
        <item x="418"/>
        <item x="897"/>
        <item x="802"/>
        <item x="932"/>
        <item x="341"/>
        <item x="638"/>
        <item x="899"/>
        <item x="623"/>
        <item x="434"/>
        <item x="396"/>
        <item x="484"/>
        <item x="876"/>
        <item x="203"/>
        <item x="554"/>
        <item x="843"/>
        <item x="383"/>
        <item x="58"/>
        <item x="154"/>
        <item x="495"/>
        <item x="424"/>
        <item x="531"/>
        <item x="844"/>
        <item x="715"/>
        <item x="734"/>
        <item x="156"/>
        <item x="317"/>
        <item x="466"/>
        <item x="204"/>
        <item x="51"/>
        <item x="21"/>
        <item x="29"/>
        <item x="46"/>
        <item x="142"/>
        <item x="732"/>
        <item x="540"/>
        <item x="227"/>
        <item x="115"/>
        <item x="119"/>
        <item x="455"/>
        <item x="401"/>
        <item x="181"/>
        <item x="295"/>
        <item x="125"/>
        <item x="298"/>
        <item x="37"/>
        <item x="873"/>
        <item x="271"/>
        <item x="763"/>
        <item x="654"/>
        <item x="427"/>
        <item x="818"/>
        <item x="707"/>
        <item x="63"/>
        <item x="786"/>
        <item x="746"/>
        <item x="583"/>
        <item x="807"/>
        <item x="613"/>
        <item x="837"/>
        <item x="660"/>
        <item x="149"/>
        <item x="714"/>
        <item x="830"/>
        <item x="622"/>
        <item x="320"/>
        <item x="681"/>
        <item x="68"/>
        <item x="233"/>
        <item x="745"/>
        <item x="517"/>
        <item x="918"/>
        <item x="222"/>
        <item x="297"/>
        <item x="621"/>
        <item x="129"/>
        <item x="827"/>
        <item x="255"/>
        <item x="393"/>
        <item x="696"/>
        <item x="516"/>
        <item x="197"/>
        <item x="219"/>
        <item x="369"/>
        <item x="686"/>
        <item x="146"/>
        <item x="435"/>
        <item x="90"/>
        <item x="192"/>
        <item x="931"/>
        <item x="158"/>
        <item x="228"/>
        <item x="276"/>
        <item x="78"/>
        <item x="376"/>
        <item x="217"/>
        <item x="781"/>
        <item x="377"/>
        <item x="643"/>
        <item x="183"/>
        <item x="231"/>
        <item x="588"/>
        <item x="777"/>
        <item x="577"/>
        <item x="928"/>
        <item x="101"/>
        <item x="148"/>
        <item x="237"/>
        <item x="609"/>
        <item x="241"/>
        <item x="220"/>
        <item x="560"/>
        <item x="908"/>
        <item x="770"/>
        <item x="605"/>
        <item x="832"/>
        <item x="38"/>
        <item x="561"/>
        <item x="413"/>
        <item x="117"/>
        <item x="608"/>
        <item x="565"/>
        <item x="527"/>
        <item x="387"/>
        <item x="304"/>
        <item x="507"/>
        <item x="773"/>
        <item x="23"/>
        <item x="820"/>
        <item x="616"/>
        <item x="71"/>
        <item x="755"/>
        <item x="493"/>
        <item x="847"/>
        <item x="162"/>
        <item x="524"/>
        <item x="538"/>
        <item x="449"/>
        <item x="7"/>
        <item x="321"/>
        <item x="574"/>
        <item x="647"/>
        <item x="329"/>
        <item x="243"/>
        <item x="904"/>
        <item x="920"/>
        <item x="784"/>
        <item x="796"/>
        <item x="887"/>
        <item x="848"/>
        <item x="492"/>
        <item x="399"/>
        <item x="425"/>
        <item x="176"/>
        <item x="793"/>
        <item x="849"/>
        <item x="834"/>
        <item x="214"/>
        <item x="385"/>
        <item x="159"/>
        <item x="230"/>
        <item x="349"/>
        <item x="624"/>
        <item x="428"/>
        <item x="782"/>
        <item x="940"/>
        <item x="67"/>
        <item x="874"/>
        <item x="75"/>
        <item x="829"/>
        <item x="460"/>
        <item x="743"/>
        <item x="274"/>
        <item x="134"/>
        <item x="8"/>
        <item x="395"/>
        <item x="388"/>
        <item x="821"/>
        <item x="889"/>
        <item x="794"/>
        <item x="749"/>
        <item x="248"/>
        <item x="804"/>
        <item x="110"/>
        <item x="397"/>
        <item x="43"/>
        <item x="907"/>
        <item x="73"/>
        <item x="506"/>
        <item x="679"/>
        <item x="375"/>
        <item x="836"/>
        <item x="919"/>
        <item x="76"/>
        <item x="84"/>
        <item x="453"/>
        <item x="929"/>
        <item x="558"/>
        <item x="423"/>
        <item x="795"/>
        <item x="740"/>
        <item x="702"/>
        <item x="356"/>
        <item x="797"/>
        <item x="905"/>
        <item x="682"/>
        <item x="615"/>
        <item x="596"/>
        <item x="292"/>
        <item x="733"/>
        <item x="759"/>
        <item x="163"/>
        <item x="871"/>
        <item x="601"/>
        <item x="841"/>
        <item x="886"/>
        <item x="882"/>
        <item x="673"/>
        <item x="629"/>
        <item x="451"/>
        <item x="812"/>
        <item x="18"/>
        <item x="236"/>
        <item x="17"/>
        <item x="765"/>
        <item x="698"/>
        <item x="127"/>
        <item x="779"/>
        <item x="62"/>
        <item x="582"/>
        <item x="269"/>
        <item x="185"/>
        <item x="674"/>
        <item x="420"/>
        <item x="318"/>
        <item x="650"/>
        <item x="485"/>
        <item x="445"/>
        <item x="239"/>
        <item x="458"/>
        <item x="649"/>
        <item x="479"/>
        <item x="814"/>
        <item x="144"/>
        <item x="840"/>
        <item x="808"/>
        <item x="196"/>
        <item x="357"/>
        <item x="331"/>
        <item x="240"/>
        <item x="35"/>
        <item x="439"/>
        <item x="631"/>
        <item x="933"/>
        <item x="313"/>
        <item x="384"/>
        <item x="406"/>
        <item x="130"/>
        <item x="322"/>
        <item x="195"/>
        <item x="678"/>
        <item x="539"/>
        <item x="411"/>
        <item x="688"/>
        <item x="150"/>
        <item x="626"/>
        <item x="178"/>
        <item x="157"/>
        <item x="709"/>
        <item x="398"/>
        <item x="120"/>
        <item x="543"/>
        <item x="336"/>
        <item x="927"/>
        <item x="405"/>
        <item x="0"/>
        <item x="579"/>
        <item x="819"/>
        <item x="131"/>
        <item x="489"/>
        <item x="799"/>
        <item x="194"/>
        <item x="486"/>
        <item x="869"/>
        <item x="191"/>
        <item x="693"/>
        <item x="915"/>
        <item x="169"/>
        <item x="590"/>
        <item x="374"/>
        <item x="16"/>
        <item x="475"/>
        <item x="205"/>
        <item x="767"/>
        <item x="503"/>
        <item x="490"/>
        <item x="852"/>
        <item x="381"/>
        <item x="783"/>
        <item x="14"/>
        <item x="535"/>
        <item x="752"/>
        <item x="34"/>
        <item x="640"/>
        <item x="815"/>
        <item x="934"/>
        <item x="496"/>
        <item x="305"/>
        <item x="244"/>
        <item x="594"/>
        <item x="265"/>
        <item x="366"/>
        <item x="334"/>
        <item x="721"/>
        <item x="593"/>
        <item x="724"/>
        <item x="776"/>
        <item x="70"/>
        <item x="917"/>
        <item x="143"/>
        <item x="670"/>
        <item x="716"/>
        <item x="350"/>
        <item x="104"/>
        <item x="266"/>
        <item x="199"/>
        <item x="141"/>
        <item x="587"/>
        <item x="426"/>
        <item x="53"/>
        <item x="294"/>
        <item x="858"/>
        <item x="728"/>
        <item x="896"/>
        <item x="180"/>
        <item x="4"/>
        <item x="566"/>
        <item x="100"/>
        <item x="943"/>
        <item x="748"/>
        <item x="576"/>
        <item x="112"/>
        <item x="250"/>
        <item x="287"/>
        <item x="172"/>
        <item x="604"/>
        <item x="277"/>
        <item x="536"/>
        <item x="813"/>
        <item x="641"/>
        <item x="234"/>
        <item x="407"/>
        <item x="36"/>
        <item x="923"/>
        <item x="515"/>
        <item x="415"/>
        <item x="666"/>
        <item x="480"/>
        <item x="386"/>
        <item x="256"/>
        <item x="598"/>
        <item x="347"/>
        <item x="327"/>
        <item x="521"/>
        <item x="469"/>
        <item x="663"/>
        <item x="912"/>
        <item x="659"/>
        <item x="672"/>
        <item x="139"/>
        <item x="136"/>
        <item x="839"/>
        <item x="273"/>
        <item x="430"/>
        <item x="513"/>
        <item x="24"/>
        <item x="296"/>
        <item x="838"/>
        <item x="145"/>
        <item x="551"/>
        <item x="39"/>
        <item x="135"/>
        <item x="916"/>
        <item x="935"/>
        <item x="422"/>
        <item x="534"/>
        <item x="444"/>
        <item x="879"/>
        <item x="758"/>
        <item x="252"/>
        <item x="595"/>
        <item x="867"/>
        <item x="572"/>
        <item x="155"/>
        <item x="665"/>
        <item x="599"/>
        <item x="667"/>
        <item x="190"/>
        <item x="504"/>
        <item x="669"/>
        <item x="461"/>
        <item x="242"/>
        <item x="630"/>
        <item x="260"/>
        <item x="138"/>
        <item x="894"/>
        <item x="514"/>
        <item x="1"/>
        <item t="default"/>
      </items>
    </pivotField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dataField="1"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dataField="1"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lor de Frete" fld="13" subtotal="average" baseField="12" baseItem="0" numFmtId="165"/>
    <dataField name="Lucro Líquido" fld="23" subtotal="average" baseField="12" baseItem="0" numFmtId="165"/>
    <dataField name="Média de Margem de Lucro" fld="24" subtotal="average" baseField="12" baseItem="0" numFmtId="10"/>
  </dataFields>
  <chartFormats count="3">
    <chartFormat chart="3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89413-5250-4A39-AF19-4D27B317A36B}" name="Tabela dinâmica2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I4:I5" firstHeaderRow="1" firstDataRow="1" firstDataCol="0"/>
  <pivotFields count="30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dataField="1"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Items count="1">
    <i/>
  </colItems>
  <dataFields count="1">
    <dataField name="Média de Atraso" fld="25" subtotal="average" baseField="0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C8ECB-35A4-4E34-BB9E-BC5A10DB9A73}" name="Tabela dinâmica1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8">
  <location ref="A36:E42" firstHeaderRow="1" firstDataRow="2" firstDataCol="1"/>
  <pivotFields count="30">
    <pivotField dataField="1"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axis="axisRow"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ntagem de Pedidos" fld="0" subtotal="count" showDataAs="percentOfRow" baseField="0" baseItem="0" numFmtId="10"/>
  </dataFields>
  <chartFormats count="3">
    <chartFormat chart="27" format="1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7" format="1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27" format="1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D93A1-23F0-4087-9AA1-05290C046A6D}" name="Tabela dinâmica2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M4:N9" firstHeaderRow="1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dataField="1"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Status de Pedido" fld="24" subtotal="average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0051F-9B9F-4921-A9CE-12BBD185C39B}" name="Tabela dinâmica1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6">
  <location ref="A91:B104" firstHeaderRow="1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dataField="1"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édia de Margem de Lucro" fld="24" subtotal="average" baseField="27" baseItem="1" numFmtId="10"/>
  </dataFields>
  <chartFormats count="6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3CF00-9EEF-497C-BD5F-A013604CB3D7}" name="Tabela dinâmica2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K4:K5" firstHeaderRow="1" firstDataRow="1" firstDataCol="0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dataField="1" numFmtId="165" showAll="0"/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Items count="1">
    <i/>
  </colItems>
  <dataFields count="1">
    <dataField name="Custo de Frete Médio" fld="1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C1B5D-D86D-4860-B04F-434070B1F53D}" name="Tabela dinâmica20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56">
  <location ref="A120:F134" firstHeaderRow="1" firstDataRow="2" firstDataCol="1"/>
  <pivotFields count="30">
    <pivotField compact="0" outline="0" showAll="0"/>
    <pivotField compact="0" outline="0" showAll="0"/>
    <pivotField compact="0" numFmtId="22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numFmtId="10" outline="0" showAll="0"/>
    <pivotField compact="0" outline="0" showAll="0">
      <items count="5">
        <item x="3"/>
        <item h="1" x="1"/>
        <item h="1" x="2"/>
        <item h="1" x="0"/>
        <item t="default"/>
      </items>
    </pivotField>
    <pivotField compact="0" numFmtId="165" outline="0" showAll="0">
      <items count="945">
        <item x="308"/>
        <item x="668"/>
        <item x="729"/>
        <item x="546"/>
        <item x="312"/>
        <item x="216"/>
        <item x="25"/>
        <item x="370"/>
        <item x="421"/>
        <item x="300"/>
        <item x="10"/>
        <item x="689"/>
        <item x="200"/>
        <item x="861"/>
        <item x="738"/>
        <item x="207"/>
        <item x="502"/>
        <item x="860"/>
        <item x="165"/>
        <item x="719"/>
        <item x="74"/>
        <item x="528"/>
        <item x="122"/>
        <item x="823"/>
        <item x="939"/>
        <item x="880"/>
        <item x="279"/>
        <item x="408"/>
        <item x="735"/>
        <item x="854"/>
        <item x="778"/>
        <item x="283"/>
        <item x="441"/>
        <item x="124"/>
        <item x="175"/>
        <item x="893"/>
        <item x="164"/>
        <item x="380"/>
        <item x="81"/>
        <item x="544"/>
        <item x="864"/>
        <item x="121"/>
        <item x="872"/>
        <item x="450"/>
        <item x="870"/>
        <item x="662"/>
        <item x="471"/>
        <item x="512"/>
        <item x="342"/>
        <item x="922"/>
        <item x="612"/>
        <item x="41"/>
        <item x="437"/>
        <item x="140"/>
        <item x="687"/>
        <item x="275"/>
        <item x="66"/>
        <item x="263"/>
        <item x="526"/>
        <item x="924"/>
        <item x="188"/>
        <item x="65"/>
        <item x="9"/>
        <item x="751"/>
        <item x="153"/>
        <item x="937"/>
        <item x="846"/>
        <item x="345"/>
        <item x="488"/>
        <item x="706"/>
        <item x="661"/>
        <item x="680"/>
        <item x="567"/>
        <item x="463"/>
        <item x="636"/>
        <item x="315"/>
        <item x="522"/>
        <item x="824"/>
        <item x="766"/>
        <item x="338"/>
        <item x="726"/>
        <item x="390"/>
        <item x="499"/>
        <item x="19"/>
        <item x="825"/>
        <item x="456"/>
        <item x="429"/>
        <item x="80"/>
        <item x="478"/>
        <item x="547"/>
        <item x="288"/>
        <item x="465"/>
        <item x="151"/>
        <item x="525"/>
        <item x="171"/>
        <item x="431"/>
        <item x="571"/>
        <item x="921"/>
        <item x="457"/>
        <item x="690"/>
        <item x="555"/>
        <item x="906"/>
        <item x="523"/>
        <item x="417"/>
        <item x="805"/>
        <item x="467"/>
        <item x="901"/>
        <item x="712"/>
        <item x="791"/>
        <item x="639"/>
        <item x="12"/>
        <item x="109"/>
        <item x="229"/>
        <item x="717"/>
        <item x="618"/>
        <item x="725"/>
        <item x="459"/>
        <item x="586"/>
        <item x="611"/>
        <item x="340"/>
        <item x="890"/>
        <item x="11"/>
        <item x="235"/>
        <item x="744"/>
        <item x="850"/>
        <item x="362"/>
        <item x="817"/>
        <item x="187"/>
        <item x="537"/>
        <item x="892"/>
        <item x="98"/>
        <item x="339"/>
        <item x="578"/>
        <item x="548"/>
        <item x="61"/>
        <item x="206"/>
        <item x="570"/>
        <item x="353"/>
        <item x="409"/>
        <item x="865"/>
        <item x="790"/>
        <item x="403"/>
        <item x="936"/>
        <item x="280"/>
        <item x="580"/>
        <item x="646"/>
        <item x="82"/>
        <item x="85"/>
        <item x="147"/>
        <item x="108"/>
        <item x="26"/>
        <item x="261"/>
        <item x="491"/>
        <item x="15"/>
        <item x="656"/>
        <item x="128"/>
        <item x="705"/>
        <item x="42"/>
        <item x="652"/>
        <item x="718"/>
        <item x="167"/>
        <item x="52"/>
        <item x="93"/>
        <item x="258"/>
        <item x="290"/>
        <item x="695"/>
        <item x="803"/>
        <item x="291"/>
        <item x="282"/>
        <item x="55"/>
        <item x="69"/>
        <item x="326"/>
        <item x="903"/>
        <item x="72"/>
        <item x="694"/>
        <item x="352"/>
        <item x="884"/>
        <item x="27"/>
        <item x="189"/>
        <item x="361"/>
        <item x="529"/>
        <item x="209"/>
        <item x="89"/>
        <item x="675"/>
        <item x="363"/>
        <item x="368"/>
        <item x="262"/>
        <item x="676"/>
        <item x="116"/>
        <item x="354"/>
        <item x="123"/>
        <item x="448"/>
        <item x="774"/>
        <item x="389"/>
        <item x="562"/>
        <item x="335"/>
        <item x="245"/>
        <item x="22"/>
        <item x="79"/>
        <item x="47"/>
        <item x="355"/>
        <item x="215"/>
        <item x="713"/>
        <item x="324"/>
        <item x="747"/>
        <item x="584"/>
        <item x="3"/>
        <item x="30"/>
        <item x="704"/>
        <item x="351"/>
        <item x="32"/>
        <item x="885"/>
        <item x="87"/>
        <item x="221"/>
        <item x="909"/>
        <item x="780"/>
        <item x="278"/>
        <item x="213"/>
        <item x="568"/>
        <item x="49"/>
        <item x="497"/>
        <item x="348"/>
        <item x="218"/>
        <item x="664"/>
        <item x="671"/>
        <item x="739"/>
        <item x="902"/>
        <item x="57"/>
        <item x="651"/>
        <item x="60"/>
        <item x="505"/>
        <item x="177"/>
        <item x="247"/>
        <item x="289"/>
        <item x="801"/>
        <item x="48"/>
        <item x="416"/>
        <item x="855"/>
        <item x="845"/>
        <item x="816"/>
        <item x="742"/>
        <item x="859"/>
        <item x="303"/>
        <item x="97"/>
        <item x="107"/>
        <item x="941"/>
        <item x="775"/>
        <item x="619"/>
        <item x="232"/>
        <item x="498"/>
        <item x="753"/>
        <item x="857"/>
        <item x="552"/>
        <item x="462"/>
        <item x="246"/>
        <item x="553"/>
        <item x="549"/>
        <item x="253"/>
        <item x="367"/>
        <item x="856"/>
        <item x="198"/>
        <item x="433"/>
        <item x="556"/>
        <item x="895"/>
        <item x="545"/>
        <item x="264"/>
        <item x="653"/>
        <item x="685"/>
        <item x="202"/>
        <item x="306"/>
        <item x="272"/>
        <item x="223"/>
        <item x="414"/>
        <item x="293"/>
        <item x="532"/>
        <item x="557"/>
        <item x="281"/>
        <item x="881"/>
        <item x="111"/>
        <item x="452"/>
        <item x="542"/>
        <item x="2"/>
        <item x="267"/>
        <item x="769"/>
        <item x="224"/>
        <item x="254"/>
        <item x="569"/>
        <item x="454"/>
        <item x="602"/>
        <item x="910"/>
        <item x="307"/>
        <item x="720"/>
        <item x="319"/>
        <item x="768"/>
        <item x="440"/>
        <item x="166"/>
        <item x="56"/>
        <item x="806"/>
        <item x="473"/>
        <item x="330"/>
        <item x="40"/>
        <item x="152"/>
        <item x="344"/>
        <item x="826"/>
        <item x="102"/>
        <item x="402"/>
        <item x="677"/>
        <item x="412"/>
        <item x="878"/>
        <item x="620"/>
        <item x="477"/>
        <item x="332"/>
        <item x="212"/>
        <item x="410"/>
        <item x="508"/>
        <item x="518"/>
        <item x="86"/>
        <item x="811"/>
        <item x="500"/>
        <item x="692"/>
        <item x="691"/>
        <item x="470"/>
        <item x="446"/>
        <item x="360"/>
        <item x="741"/>
        <item x="614"/>
        <item x="392"/>
        <item x="257"/>
        <item x="50"/>
        <item x="137"/>
        <item x="45"/>
        <item x="866"/>
        <item x="581"/>
        <item x="193"/>
        <item x="373"/>
        <item x="683"/>
        <item x="208"/>
        <item x="394"/>
        <item x="419"/>
        <item x="585"/>
        <item x="697"/>
        <item x="114"/>
        <item x="99"/>
        <item x="787"/>
        <item x="443"/>
        <item x="59"/>
        <item x="589"/>
        <item x="533"/>
        <item x="822"/>
        <item x="161"/>
        <item x="259"/>
        <item x="731"/>
        <item x="337"/>
        <item x="930"/>
        <item x="754"/>
        <item x="606"/>
        <item x="316"/>
        <item x="708"/>
        <item x="877"/>
        <item x="483"/>
        <item x="550"/>
        <item x="268"/>
        <item x="541"/>
        <item x="835"/>
        <item x="750"/>
        <item x="914"/>
        <item x="809"/>
        <item x="868"/>
        <item x="810"/>
        <item x="126"/>
        <item x="761"/>
        <item x="633"/>
        <item x="789"/>
        <item x="310"/>
        <item x="888"/>
        <item x="284"/>
        <item x="727"/>
        <item x="911"/>
        <item x="592"/>
        <item x="785"/>
        <item x="684"/>
        <item x="800"/>
        <item x="132"/>
        <item x="54"/>
        <item x="771"/>
        <item x="182"/>
        <item x="118"/>
        <item x="382"/>
        <item x="325"/>
        <item x="364"/>
        <item x="20"/>
        <item x="700"/>
        <item x="772"/>
        <item x="481"/>
        <item x="358"/>
        <item x="106"/>
        <item x="711"/>
        <item x="302"/>
        <item x="476"/>
        <item x="379"/>
        <item x="270"/>
        <item x="323"/>
        <item x="472"/>
        <item x="833"/>
        <item x="913"/>
        <item x="926"/>
        <item x="597"/>
        <item x="44"/>
        <item x="798"/>
        <item x="96"/>
        <item x="94"/>
        <item x="710"/>
        <item x="251"/>
        <item x="77"/>
        <item x="900"/>
        <item x="442"/>
        <item x="563"/>
        <item x="757"/>
        <item x="788"/>
        <item x="942"/>
        <item x="501"/>
        <item x="883"/>
        <item x="174"/>
        <item x="299"/>
        <item x="201"/>
        <item x="359"/>
        <item x="635"/>
        <item x="371"/>
        <item x="699"/>
        <item x="31"/>
        <item x="730"/>
        <item x="160"/>
        <item x="851"/>
        <item x="438"/>
        <item x="173"/>
        <item x="520"/>
        <item x="468"/>
        <item x="186"/>
        <item x="600"/>
        <item x="404"/>
        <item x="703"/>
        <item x="875"/>
        <item x="925"/>
        <item x="333"/>
        <item x="645"/>
        <item x="179"/>
        <item x="249"/>
        <item x="842"/>
        <item x="5"/>
        <item x="831"/>
        <item x="625"/>
        <item x="862"/>
        <item x="346"/>
        <item x="168"/>
        <item x="792"/>
        <item x="723"/>
        <item x="474"/>
        <item x="760"/>
        <item x="210"/>
        <item x="644"/>
        <item x="482"/>
        <item x="400"/>
        <item x="938"/>
        <item x="225"/>
        <item x="617"/>
        <item x="510"/>
        <item x="95"/>
        <item x="286"/>
        <item x="64"/>
        <item x="627"/>
        <item x="828"/>
        <item x="530"/>
        <item x="494"/>
        <item x="655"/>
        <item x="91"/>
        <item x="487"/>
        <item x="891"/>
        <item x="628"/>
        <item x="391"/>
        <item x="226"/>
        <item x="610"/>
        <item x="762"/>
        <item x="6"/>
        <item x="113"/>
        <item x="309"/>
        <item x="603"/>
        <item x="311"/>
        <item x="575"/>
        <item x="83"/>
        <item x="105"/>
        <item x="464"/>
        <item x="432"/>
        <item x="447"/>
        <item x="607"/>
        <item x="701"/>
        <item x="737"/>
        <item x="898"/>
        <item x="634"/>
        <item x="573"/>
        <item x="519"/>
        <item x="722"/>
        <item x="33"/>
        <item x="436"/>
        <item x="13"/>
        <item x="863"/>
        <item x="632"/>
        <item x="736"/>
        <item x="642"/>
        <item x="764"/>
        <item x="103"/>
        <item x="238"/>
        <item x="170"/>
        <item x="657"/>
        <item x="658"/>
        <item x="184"/>
        <item x="559"/>
        <item x="133"/>
        <item x="378"/>
        <item x="648"/>
        <item x="372"/>
        <item x="853"/>
        <item x="92"/>
        <item x="564"/>
        <item x="88"/>
        <item x="28"/>
        <item x="301"/>
        <item x="511"/>
        <item x="637"/>
        <item x="591"/>
        <item x="314"/>
        <item x="509"/>
        <item x="285"/>
        <item x="328"/>
        <item x="756"/>
        <item x="211"/>
        <item x="343"/>
        <item x="365"/>
        <item x="418"/>
        <item x="897"/>
        <item x="802"/>
        <item x="932"/>
        <item x="341"/>
        <item x="638"/>
        <item x="899"/>
        <item x="623"/>
        <item x="434"/>
        <item x="396"/>
        <item x="484"/>
        <item x="876"/>
        <item x="203"/>
        <item x="554"/>
        <item x="843"/>
        <item x="383"/>
        <item x="58"/>
        <item x="154"/>
        <item x="495"/>
        <item x="424"/>
        <item x="531"/>
        <item x="844"/>
        <item x="715"/>
        <item x="734"/>
        <item x="156"/>
        <item x="317"/>
        <item x="466"/>
        <item x="204"/>
        <item x="51"/>
        <item x="21"/>
        <item x="29"/>
        <item x="46"/>
        <item x="142"/>
        <item x="732"/>
        <item x="540"/>
        <item x="227"/>
        <item x="115"/>
        <item x="119"/>
        <item x="455"/>
        <item x="401"/>
        <item x="181"/>
        <item x="295"/>
        <item x="125"/>
        <item x="298"/>
        <item x="37"/>
        <item x="873"/>
        <item x="271"/>
        <item x="763"/>
        <item x="654"/>
        <item x="427"/>
        <item x="818"/>
        <item x="707"/>
        <item x="63"/>
        <item x="786"/>
        <item x="746"/>
        <item x="583"/>
        <item x="807"/>
        <item x="613"/>
        <item x="837"/>
        <item x="660"/>
        <item x="149"/>
        <item x="714"/>
        <item x="830"/>
        <item x="622"/>
        <item x="320"/>
        <item x="681"/>
        <item x="68"/>
        <item x="233"/>
        <item x="745"/>
        <item x="517"/>
        <item x="918"/>
        <item x="222"/>
        <item x="297"/>
        <item x="621"/>
        <item x="129"/>
        <item x="827"/>
        <item x="255"/>
        <item x="393"/>
        <item x="696"/>
        <item x="516"/>
        <item x="197"/>
        <item x="219"/>
        <item x="369"/>
        <item x="686"/>
        <item x="146"/>
        <item x="435"/>
        <item x="90"/>
        <item x="192"/>
        <item x="931"/>
        <item x="158"/>
        <item x="228"/>
        <item x="276"/>
        <item x="78"/>
        <item x="376"/>
        <item x="217"/>
        <item x="781"/>
        <item x="377"/>
        <item x="643"/>
        <item x="183"/>
        <item x="231"/>
        <item x="588"/>
        <item x="777"/>
        <item x="577"/>
        <item x="928"/>
        <item x="101"/>
        <item x="148"/>
        <item x="237"/>
        <item x="609"/>
        <item x="241"/>
        <item x="220"/>
        <item x="560"/>
        <item x="908"/>
        <item x="770"/>
        <item x="605"/>
        <item x="832"/>
        <item x="38"/>
        <item x="561"/>
        <item x="413"/>
        <item x="117"/>
        <item x="608"/>
        <item x="565"/>
        <item x="527"/>
        <item x="387"/>
        <item x="304"/>
        <item x="507"/>
        <item x="773"/>
        <item x="23"/>
        <item x="820"/>
        <item x="616"/>
        <item x="71"/>
        <item x="755"/>
        <item x="493"/>
        <item x="847"/>
        <item x="162"/>
        <item x="524"/>
        <item x="538"/>
        <item x="449"/>
        <item x="7"/>
        <item x="321"/>
        <item x="574"/>
        <item x="647"/>
        <item x="329"/>
        <item x="243"/>
        <item x="904"/>
        <item x="920"/>
        <item x="784"/>
        <item x="796"/>
        <item x="887"/>
        <item x="848"/>
        <item x="492"/>
        <item x="399"/>
        <item x="425"/>
        <item x="176"/>
        <item x="793"/>
        <item x="849"/>
        <item x="834"/>
        <item x="214"/>
        <item x="385"/>
        <item x="159"/>
        <item x="230"/>
        <item x="349"/>
        <item x="624"/>
        <item x="428"/>
        <item x="782"/>
        <item x="940"/>
        <item x="67"/>
        <item x="874"/>
        <item x="75"/>
        <item x="829"/>
        <item x="460"/>
        <item x="743"/>
        <item x="274"/>
        <item x="134"/>
        <item x="8"/>
        <item x="395"/>
        <item x="388"/>
        <item x="821"/>
        <item x="889"/>
        <item x="794"/>
        <item x="749"/>
        <item x="248"/>
        <item x="804"/>
        <item x="110"/>
        <item x="397"/>
        <item x="43"/>
        <item x="907"/>
        <item x="73"/>
        <item x="506"/>
        <item x="679"/>
        <item x="375"/>
        <item x="836"/>
        <item x="919"/>
        <item x="76"/>
        <item x="84"/>
        <item x="453"/>
        <item x="929"/>
        <item x="558"/>
        <item x="423"/>
        <item x="795"/>
        <item x="740"/>
        <item x="702"/>
        <item x="356"/>
        <item x="797"/>
        <item x="905"/>
        <item x="682"/>
        <item x="615"/>
        <item x="596"/>
        <item x="292"/>
        <item x="733"/>
        <item x="759"/>
        <item x="163"/>
        <item x="871"/>
        <item x="601"/>
        <item x="841"/>
        <item x="886"/>
        <item x="882"/>
        <item x="673"/>
        <item x="629"/>
        <item x="451"/>
        <item x="812"/>
        <item x="18"/>
        <item x="236"/>
        <item x="17"/>
        <item x="765"/>
        <item x="698"/>
        <item x="127"/>
        <item x="779"/>
        <item x="62"/>
        <item x="582"/>
        <item x="269"/>
        <item x="185"/>
        <item x="674"/>
        <item x="420"/>
        <item x="318"/>
        <item x="650"/>
        <item x="485"/>
        <item x="445"/>
        <item x="239"/>
        <item x="458"/>
        <item x="649"/>
        <item x="479"/>
        <item x="814"/>
        <item x="144"/>
        <item x="840"/>
        <item x="808"/>
        <item x="196"/>
        <item x="357"/>
        <item x="331"/>
        <item x="240"/>
        <item x="35"/>
        <item x="439"/>
        <item x="631"/>
        <item x="933"/>
        <item x="313"/>
        <item x="384"/>
        <item x="406"/>
        <item x="130"/>
        <item x="322"/>
        <item x="195"/>
        <item x="678"/>
        <item x="539"/>
        <item x="411"/>
        <item x="688"/>
        <item x="150"/>
        <item x="626"/>
        <item x="178"/>
        <item x="157"/>
        <item x="709"/>
        <item x="398"/>
        <item x="120"/>
        <item x="543"/>
        <item x="336"/>
        <item x="927"/>
        <item x="405"/>
        <item x="0"/>
        <item x="579"/>
        <item x="819"/>
        <item x="131"/>
        <item x="489"/>
        <item x="799"/>
        <item x="194"/>
        <item x="486"/>
        <item x="869"/>
        <item x="191"/>
        <item x="693"/>
        <item x="915"/>
        <item x="169"/>
        <item x="590"/>
        <item x="374"/>
        <item x="16"/>
        <item x="475"/>
        <item x="205"/>
        <item x="767"/>
        <item x="503"/>
        <item x="490"/>
        <item x="852"/>
        <item x="381"/>
        <item x="783"/>
        <item x="14"/>
        <item x="535"/>
        <item x="752"/>
        <item x="34"/>
        <item x="640"/>
        <item x="815"/>
        <item x="934"/>
        <item x="496"/>
        <item x="305"/>
        <item x="244"/>
        <item x="594"/>
        <item x="265"/>
        <item x="366"/>
        <item x="334"/>
        <item x="721"/>
        <item x="593"/>
        <item x="724"/>
        <item x="776"/>
        <item x="70"/>
        <item x="917"/>
        <item x="143"/>
        <item x="670"/>
        <item x="716"/>
        <item x="350"/>
        <item x="104"/>
        <item x="266"/>
        <item x="199"/>
        <item x="141"/>
        <item x="587"/>
        <item x="426"/>
        <item x="53"/>
        <item x="294"/>
        <item x="858"/>
        <item x="728"/>
        <item x="896"/>
        <item x="180"/>
        <item x="4"/>
        <item x="566"/>
        <item x="100"/>
        <item x="943"/>
        <item x="748"/>
        <item x="576"/>
        <item x="112"/>
        <item x="250"/>
        <item x="287"/>
        <item x="172"/>
        <item x="604"/>
        <item x="277"/>
        <item x="536"/>
        <item x="813"/>
        <item x="641"/>
        <item x="234"/>
        <item x="407"/>
        <item x="36"/>
        <item x="923"/>
        <item x="515"/>
        <item x="415"/>
        <item x="666"/>
        <item x="480"/>
        <item x="386"/>
        <item x="256"/>
        <item x="598"/>
        <item x="347"/>
        <item x="327"/>
        <item x="521"/>
        <item x="469"/>
        <item x="663"/>
        <item x="912"/>
        <item x="659"/>
        <item x="672"/>
        <item x="139"/>
        <item x="136"/>
        <item x="839"/>
        <item x="273"/>
        <item x="430"/>
        <item x="513"/>
        <item x="24"/>
        <item x="296"/>
        <item x="838"/>
        <item x="145"/>
        <item x="551"/>
        <item x="39"/>
        <item x="135"/>
        <item x="916"/>
        <item x="935"/>
        <item x="422"/>
        <item x="534"/>
        <item x="444"/>
        <item x="879"/>
        <item x="758"/>
        <item x="252"/>
        <item x="595"/>
        <item x="867"/>
        <item x="572"/>
        <item x="155"/>
        <item x="665"/>
        <item x="599"/>
        <item x="667"/>
        <item x="190"/>
        <item x="504"/>
        <item x="669"/>
        <item x="461"/>
        <item x="242"/>
        <item x="630"/>
        <item x="260"/>
        <item x="138"/>
        <item x="894"/>
        <item x="514"/>
        <item x="1"/>
        <item t="default"/>
      </items>
    </pivotField>
    <pivotField compact="0" outline="0"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compact="0" numFmtId="165" outline="0" showAll="0"/>
    <pivotField compact="0" numFmtId="165" outline="0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compact="0" numFmtId="10" outline="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compact="0" outline="0"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_venda_final" fld="21" baseField="0" baseItem="0" numFmtId="165"/>
  </dataFields>
  <chartFormats count="16">
    <chartFormat chart="31" format="1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31" format="1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31" format="1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31" format="1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9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9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9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9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AFA4E-2B0B-451B-A350-8C86EC725722}" name="Tabela dinâmica19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1">
  <location ref="A20:B24" firstHeaderRow="1" firstDataRow="1" firstDataCol="1"/>
  <pivotFields count="30">
    <pivotField showAll="0"/>
    <pivotField showAll="0"/>
    <pivotField numFmtId="22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24">
        <item x="20"/>
        <item x="22"/>
        <item x="11"/>
        <item x="18"/>
        <item x="4"/>
        <item x="17"/>
        <item x="5"/>
        <item x="2"/>
        <item x="16"/>
        <item x="8"/>
        <item x="9"/>
        <item x="21"/>
        <item x="19"/>
        <item x="6"/>
        <item x="12"/>
        <item x="7"/>
        <item x="0"/>
        <item x="1"/>
        <item x="14"/>
        <item x="13"/>
        <item x="3"/>
        <item x="10"/>
        <item x="1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numFmtId="165" showAll="0"/>
    <pivotField numFmtId="165" showAll="0"/>
    <pivotField showAll="0"/>
    <pivotField numFmtId="10" showAll="0"/>
    <pivotField showAll="0">
      <items count="5">
        <item x="3"/>
        <item x="1"/>
        <item x="2"/>
        <item x="0"/>
        <item t="default"/>
      </items>
    </pivotField>
    <pivotField numFmtId="165" showAll="0">
      <items count="945">
        <item x="308"/>
        <item x="668"/>
        <item x="729"/>
        <item x="546"/>
        <item x="312"/>
        <item x="216"/>
        <item x="25"/>
        <item x="370"/>
        <item x="421"/>
        <item x="300"/>
        <item x="10"/>
        <item x="689"/>
        <item x="200"/>
        <item x="861"/>
        <item x="738"/>
        <item x="207"/>
        <item x="502"/>
        <item x="860"/>
        <item x="165"/>
        <item x="719"/>
        <item x="74"/>
        <item x="528"/>
        <item x="122"/>
        <item x="823"/>
        <item x="939"/>
        <item x="880"/>
        <item x="279"/>
        <item x="408"/>
        <item x="735"/>
        <item x="854"/>
        <item x="778"/>
        <item x="283"/>
        <item x="441"/>
        <item x="124"/>
        <item x="175"/>
        <item x="893"/>
        <item x="164"/>
        <item x="380"/>
        <item x="81"/>
        <item x="544"/>
        <item x="864"/>
        <item x="121"/>
        <item x="872"/>
        <item x="450"/>
        <item x="870"/>
        <item x="662"/>
        <item x="471"/>
        <item x="512"/>
        <item x="342"/>
        <item x="922"/>
        <item x="612"/>
        <item x="41"/>
        <item x="437"/>
        <item x="140"/>
        <item x="687"/>
        <item x="275"/>
        <item x="66"/>
        <item x="263"/>
        <item x="526"/>
        <item x="924"/>
        <item x="188"/>
        <item x="65"/>
        <item x="9"/>
        <item x="751"/>
        <item x="153"/>
        <item x="937"/>
        <item x="846"/>
        <item x="345"/>
        <item x="488"/>
        <item x="706"/>
        <item x="661"/>
        <item x="680"/>
        <item x="567"/>
        <item x="463"/>
        <item x="636"/>
        <item x="315"/>
        <item x="522"/>
        <item x="824"/>
        <item x="766"/>
        <item x="338"/>
        <item x="726"/>
        <item x="390"/>
        <item x="499"/>
        <item x="19"/>
        <item x="825"/>
        <item x="456"/>
        <item x="429"/>
        <item x="80"/>
        <item x="478"/>
        <item x="547"/>
        <item x="288"/>
        <item x="465"/>
        <item x="151"/>
        <item x="525"/>
        <item x="171"/>
        <item x="431"/>
        <item x="571"/>
        <item x="921"/>
        <item x="457"/>
        <item x="690"/>
        <item x="555"/>
        <item x="906"/>
        <item x="523"/>
        <item x="417"/>
        <item x="805"/>
        <item x="467"/>
        <item x="901"/>
        <item x="712"/>
        <item x="791"/>
        <item x="639"/>
        <item x="12"/>
        <item x="109"/>
        <item x="229"/>
        <item x="717"/>
        <item x="618"/>
        <item x="725"/>
        <item x="459"/>
        <item x="586"/>
        <item x="611"/>
        <item x="340"/>
        <item x="890"/>
        <item x="11"/>
        <item x="235"/>
        <item x="744"/>
        <item x="850"/>
        <item x="362"/>
        <item x="817"/>
        <item x="187"/>
        <item x="537"/>
        <item x="892"/>
        <item x="98"/>
        <item x="339"/>
        <item x="578"/>
        <item x="548"/>
        <item x="61"/>
        <item x="206"/>
        <item x="570"/>
        <item x="353"/>
        <item x="409"/>
        <item x="865"/>
        <item x="790"/>
        <item x="403"/>
        <item x="936"/>
        <item x="280"/>
        <item x="580"/>
        <item x="646"/>
        <item x="82"/>
        <item x="85"/>
        <item x="147"/>
        <item x="108"/>
        <item x="26"/>
        <item x="261"/>
        <item x="491"/>
        <item x="15"/>
        <item x="656"/>
        <item x="128"/>
        <item x="705"/>
        <item x="42"/>
        <item x="652"/>
        <item x="718"/>
        <item x="167"/>
        <item x="52"/>
        <item x="93"/>
        <item x="258"/>
        <item x="290"/>
        <item x="695"/>
        <item x="803"/>
        <item x="291"/>
        <item x="282"/>
        <item x="55"/>
        <item x="69"/>
        <item x="326"/>
        <item x="903"/>
        <item x="72"/>
        <item x="694"/>
        <item x="352"/>
        <item x="884"/>
        <item x="27"/>
        <item x="189"/>
        <item x="361"/>
        <item x="529"/>
        <item x="209"/>
        <item x="89"/>
        <item x="675"/>
        <item x="363"/>
        <item x="368"/>
        <item x="262"/>
        <item x="676"/>
        <item x="116"/>
        <item x="354"/>
        <item x="123"/>
        <item x="448"/>
        <item x="774"/>
        <item x="389"/>
        <item x="562"/>
        <item x="335"/>
        <item x="245"/>
        <item x="22"/>
        <item x="79"/>
        <item x="47"/>
        <item x="355"/>
        <item x="215"/>
        <item x="713"/>
        <item x="324"/>
        <item x="747"/>
        <item x="584"/>
        <item x="3"/>
        <item x="30"/>
        <item x="704"/>
        <item x="351"/>
        <item x="32"/>
        <item x="885"/>
        <item x="87"/>
        <item x="221"/>
        <item x="909"/>
        <item x="780"/>
        <item x="278"/>
        <item x="213"/>
        <item x="568"/>
        <item x="49"/>
        <item x="497"/>
        <item x="348"/>
        <item x="218"/>
        <item x="664"/>
        <item x="671"/>
        <item x="739"/>
        <item x="902"/>
        <item x="57"/>
        <item x="651"/>
        <item x="60"/>
        <item x="505"/>
        <item x="177"/>
        <item x="247"/>
        <item x="289"/>
        <item x="801"/>
        <item x="48"/>
        <item x="416"/>
        <item x="855"/>
        <item x="845"/>
        <item x="816"/>
        <item x="742"/>
        <item x="859"/>
        <item x="303"/>
        <item x="97"/>
        <item x="107"/>
        <item x="941"/>
        <item x="775"/>
        <item x="619"/>
        <item x="232"/>
        <item x="498"/>
        <item x="753"/>
        <item x="857"/>
        <item x="552"/>
        <item x="462"/>
        <item x="246"/>
        <item x="553"/>
        <item x="549"/>
        <item x="253"/>
        <item x="367"/>
        <item x="856"/>
        <item x="198"/>
        <item x="433"/>
        <item x="556"/>
        <item x="895"/>
        <item x="545"/>
        <item x="264"/>
        <item x="653"/>
        <item x="685"/>
        <item x="202"/>
        <item x="306"/>
        <item x="272"/>
        <item x="223"/>
        <item x="414"/>
        <item x="293"/>
        <item x="532"/>
        <item x="557"/>
        <item x="281"/>
        <item x="881"/>
        <item x="111"/>
        <item x="452"/>
        <item x="542"/>
        <item x="2"/>
        <item x="267"/>
        <item x="769"/>
        <item x="224"/>
        <item x="254"/>
        <item x="569"/>
        <item x="454"/>
        <item x="602"/>
        <item x="910"/>
        <item x="307"/>
        <item x="720"/>
        <item x="319"/>
        <item x="768"/>
        <item x="440"/>
        <item x="166"/>
        <item x="56"/>
        <item x="806"/>
        <item x="473"/>
        <item x="330"/>
        <item x="40"/>
        <item x="152"/>
        <item x="344"/>
        <item x="826"/>
        <item x="102"/>
        <item x="402"/>
        <item x="677"/>
        <item x="412"/>
        <item x="878"/>
        <item x="620"/>
        <item x="477"/>
        <item x="332"/>
        <item x="212"/>
        <item x="410"/>
        <item x="508"/>
        <item x="518"/>
        <item x="86"/>
        <item x="811"/>
        <item x="500"/>
        <item x="692"/>
        <item x="691"/>
        <item x="470"/>
        <item x="446"/>
        <item x="360"/>
        <item x="741"/>
        <item x="614"/>
        <item x="392"/>
        <item x="257"/>
        <item x="50"/>
        <item x="137"/>
        <item x="45"/>
        <item x="866"/>
        <item x="581"/>
        <item x="193"/>
        <item x="373"/>
        <item x="683"/>
        <item x="208"/>
        <item x="394"/>
        <item x="419"/>
        <item x="585"/>
        <item x="697"/>
        <item x="114"/>
        <item x="99"/>
        <item x="787"/>
        <item x="443"/>
        <item x="59"/>
        <item x="589"/>
        <item x="533"/>
        <item x="822"/>
        <item x="161"/>
        <item x="259"/>
        <item x="731"/>
        <item x="337"/>
        <item x="930"/>
        <item x="754"/>
        <item x="606"/>
        <item x="316"/>
        <item x="708"/>
        <item x="877"/>
        <item x="483"/>
        <item x="550"/>
        <item x="268"/>
        <item x="541"/>
        <item x="835"/>
        <item x="750"/>
        <item x="914"/>
        <item x="809"/>
        <item x="868"/>
        <item x="810"/>
        <item x="126"/>
        <item x="761"/>
        <item x="633"/>
        <item x="789"/>
        <item x="310"/>
        <item x="888"/>
        <item x="284"/>
        <item x="727"/>
        <item x="911"/>
        <item x="592"/>
        <item x="785"/>
        <item x="684"/>
        <item x="800"/>
        <item x="132"/>
        <item x="54"/>
        <item x="771"/>
        <item x="182"/>
        <item x="118"/>
        <item x="382"/>
        <item x="325"/>
        <item x="364"/>
        <item x="20"/>
        <item x="700"/>
        <item x="772"/>
        <item x="481"/>
        <item x="358"/>
        <item x="106"/>
        <item x="711"/>
        <item x="302"/>
        <item x="476"/>
        <item x="379"/>
        <item x="270"/>
        <item x="323"/>
        <item x="472"/>
        <item x="833"/>
        <item x="913"/>
        <item x="926"/>
        <item x="597"/>
        <item x="44"/>
        <item x="798"/>
        <item x="96"/>
        <item x="94"/>
        <item x="710"/>
        <item x="251"/>
        <item x="77"/>
        <item x="900"/>
        <item x="442"/>
        <item x="563"/>
        <item x="757"/>
        <item x="788"/>
        <item x="942"/>
        <item x="501"/>
        <item x="883"/>
        <item x="174"/>
        <item x="299"/>
        <item x="201"/>
        <item x="359"/>
        <item x="635"/>
        <item x="371"/>
        <item x="699"/>
        <item x="31"/>
        <item x="730"/>
        <item x="160"/>
        <item x="851"/>
        <item x="438"/>
        <item x="173"/>
        <item x="520"/>
        <item x="468"/>
        <item x="186"/>
        <item x="600"/>
        <item x="404"/>
        <item x="703"/>
        <item x="875"/>
        <item x="925"/>
        <item x="333"/>
        <item x="645"/>
        <item x="179"/>
        <item x="249"/>
        <item x="842"/>
        <item x="5"/>
        <item x="831"/>
        <item x="625"/>
        <item x="862"/>
        <item x="346"/>
        <item x="168"/>
        <item x="792"/>
        <item x="723"/>
        <item x="474"/>
        <item x="760"/>
        <item x="210"/>
        <item x="644"/>
        <item x="482"/>
        <item x="400"/>
        <item x="938"/>
        <item x="225"/>
        <item x="617"/>
        <item x="510"/>
        <item x="95"/>
        <item x="286"/>
        <item x="64"/>
        <item x="627"/>
        <item x="828"/>
        <item x="530"/>
        <item x="494"/>
        <item x="655"/>
        <item x="91"/>
        <item x="487"/>
        <item x="891"/>
        <item x="628"/>
        <item x="391"/>
        <item x="226"/>
        <item x="610"/>
        <item x="762"/>
        <item x="6"/>
        <item x="113"/>
        <item x="309"/>
        <item x="603"/>
        <item x="311"/>
        <item x="575"/>
        <item x="83"/>
        <item x="105"/>
        <item x="464"/>
        <item x="432"/>
        <item x="447"/>
        <item x="607"/>
        <item x="701"/>
        <item x="737"/>
        <item x="898"/>
        <item x="634"/>
        <item x="573"/>
        <item x="519"/>
        <item x="722"/>
        <item x="33"/>
        <item x="436"/>
        <item x="13"/>
        <item x="863"/>
        <item x="632"/>
        <item x="736"/>
        <item x="642"/>
        <item x="764"/>
        <item x="103"/>
        <item x="238"/>
        <item x="170"/>
        <item x="657"/>
        <item x="658"/>
        <item x="184"/>
        <item x="559"/>
        <item x="133"/>
        <item x="378"/>
        <item x="648"/>
        <item x="372"/>
        <item x="853"/>
        <item x="92"/>
        <item x="564"/>
        <item x="88"/>
        <item x="28"/>
        <item x="301"/>
        <item x="511"/>
        <item x="637"/>
        <item x="591"/>
        <item x="314"/>
        <item x="509"/>
        <item x="285"/>
        <item x="328"/>
        <item x="756"/>
        <item x="211"/>
        <item x="343"/>
        <item x="365"/>
        <item x="418"/>
        <item x="897"/>
        <item x="802"/>
        <item x="932"/>
        <item x="341"/>
        <item x="638"/>
        <item x="899"/>
        <item x="623"/>
        <item x="434"/>
        <item x="396"/>
        <item x="484"/>
        <item x="876"/>
        <item x="203"/>
        <item x="554"/>
        <item x="843"/>
        <item x="383"/>
        <item x="58"/>
        <item x="154"/>
        <item x="495"/>
        <item x="424"/>
        <item x="531"/>
        <item x="844"/>
        <item x="715"/>
        <item x="734"/>
        <item x="156"/>
        <item x="317"/>
        <item x="466"/>
        <item x="204"/>
        <item x="51"/>
        <item x="21"/>
        <item x="29"/>
        <item x="46"/>
        <item x="142"/>
        <item x="732"/>
        <item x="540"/>
        <item x="227"/>
        <item x="115"/>
        <item x="119"/>
        <item x="455"/>
        <item x="401"/>
        <item x="181"/>
        <item x="295"/>
        <item x="125"/>
        <item x="298"/>
        <item x="37"/>
        <item x="873"/>
        <item x="271"/>
        <item x="763"/>
        <item x="654"/>
        <item x="427"/>
        <item x="818"/>
        <item x="707"/>
        <item x="63"/>
        <item x="786"/>
        <item x="746"/>
        <item x="583"/>
        <item x="807"/>
        <item x="613"/>
        <item x="837"/>
        <item x="660"/>
        <item x="149"/>
        <item x="714"/>
        <item x="830"/>
        <item x="622"/>
        <item x="320"/>
        <item x="681"/>
        <item x="68"/>
        <item x="233"/>
        <item x="745"/>
        <item x="517"/>
        <item x="918"/>
        <item x="222"/>
        <item x="297"/>
        <item x="621"/>
        <item x="129"/>
        <item x="827"/>
        <item x="255"/>
        <item x="393"/>
        <item x="696"/>
        <item x="516"/>
        <item x="197"/>
        <item x="219"/>
        <item x="369"/>
        <item x="686"/>
        <item x="146"/>
        <item x="435"/>
        <item x="90"/>
        <item x="192"/>
        <item x="931"/>
        <item x="158"/>
        <item x="228"/>
        <item x="276"/>
        <item x="78"/>
        <item x="376"/>
        <item x="217"/>
        <item x="781"/>
        <item x="377"/>
        <item x="643"/>
        <item x="183"/>
        <item x="231"/>
        <item x="588"/>
        <item x="777"/>
        <item x="577"/>
        <item x="928"/>
        <item x="101"/>
        <item x="148"/>
        <item x="237"/>
        <item x="609"/>
        <item x="241"/>
        <item x="220"/>
        <item x="560"/>
        <item x="908"/>
        <item x="770"/>
        <item x="605"/>
        <item x="832"/>
        <item x="38"/>
        <item x="561"/>
        <item x="413"/>
        <item x="117"/>
        <item x="608"/>
        <item x="565"/>
        <item x="527"/>
        <item x="387"/>
        <item x="304"/>
        <item x="507"/>
        <item x="773"/>
        <item x="23"/>
        <item x="820"/>
        <item x="616"/>
        <item x="71"/>
        <item x="755"/>
        <item x="493"/>
        <item x="847"/>
        <item x="162"/>
        <item x="524"/>
        <item x="538"/>
        <item x="449"/>
        <item x="7"/>
        <item x="321"/>
        <item x="574"/>
        <item x="647"/>
        <item x="329"/>
        <item x="243"/>
        <item x="904"/>
        <item x="920"/>
        <item x="784"/>
        <item x="796"/>
        <item x="887"/>
        <item x="848"/>
        <item x="492"/>
        <item x="399"/>
        <item x="425"/>
        <item x="176"/>
        <item x="793"/>
        <item x="849"/>
        <item x="834"/>
        <item x="214"/>
        <item x="385"/>
        <item x="159"/>
        <item x="230"/>
        <item x="349"/>
        <item x="624"/>
        <item x="428"/>
        <item x="782"/>
        <item x="940"/>
        <item x="67"/>
        <item x="874"/>
        <item x="75"/>
        <item x="829"/>
        <item x="460"/>
        <item x="743"/>
        <item x="274"/>
        <item x="134"/>
        <item x="8"/>
        <item x="395"/>
        <item x="388"/>
        <item x="821"/>
        <item x="889"/>
        <item x="794"/>
        <item x="749"/>
        <item x="248"/>
        <item x="804"/>
        <item x="110"/>
        <item x="397"/>
        <item x="43"/>
        <item x="907"/>
        <item x="73"/>
        <item x="506"/>
        <item x="679"/>
        <item x="375"/>
        <item x="836"/>
        <item x="919"/>
        <item x="76"/>
        <item x="84"/>
        <item x="453"/>
        <item x="929"/>
        <item x="558"/>
        <item x="423"/>
        <item x="795"/>
        <item x="740"/>
        <item x="702"/>
        <item x="356"/>
        <item x="797"/>
        <item x="905"/>
        <item x="682"/>
        <item x="615"/>
        <item x="596"/>
        <item x="292"/>
        <item x="733"/>
        <item x="759"/>
        <item x="163"/>
        <item x="871"/>
        <item x="601"/>
        <item x="841"/>
        <item x="886"/>
        <item x="882"/>
        <item x="673"/>
        <item x="629"/>
        <item x="451"/>
        <item x="812"/>
        <item x="18"/>
        <item x="236"/>
        <item x="17"/>
        <item x="765"/>
        <item x="698"/>
        <item x="127"/>
        <item x="779"/>
        <item x="62"/>
        <item x="582"/>
        <item x="269"/>
        <item x="185"/>
        <item x="674"/>
        <item x="420"/>
        <item x="318"/>
        <item x="650"/>
        <item x="485"/>
        <item x="445"/>
        <item x="239"/>
        <item x="458"/>
        <item x="649"/>
        <item x="479"/>
        <item x="814"/>
        <item x="144"/>
        <item x="840"/>
        <item x="808"/>
        <item x="196"/>
        <item x="357"/>
        <item x="331"/>
        <item x="240"/>
        <item x="35"/>
        <item x="439"/>
        <item x="631"/>
        <item x="933"/>
        <item x="313"/>
        <item x="384"/>
        <item x="406"/>
        <item x="130"/>
        <item x="322"/>
        <item x="195"/>
        <item x="678"/>
        <item x="539"/>
        <item x="411"/>
        <item x="688"/>
        <item x="150"/>
        <item x="626"/>
        <item x="178"/>
        <item x="157"/>
        <item x="709"/>
        <item x="398"/>
        <item x="120"/>
        <item x="543"/>
        <item x="336"/>
        <item x="927"/>
        <item x="405"/>
        <item x="0"/>
        <item x="579"/>
        <item x="819"/>
        <item x="131"/>
        <item x="489"/>
        <item x="799"/>
        <item x="194"/>
        <item x="486"/>
        <item x="869"/>
        <item x="191"/>
        <item x="693"/>
        <item x="915"/>
        <item x="169"/>
        <item x="590"/>
        <item x="374"/>
        <item x="16"/>
        <item x="475"/>
        <item x="205"/>
        <item x="767"/>
        <item x="503"/>
        <item x="490"/>
        <item x="852"/>
        <item x="381"/>
        <item x="783"/>
        <item x="14"/>
        <item x="535"/>
        <item x="752"/>
        <item x="34"/>
        <item x="640"/>
        <item x="815"/>
        <item x="934"/>
        <item x="496"/>
        <item x="305"/>
        <item x="244"/>
        <item x="594"/>
        <item x="265"/>
        <item x="366"/>
        <item x="334"/>
        <item x="721"/>
        <item x="593"/>
        <item x="724"/>
        <item x="776"/>
        <item x="70"/>
        <item x="917"/>
        <item x="143"/>
        <item x="670"/>
        <item x="716"/>
        <item x="350"/>
        <item x="104"/>
        <item x="266"/>
        <item x="199"/>
        <item x="141"/>
        <item x="587"/>
        <item x="426"/>
        <item x="53"/>
        <item x="294"/>
        <item x="858"/>
        <item x="728"/>
        <item x="896"/>
        <item x="180"/>
        <item x="4"/>
        <item x="566"/>
        <item x="100"/>
        <item x="943"/>
        <item x="748"/>
        <item x="576"/>
        <item x="112"/>
        <item x="250"/>
        <item x="287"/>
        <item x="172"/>
        <item x="604"/>
        <item x="277"/>
        <item x="536"/>
        <item x="813"/>
        <item x="641"/>
        <item x="234"/>
        <item x="407"/>
        <item x="36"/>
        <item x="923"/>
        <item x="515"/>
        <item x="415"/>
        <item x="666"/>
        <item x="480"/>
        <item x="386"/>
        <item x="256"/>
        <item x="598"/>
        <item x="347"/>
        <item x="327"/>
        <item x="521"/>
        <item x="469"/>
        <item x="663"/>
        <item x="912"/>
        <item x="659"/>
        <item x="672"/>
        <item x="139"/>
        <item x="136"/>
        <item x="839"/>
        <item x="273"/>
        <item x="430"/>
        <item x="513"/>
        <item x="24"/>
        <item x="296"/>
        <item x="838"/>
        <item x="145"/>
        <item x="551"/>
        <item x="39"/>
        <item x="135"/>
        <item x="916"/>
        <item x="935"/>
        <item x="422"/>
        <item x="534"/>
        <item x="444"/>
        <item x="879"/>
        <item x="758"/>
        <item x="252"/>
        <item x="595"/>
        <item x="867"/>
        <item x="572"/>
        <item x="155"/>
        <item x="665"/>
        <item x="599"/>
        <item x="667"/>
        <item x="190"/>
        <item x="504"/>
        <item x="669"/>
        <item x="461"/>
        <item x="242"/>
        <item x="630"/>
        <item x="260"/>
        <item x="138"/>
        <item x="894"/>
        <item x="514"/>
        <item x="1"/>
        <item t="default"/>
      </items>
    </pivotField>
    <pivotField showAll="0">
      <items count="16">
        <item sd="0" x="6"/>
        <item sd="0" x="7"/>
        <item sd="0" x="14"/>
        <item sd="0" x="12"/>
        <item sd="0" x="4"/>
        <item sd="0" x="5"/>
        <item sd="0" x="3"/>
        <item sd="0" x="11"/>
        <item sd="0" x="1"/>
        <item sd="0" x="10"/>
        <item sd="0" x="13"/>
        <item sd="0" x="0"/>
        <item sd="0" x="8"/>
        <item sd="0" x="9"/>
        <item sd="0" x="2"/>
        <item t="default"/>
      </items>
    </pivotField>
    <pivotField numFmtId="14" showAll="0"/>
    <pivotField numFmtId="14" showAll="0"/>
    <pivotField showAll="0"/>
    <pivotField showAll="0"/>
    <pivotField dataField="1" showAll="0"/>
    <pivotField showAll="0"/>
    <pivotField numFmtId="165" showAll="0">
      <items count="1000">
        <item x="696"/>
        <item x="498"/>
        <item x="345"/>
        <item x="106"/>
        <item x="915"/>
        <item x="263"/>
        <item x="608"/>
        <item x="844"/>
        <item x="138"/>
        <item x="834"/>
        <item x="513"/>
        <item x="95"/>
        <item x="255"/>
        <item x="21"/>
        <item x="390"/>
        <item x="610"/>
        <item x="742"/>
        <item x="640"/>
        <item x="622"/>
        <item x="495"/>
        <item x="923"/>
        <item x="683"/>
        <item x="734"/>
        <item x="334"/>
        <item x="302"/>
        <item x="515"/>
        <item x="945"/>
        <item x="338"/>
        <item x="855"/>
        <item x="341"/>
        <item x="221"/>
        <item x="592"/>
        <item x="763"/>
        <item x="591"/>
        <item x="69"/>
        <item x="572"/>
        <item x="634"/>
        <item x="270"/>
        <item x="808"/>
        <item x="648"/>
        <item x="659"/>
        <item x="487"/>
        <item x="739"/>
        <item x="496"/>
        <item x="911"/>
        <item x="996"/>
        <item x="107"/>
        <item x="225"/>
        <item x="897"/>
        <item x="547"/>
        <item x="554"/>
        <item x="65"/>
        <item x="408"/>
        <item x="315"/>
        <item x="347"/>
        <item x="241"/>
        <item x="943"/>
        <item x="677"/>
        <item x="413"/>
        <item x="251"/>
        <item x="965"/>
        <item x="446"/>
        <item x="790"/>
        <item x="351"/>
        <item x="649"/>
        <item x="918"/>
        <item x="559"/>
        <item x="635"/>
        <item x="197"/>
        <item x="162"/>
        <item x="461"/>
        <item x="954"/>
        <item x="843"/>
        <item x="664"/>
        <item x="237"/>
        <item x="460"/>
        <item x="54"/>
        <item x="556"/>
        <item x="795"/>
        <item x="12"/>
        <item x="831"/>
        <item x="968"/>
        <item x="783"/>
        <item x="580"/>
        <item x="214"/>
        <item x="92"/>
        <item x="343"/>
        <item x="389"/>
        <item x="979"/>
        <item x="94"/>
        <item x="501"/>
        <item x="129"/>
        <item x="799"/>
        <item x="735"/>
        <item x="318"/>
        <item x="230"/>
        <item x="360"/>
        <item x="377"/>
        <item x="846"/>
        <item x="720"/>
        <item x="726"/>
        <item x="605"/>
        <item x="172"/>
        <item x="427"/>
        <item x="363"/>
        <item x="332"/>
        <item x="641"/>
        <item x="126"/>
        <item x="657"/>
        <item x="569"/>
        <item x="604"/>
        <item x="764"/>
        <item x="893"/>
        <item x="751"/>
        <item x="153"/>
        <item x="898"/>
        <item x="588"/>
        <item x="575"/>
        <item x="213"/>
        <item x="755"/>
        <item x="747"/>
        <item x="116"/>
        <item x="477"/>
        <item x="393"/>
        <item x="59"/>
        <item x="260"/>
        <item x="927"/>
        <item x="867"/>
        <item x="654"/>
        <item x="27"/>
        <item x="288"/>
        <item x="171"/>
        <item x="730"/>
        <item x="206"/>
        <item x="273"/>
        <item x="317"/>
        <item x="623"/>
        <item x="355"/>
        <item x="716"/>
        <item x="28"/>
        <item x="100"/>
        <item x="323"/>
        <item x="484"/>
        <item x="483"/>
        <item x="946"/>
        <item x="371"/>
        <item x="903"/>
        <item x="429"/>
        <item x="289"/>
        <item x="854"/>
        <item x="314"/>
        <item x="306"/>
        <item x="60"/>
        <item x="368"/>
        <item x="680"/>
        <item x="185"/>
        <item x="204"/>
        <item x="980"/>
        <item x="41"/>
        <item x="122"/>
        <item x="497"/>
        <item x="656"/>
        <item x="889"/>
        <item x="709"/>
        <item x="207"/>
        <item x="349"/>
        <item x="486"/>
        <item x="505"/>
        <item x="887"/>
        <item x="447"/>
        <item x="47"/>
        <item x="445"/>
        <item x="785"/>
        <item x="956"/>
        <item x="319"/>
        <item x="543"/>
        <item x="99"/>
        <item x="697"/>
        <item x="873"/>
        <item x="480"/>
        <item x="212"/>
        <item x="800"/>
        <item x="13"/>
        <item x="403"/>
        <item x="801"/>
        <item x="926"/>
        <item x="333"/>
        <item x="933"/>
        <item x="537"/>
        <item x="953"/>
        <item x="15"/>
        <item x="117"/>
        <item x="168"/>
        <item x="292"/>
        <item x="952"/>
        <item x="667"/>
        <item x="229"/>
        <item x="910"/>
        <item x="481"/>
        <item x="55"/>
        <item x="830"/>
        <item x="3"/>
        <item x="992"/>
        <item x="706"/>
        <item x="728"/>
        <item x="231"/>
        <item x="109"/>
        <item x="294"/>
        <item x="826"/>
        <item x="626"/>
        <item x="917"/>
        <item x="383"/>
        <item x="227"/>
        <item x="357"/>
        <item x="536"/>
        <item x="534"/>
        <item x="120"/>
        <item x="891"/>
        <item x="26"/>
        <item x="425"/>
        <item x="301"/>
        <item x="183"/>
        <item x="374"/>
        <item x="274"/>
        <item x="48"/>
        <item x="195"/>
        <item x="853"/>
        <item x="327"/>
        <item x="78"/>
        <item x="268"/>
        <item x="984"/>
        <item x="935"/>
        <item x="942"/>
        <item x="453"/>
        <item x="472"/>
        <item x="729"/>
        <item x="967"/>
        <item x="127"/>
        <item x="940"/>
        <item x="405"/>
        <item x="455"/>
        <item x="352"/>
        <item x="901"/>
        <item x="819"/>
        <item x="653"/>
        <item x="646"/>
        <item x="993"/>
        <item x="87"/>
        <item x="322"/>
        <item x="402"/>
        <item x="11"/>
        <item x="325"/>
        <item x="465"/>
        <item x="324"/>
        <item x="114"/>
        <item x="133"/>
        <item x="489"/>
        <item x="354"/>
        <item x="467"/>
        <item x="754"/>
        <item x="771"/>
        <item x="6"/>
        <item x="169"/>
        <item x="459"/>
        <item x="703"/>
        <item x="813"/>
        <item x="655"/>
        <item x="125"/>
        <item x="909"/>
        <item x="938"/>
        <item x="449"/>
        <item x="676"/>
        <item x="340"/>
        <item x="180"/>
        <item x="32"/>
        <item x="585"/>
        <item x="620"/>
        <item x="721"/>
        <item x="373"/>
        <item x="752"/>
        <item x="508"/>
        <item x="31"/>
        <item x="578"/>
        <item x="584"/>
        <item x="925"/>
        <item x="119"/>
        <item x="679"/>
        <item x="30"/>
        <item x="9"/>
        <item x="98"/>
        <item x="514"/>
        <item x="253"/>
        <item x="955"/>
        <item x="841"/>
        <item x="51"/>
        <item x="463"/>
        <item x="869"/>
        <item x="878"/>
        <item x="442"/>
        <item x="546"/>
        <item x="611"/>
        <item x="668"/>
        <item x="297"/>
        <item x="20"/>
        <item x="717"/>
        <item x="770"/>
        <item x="511"/>
        <item x="418"/>
        <item x="829"/>
        <item x="178"/>
        <item x="533"/>
        <item x="563"/>
        <item x="33"/>
        <item x="948"/>
        <item x="888"/>
        <item x="353"/>
        <item x="985"/>
        <item x="638"/>
        <item x="203"/>
        <item x="539"/>
        <item x="369"/>
        <item x="456"/>
        <item x="732"/>
        <item x="45"/>
        <item x="807"/>
        <item x="49"/>
        <item x="367"/>
        <item x="866"/>
        <item x="560"/>
        <item x="115"/>
        <item x="44"/>
        <item x="744"/>
        <item x="896"/>
        <item x="779"/>
        <item x="257"/>
        <item x="861"/>
        <item x="475"/>
        <item x="265"/>
        <item x="336"/>
        <item x="364"/>
        <item x="218"/>
        <item x="320"/>
        <item x="561"/>
        <item x="666"/>
        <item x="287"/>
        <item x="914"/>
        <item x="544"/>
        <item x="75"/>
        <item x="108"/>
        <item x="16"/>
        <item x="871"/>
        <item x="469"/>
        <item x="166"/>
        <item x="134"/>
        <item x="309"/>
        <item x="215"/>
        <item x="211"/>
        <item x="573"/>
        <item x="788"/>
        <item x="630"/>
        <item x="775"/>
        <item x="876"/>
        <item x="2"/>
        <item x="414"/>
        <item x="378"/>
        <item x="828"/>
        <item x="565"/>
        <item x="165"/>
        <item x="161"/>
        <item x="57"/>
        <item x="89"/>
        <item x="600"/>
        <item x="951"/>
        <item x="738"/>
        <item x="233"/>
        <item x="376"/>
        <item x="290"/>
        <item x="97"/>
        <item x="416"/>
        <item x="267"/>
        <item x="743"/>
        <item x="957"/>
        <item x="209"/>
        <item x="773"/>
        <item x="191"/>
        <item x="155"/>
        <item x="693"/>
        <item x="670"/>
        <item x="803"/>
        <item x="769"/>
        <item x="581"/>
        <item x="750"/>
        <item x="64"/>
        <item x="184"/>
        <item x="70"/>
        <item x="281"/>
        <item x="810"/>
        <item x="673"/>
        <item x="432"/>
        <item x="451"/>
        <item x="277"/>
        <item x="759"/>
        <item x="5"/>
        <item x="850"/>
        <item x="331"/>
        <item x="148"/>
        <item x="669"/>
        <item x="4"/>
        <item x="40"/>
        <item x="81"/>
        <item x="82"/>
        <item x="868"/>
        <item x="590"/>
        <item x="434"/>
        <item x="880"/>
        <item x="789"/>
        <item x="832"/>
        <item x="723"/>
        <item x="937"/>
        <item x="731"/>
        <item x="566"/>
        <item x="440"/>
        <item x="50"/>
        <item x="494"/>
        <item x="431"/>
        <item x="615"/>
        <item x="512"/>
        <item x="776"/>
        <item x="252"/>
        <item x="904"/>
        <item x="269"/>
        <item x="201"/>
        <item x="524"/>
        <item x="391"/>
        <item x="188"/>
        <item x="907"/>
        <item x="905"/>
        <item x="285"/>
        <item x="296"/>
        <item x="678"/>
        <item x="154"/>
        <item x="468"/>
        <item x="401"/>
        <item x="822"/>
        <item x="741"/>
        <item x="579"/>
        <item x="313"/>
        <item x="780"/>
        <item x="490"/>
        <item x="348"/>
        <item x="80"/>
        <item x="423"/>
        <item x="757"/>
        <item x="485"/>
        <item x="176"/>
        <item x="412"/>
        <item x="994"/>
        <item x="617"/>
        <item x="187"/>
        <item x="56"/>
        <item x="83"/>
        <item x="555"/>
        <item x="784"/>
        <item x="112"/>
        <item x="10"/>
        <item x="329"/>
        <item x="307"/>
        <item x="228"/>
        <item x="156"/>
        <item x="415"/>
        <item x="96"/>
        <item x="526"/>
        <item x="278"/>
        <item x="123"/>
        <item x="762"/>
        <item x="778"/>
        <item x="930"/>
        <item x="849"/>
        <item x="689"/>
        <item x="62"/>
        <item x="362"/>
        <item x="922"/>
        <item x="860"/>
        <item x="437"/>
        <item x="522"/>
        <item x="516"/>
        <item x="997"/>
        <item x="527"/>
        <item x="758"/>
        <item x="518"/>
        <item x="633"/>
        <item x="613"/>
        <item x="93"/>
        <item x="550"/>
        <item x="385"/>
        <item x="25"/>
        <item x="141"/>
        <item x="976"/>
        <item x="525"/>
        <item x="772"/>
        <item x="858"/>
        <item x="19"/>
        <item x="583"/>
        <item x="865"/>
        <item x="847"/>
        <item x="409"/>
        <item x="767"/>
        <item x="796"/>
        <item x="793"/>
        <item x="258"/>
        <item x="701"/>
        <item x="382"/>
        <item x="157"/>
        <item x="35"/>
        <item x="276"/>
        <item x="719"/>
        <item x="510"/>
        <item x="713"/>
        <item x="61"/>
        <item x="875"/>
        <item x="216"/>
        <item x="448"/>
        <item x="928"/>
        <item x="963"/>
        <item x="53"/>
        <item x="174"/>
        <item x="388"/>
        <item x="921"/>
        <item x="298"/>
        <item x="870"/>
        <item x="883"/>
        <item x="660"/>
        <item x="978"/>
        <item x="594"/>
        <item x="710"/>
        <item x="852"/>
        <item x="181"/>
        <item x="37"/>
        <item x="931"/>
        <item x="863"/>
        <item x="919"/>
        <item x="805"/>
        <item x="631"/>
        <item x="310"/>
        <item x="835"/>
        <item x="110"/>
        <item x="736"/>
        <item x="598"/>
        <item x="295"/>
        <item x="845"/>
        <item x="205"/>
        <item x="29"/>
        <item x="603"/>
        <item x="175"/>
        <item x="690"/>
        <item x="145"/>
        <item x="627"/>
        <item x="687"/>
        <item x="877"/>
        <item x="975"/>
        <item x="222"/>
        <item x="471"/>
        <item x="746"/>
        <item x="944"/>
        <item x="695"/>
        <item x="63"/>
        <item x="254"/>
        <item x="381"/>
        <item x="934"/>
        <item x="22"/>
        <item x="73"/>
        <item x="77"/>
        <item x="407"/>
        <item x="52"/>
        <item x="507"/>
        <item x="264"/>
        <item x="529"/>
        <item x="833"/>
        <item x="823"/>
        <item x="662"/>
        <item x="435"/>
        <item x="286"/>
        <item x="879"/>
        <item x="235"/>
        <item x="658"/>
        <item x="811"/>
        <item x="601"/>
        <item x="674"/>
        <item x="913"/>
        <item x="430"/>
        <item x="702"/>
        <item x="520"/>
        <item x="167"/>
        <item x="549"/>
        <item x="224"/>
        <item x="312"/>
        <item x="248"/>
        <item x="88"/>
        <item x="564"/>
        <item x="681"/>
        <item x="245"/>
        <item x="142"/>
        <item x="562"/>
        <item x="101"/>
        <item x="476"/>
        <item x="240"/>
        <item x="58"/>
        <item x="856"/>
        <item x="574"/>
        <item x="79"/>
        <item x="838"/>
        <item x="864"/>
        <item x="618"/>
        <item x="375"/>
        <item x="124"/>
        <item x="190"/>
        <item x="444"/>
        <item x="350"/>
        <item x="616"/>
        <item x="895"/>
        <item x="202"/>
        <item x="894"/>
        <item x="67"/>
        <item x="410"/>
        <item x="571"/>
        <item x="46"/>
        <item x="454"/>
        <item x="718"/>
        <item x="132"/>
        <item x="521"/>
        <item x="576"/>
        <item x="234"/>
        <item x="300"/>
        <item x="386"/>
        <item x="246"/>
        <item x="839"/>
        <item x="812"/>
        <item x="798"/>
        <item x="947"/>
        <item x="558"/>
        <item x="827"/>
        <item x="960"/>
        <item x="452"/>
        <item x="749"/>
        <item x="346"/>
        <item x="787"/>
        <item x="400"/>
        <item x="239"/>
        <item x="692"/>
        <item x="628"/>
        <item x="42"/>
        <item x="629"/>
        <item x="707"/>
        <item x="150"/>
        <item x="433"/>
        <item x="724"/>
        <item x="817"/>
        <item x="450"/>
        <item x="545"/>
        <item x="568"/>
        <item x="66"/>
        <item x="837"/>
        <item x="958"/>
        <item x="686"/>
        <item x="173"/>
        <item x="170"/>
        <item x="473"/>
        <item x="766"/>
        <item x="380"/>
        <item x="406"/>
        <item x="982"/>
        <item x="862"/>
        <item x="491"/>
        <item x="136"/>
        <item x="885"/>
        <item x="814"/>
        <item x="356"/>
        <item x="912"/>
        <item x="113"/>
        <item x="284"/>
        <item x="299"/>
        <item x="991"/>
        <item x="950"/>
        <item x="602"/>
        <item x="372"/>
        <item x="272"/>
        <item x="280"/>
        <item x="820"/>
        <item x="344"/>
        <item x="768"/>
        <item x="733"/>
        <item x="825"/>
        <item x="90"/>
        <item x="502"/>
        <item x="711"/>
        <item x="140"/>
        <item x="708"/>
        <item x="492"/>
        <item x="774"/>
        <item x="182"/>
        <item x="941"/>
        <item x="745"/>
        <item x="586"/>
        <item x="43"/>
        <item x="761"/>
        <item x="599"/>
        <item x="509"/>
        <item x="540"/>
        <item x="797"/>
        <item x="266"/>
        <item x="342"/>
        <item x="220"/>
        <item x="519"/>
        <item x="625"/>
        <item x="275"/>
        <item x="983"/>
        <item x="68"/>
        <item x="419"/>
        <item x="792"/>
        <item x="219"/>
        <item x="567"/>
        <item x="532"/>
        <item x="714"/>
        <item x="908"/>
        <item x="86"/>
        <item x="964"/>
        <item x="872"/>
        <item x="426"/>
        <item x="857"/>
        <item x="727"/>
        <item x="361"/>
        <item x="939"/>
        <item x="782"/>
        <item x="436"/>
        <item x="661"/>
        <item x="151"/>
        <item x="370"/>
        <item x="781"/>
        <item x="642"/>
        <item x="542"/>
        <item x="104"/>
        <item x="149"/>
        <item x="969"/>
        <item x="551"/>
        <item x="189"/>
        <item x="152"/>
        <item x="238"/>
        <item x="404"/>
        <item x="712"/>
        <item x="531"/>
        <item x="111"/>
        <item x="291"/>
        <item x="316"/>
        <item x="699"/>
        <item x="962"/>
        <item x="259"/>
        <item x="639"/>
        <item x="765"/>
        <item x="500"/>
        <item x="304"/>
        <item x="457"/>
        <item x="582"/>
        <item x="890"/>
        <item x="587"/>
        <item x="365"/>
        <item x="595"/>
        <item x="995"/>
        <item x="902"/>
        <item x="359"/>
        <item x="632"/>
        <item x="303"/>
        <item x="694"/>
        <item x="597"/>
        <item x="470"/>
        <item x="422"/>
        <item x="474"/>
        <item x="499"/>
        <item x="685"/>
        <item x="675"/>
        <item x="247"/>
        <item x="924"/>
        <item x="236"/>
        <item x="103"/>
        <item x="949"/>
        <item x="210"/>
        <item x="478"/>
        <item x="249"/>
        <item x="840"/>
        <item x="981"/>
        <item x="443"/>
        <item x="906"/>
        <item x="737"/>
        <item x="748"/>
        <item x="421"/>
        <item x="158"/>
        <item x="920"/>
        <item x="193"/>
        <item x="262"/>
        <item x="577"/>
        <item x="23"/>
        <item x="700"/>
        <item x="552"/>
        <item x="900"/>
        <item x="428"/>
        <item x="874"/>
        <item x="84"/>
        <item x="105"/>
        <item x="199"/>
        <item x="394"/>
        <item x="321"/>
        <item x="8"/>
        <item x="990"/>
        <item x="311"/>
        <item x="384"/>
        <item x="614"/>
        <item x="420"/>
        <item x="859"/>
        <item x="397"/>
        <item x="417"/>
        <item x="609"/>
        <item x="121"/>
        <item x="479"/>
        <item x="972"/>
        <item x="621"/>
        <item x="335"/>
        <item x="665"/>
        <item x="684"/>
        <item x="396"/>
        <item x="815"/>
        <item x="882"/>
        <item x="439"/>
        <item x="395"/>
        <item x="760"/>
        <item x="194"/>
        <item x="672"/>
        <item x="330"/>
        <item x="777"/>
        <item x="589"/>
        <item x="884"/>
        <item x="163"/>
        <item x="91"/>
        <item x="135"/>
        <item x="671"/>
        <item x="198"/>
        <item x="130"/>
        <item x="85"/>
        <item x="756"/>
        <item x="698"/>
        <item x="818"/>
        <item x="250"/>
        <item x="705"/>
        <item x="358"/>
        <item x="366"/>
        <item x="986"/>
        <item x="824"/>
        <item x="177"/>
        <item x="624"/>
        <item x="208"/>
        <item x="929"/>
        <item x="988"/>
        <item x="506"/>
        <item x="411"/>
        <item x="279"/>
        <item x="196"/>
        <item x="36"/>
        <item x="242"/>
        <item x="691"/>
        <item x="308"/>
        <item x="128"/>
        <item x="282"/>
        <item x="392"/>
        <item x="159"/>
        <item x="570"/>
        <item x="464"/>
        <item x="523"/>
        <item x="424"/>
        <item x="645"/>
        <item x="851"/>
        <item x="226"/>
        <item x="530"/>
        <item x="794"/>
        <item x="38"/>
        <item x="971"/>
        <item x="836"/>
        <item x="217"/>
        <item x="458"/>
        <item x="725"/>
        <item x="118"/>
        <item x="34"/>
        <item x="164"/>
        <item x="1"/>
        <item x="959"/>
        <item x="339"/>
        <item x="987"/>
        <item x="650"/>
        <item x="305"/>
        <item x="256"/>
        <item x="326"/>
        <item x="488"/>
        <item x="399"/>
        <item x="821"/>
        <item x="72"/>
        <item x="541"/>
        <item x="24"/>
        <item x="663"/>
        <item x="848"/>
        <item x="722"/>
        <item x="607"/>
        <item x="337"/>
        <item x="881"/>
        <item x="606"/>
        <item x="39"/>
        <item x="688"/>
        <item x="517"/>
        <item x="379"/>
        <item x="74"/>
        <item x="232"/>
        <item x="143"/>
        <item x="643"/>
        <item x="102"/>
        <item x="806"/>
        <item x="989"/>
        <item x="18"/>
        <item x="243"/>
        <item x="200"/>
        <item x="715"/>
        <item x="961"/>
        <item x="786"/>
        <item x="548"/>
        <item x="146"/>
        <item x="160"/>
        <item x="557"/>
        <item x="966"/>
        <item x="328"/>
        <item x="704"/>
        <item x="76"/>
        <item x="504"/>
        <item x="441"/>
        <item x="147"/>
        <item x="17"/>
        <item x="998"/>
        <item x="144"/>
        <item x="14"/>
        <item x="804"/>
        <item x="503"/>
        <item x="493"/>
        <item x="387"/>
        <item x="791"/>
        <item x="553"/>
        <item x="651"/>
        <item x="816"/>
        <item x="974"/>
        <item x="740"/>
        <item x="682"/>
        <item x="0"/>
        <item x="892"/>
        <item x="652"/>
        <item x="647"/>
        <item x="932"/>
        <item x="593"/>
        <item x="438"/>
        <item x="973"/>
        <item x="753"/>
        <item x="538"/>
        <item x="223"/>
        <item x="398"/>
        <item x="71"/>
        <item x="619"/>
        <item x="271"/>
        <item x="809"/>
        <item x="644"/>
        <item x="637"/>
        <item x="596"/>
        <item x="293"/>
        <item x="139"/>
        <item x="179"/>
        <item x="899"/>
        <item x="802"/>
        <item x="137"/>
        <item x="916"/>
        <item x="886"/>
        <item x="283"/>
        <item x="7"/>
        <item x="535"/>
        <item x="462"/>
        <item x="244"/>
        <item x="977"/>
        <item x="466"/>
        <item x="131"/>
        <item x="936"/>
        <item x="192"/>
        <item x="186"/>
        <item x="842"/>
        <item x="636"/>
        <item x="612"/>
        <item x="482"/>
        <item x="528"/>
        <item x="970"/>
        <item x="261"/>
        <item t="default"/>
      </items>
    </pivotField>
    <pivotField numFmtId="165" showAll="0"/>
    <pivotField numFmtId="165" showAll="0">
      <items count="1000">
        <item x="365"/>
        <item x="882"/>
        <item x="395"/>
        <item x="661"/>
        <item x="517"/>
        <item x="280"/>
        <item x="991"/>
        <item x="528"/>
        <item x="447"/>
        <item x="155"/>
        <item x="614"/>
        <item x="904"/>
        <item x="876"/>
        <item x="730"/>
        <item x="46"/>
        <item x="553"/>
        <item x="979"/>
        <item x="497"/>
        <item x="106"/>
        <item x="116"/>
        <item x="254"/>
        <item x="682"/>
        <item x="658"/>
        <item x="319"/>
        <item x="886"/>
        <item x="952"/>
        <item x="647"/>
        <item x="393"/>
        <item x="389"/>
        <item x="921"/>
        <item x="107"/>
        <item x="341"/>
        <item x="607"/>
        <item x="486"/>
        <item x="92"/>
        <item x="762"/>
        <item x="864"/>
        <item x="583"/>
        <item x="579"/>
        <item x="741"/>
        <item x="494"/>
        <item x="896"/>
        <item x="733"/>
        <item x="345"/>
        <item x="248"/>
        <item x="945"/>
        <item x="408"/>
        <item x="21"/>
        <item x="997"/>
        <item x="695"/>
        <item x="933"/>
        <item x="514"/>
        <item x="914"/>
        <item x="213"/>
        <item x="413"/>
        <item x="648"/>
        <item x="679"/>
        <item x="460"/>
        <item x="204"/>
        <item x="263"/>
        <item x="197"/>
        <item x="390"/>
        <item x="255"/>
        <item x="476"/>
        <item x="833"/>
        <item x="923"/>
        <item x="221"/>
        <item x="69"/>
        <item x="738"/>
        <item x="315"/>
        <item x="334"/>
        <item x="794"/>
        <item x="95"/>
        <item x="872"/>
        <item x="512"/>
        <item x="609"/>
        <item x="591"/>
        <item x="6"/>
        <item x="371"/>
        <item x="555"/>
        <item x="798"/>
        <item x="843"/>
        <item x="807"/>
        <item x="16"/>
        <item x="20"/>
        <item x="427"/>
        <item x="538"/>
        <item x="888"/>
        <item x="910"/>
        <item x="138"/>
        <item x="500"/>
        <item x="206"/>
        <item x="621"/>
        <item x="653"/>
        <item x="338"/>
        <item x="241"/>
        <item x="639"/>
        <item x="493"/>
        <item x="495"/>
        <item x="245"/>
        <item x="360"/>
        <item x="731"/>
        <item x="654"/>
        <item x="88"/>
        <item x="789"/>
        <item x="853"/>
        <item x="845"/>
        <item x="897"/>
        <item x="317"/>
        <item x="854"/>
        <item x="153"/>
        <item x="546"/>
        <item x="270"/>
        <item x="403"/>
        <item x="829"/>
        <item x="65"/>
        <item x="571"/>
        <item x="109"/>
        <item x="626"/>
        <item x="461"/>
        <item x="895"/>
        <item x="41"/>
        <item x="184"/>
        <item x="968"/>
        <item x="640"/>
        <item x="504"/>
        <item x="126"/>
        <item x="590"/>
        <item x="701"/>
        <item x="604"/>
        <item x="676"/>
        <item x="314"/>
        <item x="471"/>
        <item x="351"/>
        <item x="634"/>
        <item x="633"/>
        <item x="935"/>
        <item x="800"/>
        <item x="162"/>
        <item x="12"/>
        <item x="229"/>
        <item x="49"/>
        <item x="655"/>
        <item x="302"/>
        <item x="127"/>
        <item x="625"/>
        <item x="561"/>
        <item x="225"/>
        <item x="28"/>
        <item x="917"/>
        <item x="587"/>
        <item x="332"/>
        <item x="133"/>
        <item x="708"/>
        <item x="996"/>
        <item x="902"/>
        <item x="429"/>
        <item x="943"/>
        <item x="54"/>
        <item x="425"/>
        <item x="120"/>
        <item x="251"/>
        <item x="663"/>
        <item x="274"/>
        <item x="507"/>
        <item x="13"/>
        <item x="926"/>
        <item x="214"/>
        <item x="574"/>
        <item x="100"/>
        <item x="215"/>
        <item x="745"/>
        <item x="292"/>
        <item x="705"/>
        <item x="59"/>
        <item x="965"/>
        <item x="603"/>
        <item x="323"/>
        <item x="577"/>
        <item x="754"/>
        <item x="101"/>
        <item x="168"/>
        <item x="171"/>
        <item x="325"/>
        <item x="347"/>
        <item x="954"/>
        <item x="9"/>
        <item x="125"/>
        <item x="466"/>
        <item x="445"/>
        <item x="48"/>
        <item x="169"/>
        <item x="463"/>
        <item x="31"/>
        <item x="938"/>
        <item x="777"/>
        <item x="866"/>
        <item x="178"/>
        <item x="629"/>
        <item x="129"/>
        <item x="57"/>
        <item x="909"/>
        <item x="842"/>
        <item x="185"/>
        <item x="928"/>
        <item x="763"/>
        <item x="702"/>
        <item x="349"/>
        <item x="327"/>
        <item x="542"/>
        <item x="231"/>
        <item x="75"/>
        <item x="230"/>
        <item x="237"/>
        <item x="666"/>
        <item x="212"/>
        <item x="734"/>
        <item x="78"/>
        <item x="207"/>
        <item x="297"/>
        <item x="281"/>
        <item x="246"/>
        <item x="746"/>
        <item x="782"/>
        <item x="689"/>
        <item x="27"/>
        <item x="172"/>
        <item x="344"/>
        <item x="619"/>
        <item x="318"/>
        <item x="719"/>
        <item x="753"/>
        <item x="227"/>
        <item x="343"/>
        <item x="322"/>
        <item x="558"/>
        <item x="288"/>
        <item x="81"/>
        <item x="446"/>
        <item x="750"/>
        <item x="765"/>
        <item x="105"/>
        <item x="402"/>
        <item x="55"/>
        <item x="830"/>
        <item x="510"/>
        <item x="622"/>
        <item x="482"/>
        <item x="368"/>
        <item x="562"/>
        <item x="675"/>
        <item x="729"/>
        <item x="455"/>
        <item x="156"/>
        <item x="526"/>
        <item x="656"/>
        <item x="716"/>
        <item x="306"/>
        <item x="783"/>
        <item x="825"/>
        <item x="273"/>
        <item x="818"/>
        <item x="148"/>
        <item x="578"/>
        <item x="908"/>
        <item x="260"/>
        <item x="333"/>
        <item x="267"/>
        <item x="831"/>
        <item x="377"/>
        <item x="802"/>
        <item x="725"/>
        <item x="294"/>
        <item x="354"/>
        <item x="799"/>
        <item x="696"/>
        <item x="94"/>
        <item x="809"/>
        <item x="480"/>
        <item x="778"/>
        <item x="916"/>
        <item x="99"/>
        <item x="852"/>
        <item x="865"/>
        <item x="927"/>
        <item x="211"/>
        <item x="924"/>
        <item x="374"/>
        <item x="195"/>
        <item x="355"/>
        <item x="496"/>
        <item x="87"/>
        <item x="265"/>
        <item x="956"/>
        <item x="440"/>
        <item x="946"/>
        <item x="980"/>
        <item x="822"/>
        <item x="598"/>
        <item x="3"/>
        <item x="324"/>
        <item x="806"/>
        <item x="420"/>
        <item x="350"/>
        <item x="114"/>
        <item x="568"/>
        <item x="483"/>
        <item x="485"/>
        <item x="920"/>
        <item x="309"/>
        <item x="383"/>
        <item x="770"/>
        <item x="892"/>
        <item x="667"/>
        <item x="459"/>
        <item x="709"/>
        <item x="363"/>
        <item x="953"/>
        <item x="985"/>
        <item x="378"/>
        <item x="715"/>
        <item x="122"/>
        <item x="336"/>
        <item x="479"/>
        <item x="771"/>
        <item x="863"/>
        <item x="83"/>
        <item x="511"/>
        <item x="582"/>
        <item x="533"/>
        <item x="26"/>
        <item x="180"/>
        <item x="967"/>
        <item x="233"/>
        <item x="637"/>
        <item x="543"/>
        <item x="268"/>
        <item x="693"/>
        <item x="449"/>
        <item x="720"/>
        <item x="453"/>
        <item x="536"/>
        <item x="373"/>
        <item x="108"/>
        <item x="45"/>
        <item x="826"/>
        <item x="4"/>
        <item x="435"/>
        <item x="768"/>
        <item x="515"/>
        <item x="940"/>
        <item x="743"/>
        <item x="757"/>
        <item x="942"/>
        <item x="728"/>
        <item x="340"/>
        <item x="115"/>
        <item x="51"/>
        <item x="612"/>
        <item x="627"/>
        <item x="418"/>
        <item x="875"/>
        <item x="787"/>
        <item x="60"/>
        <item x="47"/>
        <item x="64"/>
        <item x="944"/>
        <item x="751"/>
        <item x="218"/>
        <item x="934"/>
        <item x="840"/>
        <item x="992"/>
        <item x="203"/>
        <item x="301"/>
        <item x="580"/>
        <item x="937"/>
        <item x="812"/>
        <item x="784"/>
        <item x="488"/>
        <item x="828"/>
        <item x="289"/>
        <item x="860"/>
        <item x="405"/>
        <item x="188"/>
        <item x="166"/>
        <item x="877"/>
        <item x="40"/>
        <item x="252"/>
        <item x="601"/>
        <item x="201"/>
        <item x="532"/>
        <item x="257"/>
        <item x="597"/>
        <item x="993"/>
        <item x="357"/>
        <item x="442"/>
        <item x="44"/>
        <item x="775"/>
        <item x="474"/>
        <item x="290"/>
        <item x="362"/>
        <item x="559"/>
        <item x="535"/>
        <item x="951"/>
        <item x="176"/>
        <item x="925"/>
        <item x="560"/>
        <item x="678"/>
        <item x="913"/>
        <item x="437"/>
        <item x="331"/>
        <item x="258"/>
        <item x="645"/>
        <item x="11"/>
        <item x="470"/>
        <item x="857"/>
        <item x="628"/>
        <item x="15"/>
        <item x="652"/>
        <item x="982"/>
        <item x="692"/>
        <item x="727"/>
        <item x="861"/>
        <item x="183"/>
        <item x="35"/>
        <item x="890"/>
        <item x="984"/>
        <item x="931"/>
        <item x="484"/>
        <item x="79"/>
        <item x="119"/>
        <item x="2"/>
        <item x="117"/>
        <item x="545"/>
        <item x="870"/>
        <item x="5"/>
        <item x="253"/>
        <item x="758"/>
        <item x="369"/>
        <item x="900"/>
        <item x="456"/>
        <item x="364"/>
        <item x="50"/>
        <item x="320"/>
        <item x="80"/>
        <item x="811"/>
        <item x="930"/>
        <item x="30"/>
        <item x="610"/>
        <item x="367"/>
        <item x="165"/>
        <item x="851"/>
        <item x="32"/>
        <item x="855"/>
        <item x="769"/>
        <item x="513"/>
        <item x="680"/>
        <item x="878"/>
        <item x="665"/>
        <item x="134"/>
        <item x="352"/>
        <item x="848"/>
        <item x="375"/>
        <item x="141"/>
        <item x="549"/>
        <item x="657"/>
        <item x="737"/>
        <item x="563"/>
        <item x="209"/>
        <item x="123"/>
        <item x="887"/>
        <item x="524"/>
        <item x="56"/>
        <item x="879"/>
        <item x="584"/>
        <item x="749"/>
        <item x="742"/>
        <item x="190"/>
        <item x="409"/>
        <item x="33"/>
        <item x="348"/>
        <item x="867"/>
        <item x="766"/>
        <item x="150"/>
        <item x="97"/>
        <item x="868"/>
        <item x="202"/>
        <item x="329"/>
        <item x="893"/>
        <item x="19"/>
        <item x="694"/>
        <item x="91"/>
        <item x="353"/>
        <item x="313"/>
        <item x="98"/>
        <item x="814"/>
        <item x="272"/>
        <item x="433"/>
        <item x="963"/>
        <item x="310"/>
        <item x="89"/>
        <item x="228"/>
        <item x="779"/>
        <item x="277"/>
        <item x="827"/>
        <item x="756"/>
        <item x="154"/>
        <item x="714"/>
        <item x="376"/>
        <item x="142"/>
        <item x="287"/>
        <item x="976"/>
        <item x="468"/>
        <item x="948"/>
        <item x="161"/>
        <item x="401"/>
        <item x="385"/>
        <item x="434"/>
        <item x="191"/>
        <item x="432"/>
        <item x="82"/>
        <item x="862"/>
        <item x="718"/>
        <item x="416"/>
        <item x="837"/>
        <item x="712"/>
        <item x="564"/>
        <item x="53"/>
        <item x="448"/>
        <item x="224"/>
        <item x="145"/>
        <item x="955"/>
        <item x="276"/>
        <item x="975"/>
        <item x="467"/>
        <item x="632"/>
        <item x="572"/>
        <item x="617"/>
        <item x="509"/>
        <item x="475"/>
        <item x="669"/>
        <item x="112"/>
        <item x="600"/>
        <item x="110"/>
        <item x="903"/>
        <item x="296"/>
        <item x="939"/>
        <item x="774"/>
        <item x="236"/>
        <item x="672"/>
        <item x="167"/>
        <item x="673"/>
        <item x="849"/>
        <item x="947"/>
        <item x="518"/>
        <item x="957"/>
        <item x="414"/>
        <item x="388"/>
        <item x="565"/>
        <item x="548"/>
        <item x="792"/>
        <item x="451"/>
        <item x="740"/>
        <item x="382"/>
        <item x="821"/>
        <item x="589"/>
        <item x="599"/>
        <item x="846"/>
        <item x="235"/>
        <item x="691"/>
        <item x="735"/>
        <item x="566"/>
        <item x="922"/>
        <item x="906"/>
        <item x="70"/>
        <item x="135"/>
        <item x="391"/>
        <item x="8"/>
        <item x="824"/>
        <item x="307"/>
        <item x="659"/>
        <item x="489"/>
        <item x="874"/>
        <item x="519"/>
        <item x="523"/>
        <item x="431"/>
        <item x="96"/>
        <item x="22"/>
        <item x="912"/>
        <item x="62"/>
        <item x="430"/>
        <item x="436"/>
        <item x="722"/>
        <item x="919"/>
        <item x="641"/>
        <item x="608"/>
        <item x="298"/>
        <item x="838"/>
        <item x="772"/>
        <item x="174"/>
        <item x="285"/>
        <item x="136"/>
        <item x="732"/>
        <item x="181"/>
        <item x="780"/>
        <item x="216"/>
        <item x="452"/>
        <item x="834"/>
        <item x="205"/>
        <item x="286"/>
        <item x="412"/>
        <item x="187"/>
        <item x="300"/>
        <item x="93"/>
        <item x="361"/>
        <item x="10"/>
        <item x="677"/>
        <item x="68"/>
        <item x="788"/>
        <item x="521"/>
        <item x="264"/>
        <item x="978"/>
        <item x="668"/>
        <item x="797"/>
        <item x="761"/>
        <item x="222"/>
        <item x="918"/>
        <item x="630"/>
        <item x="520"/>
        <item x="415"/>
        <item x="616"/>
        <item x="994"/>
        <item x="157"/>
        <item x="554"/>
        <item x="949"/>
        <item x="706"/>
        <item x="501"/>
        <item x="303"/>
        <item x="990"/>
        <item x="381"/>
        <item x="25"/>
        <item x="37"/>
        <item x="764"/>
        <item x="776"/>
        <item x="796"/>
        <item x="269"/>
        <item x="804"/>
        <item x="894"/>
        <item x="77"/>
        <item x="506"/>
        <item x="525"/>
        <item x="615"/>
        <item x="132"/>
        <item x="284"/>
        <item x="836"/>
        <item x="423"/>
        <item x="356"/>
        <item x="844"/>
        <item x="198"/>
        <item x="299"/>
        <item x="291"/>
        <item x="295"/>
        <item x="688"/>
        <item x="454"/>
        <item x="551"/>
        <item x="556"/>
        <item x="602"/>
        <item x="175"/>
        <item x="278"/>
        <item x="907"/>
        <item x="773"/>
        <item x="573"/>
        <item x="29"/>
        <item x="686"/>
        <item x="685"/>
        <item x="86"/>
        <item x="52"/>
        <item x="152"/>
        <item x="170"/>
        <item x="182"/>
        <item x="410"/>
        <item x="859"/>
        <item x="312"/>
        <item x="717"/>
        <item x="700"/>
        <item x="42"/>
        <item x="428"/>
        <item x="795"/>
        <item x="624"/>
        <item x="346"/>
        <item x="873"/>
        <item x="958"/>
        <item x="699"/>
        <item x="593"/>
        <item x="63"/>
        <item x="856"/>
        <item x="328"/>
        <item x="140"/>
        <item x="832"/>
        <item x="871"/>
        <item x="810"/>
        <item x="247"/>
        <item x="570"/>
        <item x="791"/>
        <item x="262"/>
        <item x="911"/>
        <item x="407"/>
        <item x="239"/>
        <item x="124"/>
        <item x="67"/>
        <item x="85"/>
        <item x="707"/>
        <item x="234"/>
        <item x="713"/>
        <item x="962"/>
        <item x="240"/>
        <item x="567"/>
        <item x="786"/>
        <item x="61"/>
        <item x="960"/>
        <item x="816"/>
        <item x="149"/>
        <item x="469"/>
        <item x="90"/>
        <item x="73"/>
        <item x="981"/>
        <item x="478"/>
        <item x="220"/>
        <item x="620"/>
        <item x="238"/>
        <item x="941"/>
        <item x="723"/>
        <item x="869"/>
        <item x="596"/>
        <item x="43"/>
        <item x="544"/>
        <item x="660"/>
        <item x="781"/>
        <item x="366"/>
        <item x="386"/>
        <item x="342"/>
        <item x="744"/>
        <item x="889"/>
        <item x="104"/>
        <item x="575"/>
        <item x="406"/>
        <item x="760"/>
        <item x="370"/>
        <item x="748"/>
        <item x="58"/>
        <item x="530"/>
        <item x="419"/>
        <item x="337"/>
        <item x="444"/>
        <item x="177"/>
        <item x="881"/>
        <item x="983"/>
        <item x="710"/>
        <item x="121"/>
        <item x="531"/>
        <item x="585"/>
        <item x="128"/>
        <item x="594"/>
        <item x="813"/>
        <item x="66"/>
        <item x="490"/>
        <item x="839"/>
        <item x="638"/>
        <item x="316"/>
        <item x="450"/>
        <item x="219"/>
        <item x="275"/>
        <item x="586"/>
        <item x="950"/>
        <item x="581"/>
        <item x="557"/>
        <item x="23"/>
        <item x="819"/>
        <item x="111"/>
        <item x="683"/>
        <item x="457"/>
        <item x="189"/>
        <item x="266"/>
        <item x="173"/>
        <item x="711"/>
        <item x="358"/>
        <item x="726"/>
        <item x="964"/>
        <item x="697"/>
        <item x="755"/>
        <item x="674"/>
        <item x="884"/>
        <item x="113"/>
        <item x="899"/>
        <item x="372"/>
        <item x="379"/>
        <item x="158"/>
        <item x="539"/>
        <item x="36"/>
        <item x="84"/>
        <item x="684"/>
        <item x="472"/>
        <item x="193"/>
        <item x="736"/>
        <item x="18"/>
        <item x="969"/>
        <item x="159"/>
        <item x="491"/>
        <item x="311"/>
        <item x="499"/>
        <item x="498"/>
        <item x="883"/>
        <item x="380"/>
        <item x="508"/>
        <item x="384"/>
        <item x="359"/>
        <item x="404"/>
        <item x="522"/>
        <item x="426"/>
        <item x="400"/>
        <item x="164"/>
        <item x="396"/>
        <item x="901"/>
        <item x="592"/>
        <item x="671"/>
        <item x="144"/>
        <item x="151"/>
        <item x="473"/>
        <item x="698"/>
        <item x="477"/>
        <item x="200"/>
        <item x="259"/>
        <item x="130"/>
        <item x="550"/>
        <item x="196"/>
        <item x="249"/>
        <item x="199"/>
        <item x="417"/>
        <item x="623"/>
        <item x="961"/>
        <item x="422"/>
        <item x="767"/>
        <item x="759"/>
        <item x="929"/>
        <item x="421"/>
        <item x="905"/>
        <item x="588"/>
        <item x="194"/>
        <item x="492"/>
        <item x="505"/>
        <item x="690"/>
        <item x="439"/>
        <item x="250"/>
        <item x="664"/>
        <item x="790"/>
        <item x="805"/>
        <item x="443"/>
        <item x="631"/>
        <item x="304"/>
        <item x="394"/>
        <item x="397"/>
        <item x="704"/>
        <item x="14"/>
        <item x="613"/>
        <item x="24"/>
        <item x="242"/>
        <item x="971"/>
        <item x="576"/>
        <item x="995"/>
        <item x="335"/>
        <item x="541"/>
        <item x="747"/>
        <item x="642"/>
        <item x="232"/>
        <item x="644"/>
        <item x="850"/>
        <item x="210"/>
        <item x="282"/>
        <item x="464"/>
        <item x="858"/>
        <item x="139"/>
        <item x="103"/>
        <item x="529"/>
        <item x="670"/>
        <item x="143"/>
        <item x="552"/>
        <item x="411"/>
        <item x="972"/>
        <item x="959"/>
        <item x="817"/>
        <item x="891"/>
        <item x="424"/>
        <item x="321"/>
        <item x="163"/>
        <item x="308"/>
        <item x="399"/>
        <item x="966"/>
        <item x="793"/>
        <item x="986"/>
        <item x="0"/>
        <item x="605"/>
        <item x="721"/>
        <item x="34"/>
        <item x="988"/>
        <item x="38"/>
        <item x="243"/>
        <item x="987"/>
        <item x="17"/>
        <item x="208"/>
        <item x="487"/>
        <item x="305"/>
        <item x="217"/>
        <item x="569"/>
        <item x="392"/>
        <item x="880"/>
        <item x="326"/>
        <item x="330"/>
        <item x="458"/>
        <item x="662"/>
        <item x="703"/>
        <item x="118"/>
        <item x="279"/>
        <item x="147"/>
        <item x="649"/>
        <item x="74"/>
        <item x="815"/>
        <item x="724"/>
        <item x="503"/>
        <item x="72"/>
        <item x="226"/>
        <item x="256"/>
        <item x="803"/>
        <item x="835"/>
        <item x="820"/>
        <item x="687"/>
        <item x="643"/>
        <item x="39"/>
        <item x="339"/>
        <item x="989"/>
        <item x="1"/>
        <item x="998"/>
        <item x="102"/>
        <item x="146"/>
        <item x="160"/>
        <item x="595"/>
        <item x="823"/>
        <item x="651"/>
        <item x="847"/>
        <item x="540"/>
        <item x="441"/>
        <item x="547"/>
        <item x="516"/>
        <item x="76"/>
        <item x="974"/>
        <item x="7"/>
        <item x="808"/>
        <item x="606"/>
        <item x="618"/>
        <item x="534"/>
        <item x="785"/>
        <item x="223"/>
        <item x="502"/>
        <item x="179"/>
        <item x="438"/>
        <item x="646"/>
        <item x="71"/>
        <item x="137"/>
        <item x="537"/>
        <item x="932"/>
        <item x="973"/>
        <item x="244"/>
        <item x="977"/>
        <item x="752"/>
        <item x="898"/>
        <item x="936"/>
        <item x="885"/>
        <item x="283"/>
        <item x="915"/>
        <item x="271"/>
        <item x="293"/>
        <item x="398"/>
        <item x="635"/>
        <item x="681"/>
        <item x="192"/>
        <item x="636"/>
        <item x="462"/>
        <item x="387"/>
        <item x="186"/>
        <item x="739"/>
        <item x="650"/>
        <item x="841"/>
        <item x="465"/>
        <item x="131"/>
        <item x="611"/>
        <item x="801"/>
        <item x="261"/>
        <item x="481"/>
        <item x="527"/>
        <item x="970"/>
        <item t="default"/>
      </items>
    </pivotField>
    <pivotField numFmtId="10" showAll="0">
      <items count="1001">
        <item x="498"/>
        <item x="106"/>
        <item x="696"/>
        <item x="683"/>
        <item x="608"/>
        <item x="345"/>
        <item x="554"/>
        <item x="659"/>
        <item x="915"/>
        <item x="648"/>
        <item x="447"/>
        <item x="341"/>
        <item x="980"/>
        <item x="107"/>
        <item x="742"/>
        <item x="263"/>
        <item x="763"/>
        <item x="495"/>
        <item x="21"/>
        <item x="487"/>
        <item x="734"/>
        <item x="116"/>
        <item x="946"/>
        <item x="883"/>
        <item x="389"/>
        <item x="515"/>
        <item x="834"/>
        <item x="393"/>
        <item x="518"/>
        <item x="897"/>
        <item x="255"/>
        <item x="390"/>
        <item x="92"/>
        <item x="408"/>
        <item x="887"/>
        <item x="319"/>
        <item x="924"/>
        <item x="580"/>
        <item x="953"/>
        <item x="413"/>
        <item x="155"/>
        <item x="221"/>
        <item x="95"/>
        <item x="649"/>
        <item x="513"/>
        <item x="662"/>
        <item x="69"/>
        <item x="334"/>
        <item x="460"/>
        <item x="610"/>
        <item x="197"/>
        <item x="615"/>
        <item x="844"/>
        <item x="739"/>
        <item x="213"/>
        <item x="592"/>
        <item x="905"/>
        <item x="365"/>
        <item x="731"/>
        <item x="315"/>
        <item x="477"/>
        <item x="680"/>
        <item x="934"/>
        <item x="204"/>
        <item x="584"/>
        <item x="138"/>
        <item x="795"/>
        <item x="808"/>
        <item x="529"/>
        <item x="556"/>
        <item x="622"/>
        <item x="877"/>
        <item x="280"/>
        <item x="799"/>
        <item x="911"/>
        <item x="992"/>
        <item x="371"/>
        <item x="873"/>
        <item x="395"/>
        <item x="427"/>
        <item x="254"/>
        <item x="922"/>
        <item x="338"/>
        <item x="46"/>
        <item x="865"/>
        <item x="501"/>
        <item x="6"/>
        <item x="640"/>
        <item x="889"/>
        <item x="998"/>
        <item x="206"/>
        <item x="654"/>
        <item x="241"/>
        <item x="248"/>
        <item x="20"/>
        <item x="539"/>
        <item x="16"/>
        <item x="496"/>
        <item x="494"/>
        <item x="245"/>
        <item x="88"/>
        <item x="732"/>
        <item x="360"/>
        <item x="655"/>
        <item x="854"/>
        <item x="627"/>
        <item x="790"/>
        <item x="702"/>
        <item x="846"/>
        <item x="317"/>
        <item x="898"/>
        <item x="562"/>
        <item x="153"/>
        <item x="105"/>
        <item x="184"/>
        <item x="896"/>
        <item x="420"/>
        <item x="830"/>
        <item x="403"/>
        <item x="547"/>
        <item x="101"/>
        <item x="344"/>
        <item x="925"/>
        <item x="855"/>
        <item x="715"/>
        <item x="746"/>
        <item x="109"/>
        <item x="766"/>
        <item x="246"/>
        <item x="694"/>
        <item x="599"/>
        <item x="41"/>
        <item x="49"/>
        <item x="505"/>
        <item x="690"/>
        <item x="91"/>
        <item x="929"/>
        <item x="778"/>
        <item x="270"/>
        <item x="557"/>
        <item x="472"/>
        <item x="65"/>
        <item x="815"/>
        <item x="936"/>
        <item x="350"/>
        <item x="328"/>
        <item x="461"/>
        <item x="641"/>
        <item x="827"/>
        <item x="969"/>
        <item x="628"/>
        <item x="126"/>
        <item x="215"/>
        <item x="864"/>
        <item x="823"/>
        <item x="135"/>
        <item x="602"/>
        <item x="127"/>
        <item x="572"/>
        <item x="133"/>
        <item x="801"/>
        <item x="229"/>
        <item x="508"/>
        <item x="626"/>
        <item x="314"/>
        <item x="605"/>
        <item x="527"/>
        <item x="983"/>
        <item x="862"/>
        <item x="57"/>
        <item x="156"/>
        <item x="630"/>
        <item x="435"/>
        <item x="629"/>
        <item x="784"/>
        <item x="425"/>
        <item x="609"/>
        <item x="656"/>
        <item x="8"/>
        <item x="236"/>
        <item x="120"/>
        <item x="281"/>
        <item x="274"/>
        <item x="593"/>
        <item x="578"/>
        <item x="710"/>
        <item x="75"/>
        <item x="81"/>
        <item x="777"/>
        <item x="579"/>
        <item x="9"/>
        <item x="463"/>
        <item x="178"/>
        <item x="935"/>
        <item x="920"/>
        <item x="198"/>
        <item x="677"/>
        <item x="709"/>
        <item x="945"/>
        <item x="812"/>
        <item x="79"/>
        <item x="31"/>
        <item x="125"/>
        <item x="927"/>
        <item x="28"/>
        <item x="13"/>
        <item x="325"/>
        <item x="272"/>
        <item x="337"/>
        <item x="169"/>
        <item x="467"/>
        <item x="591"/>
        <item x="939"/>
        <item x="772"/>
        <item x="429"/>
        <item x="583"/>
        <item x="903"/>
        <item x="144"/>
        <item x="139"/>
        <item x="991"/>
        <item x="940"/>
        <item x="148"/>
        <item x="351"/>
        <item x="12"/>
        <item x="635"/>
        <item x="832"/>
        <item x="375"/>
        <item x="150"/>
        <item x="297"/>
        <item x="162"/>
        <item x="856"/>
        <item x="706"/>
        <item x="85"/>
        <item x="292"/>
        <item x="588"/>
        <item x="703"/>
        <item x="83"/>
        <item x="433"/>
        <item x="598"/>
        <item x="519"/>
        <item x="681"/>
        <item x="516"/>
        <item x="758"/>
        <item x="950"/>
        <item x="803"/>
        <item x="642"/>
        <item x="613"/>
        <item x="471"/>
        <item x="493"/>
        <item x="332"/>
        <item x="48"/>
        <item x="810"/>
        <item x="18"/>
        <item x="267"/>
        <item x="440"/>
        <item x="379"/>
        <item x="567"/>
        <item x="436"/>
        <item x="791"/>
        <item x="190"/>
        <item x="168"/>
        <item x="202"/>
        <item x="781"/>
        <item x="894"/>
        <item x="303"/>
        <item x="879"/>
        <item x="366"/>
        <item x="552"/>
        <item x="564"/>
        <item x="620"/>
        <item x="511"/>
        <item x="14"/>
        <item x="563"/>
        <item x="658"/>
        <item x="892"/>
        <item x="327"/>
        <item x="962"/>
        <item x="825"/>
        <item x="211"/>
        <item x="361"/>
        <item x="100"/>
        <item x="177"/>
        <item x="765"/>
        <item x="512"/>
        <item x="200"/>
        <item x="918"/>
        <item x="428"/>
        <item x="128"/>
        <item x="634"/>
        <item x="910"/>
        <item x="921"/>
        <item x="932"/>
        <item x="754"/>
        <item x="717"/>
        <item x="874"/>
        <item x="553"/>
        <item x="700"/>
        <item x="445"/>
        <item x="78"/>
        <item x="779"/>
        <item x="142"/>
        <item x="68"/>
        <item x="54"/>
        <item x="231"/>
        <item x="258"/>
        <item x="948"/>
        <item x="621"/>
        <item x="575"/>
        <item x="733"/>
        <item x="838"/>
        <item x="479"/>
        <item x="866"/>
        <item x="322"/>
        <item x="323"/>
        <item x="676"/>
        <item x="0"/>
        <item x="35"/>
        <item x="265"/>
        <item x="692"/>
        <item x="362"/>
        <item x="858"/>
        <item x="437"/>
        <item x="618"/>
        <item x="291"/>
        <item x="664"/>
        <item x="136"/>
        <item x="667"/>
        <item x="262"/>
        <item x="402"/>
        <item x="225"/>
        <item x="378"/>
        <item x="309"/>
        <item x="214"/>
        <item x="4"/>
        <item x="59"/>
        <item x="358"/>
        <item x="171"/>
        <item x="852"/>
        <item x="233"/>
        <item x="476"/>
        <item x="224"/>
        <item x="695"/>
        <item x="543"/>
        <item x="806"/>
        <item x="698"/>
        <item x="247"/>
        <item x="909"/>
        <item x="7"/>
        <item x="251"/>
        <item x="882"/>
        <item x="944"/>
        <item x="164"/>
        <item x="36"/>
        <item x="227"/>
        <item x="755"/>
        <item x="176"/>
        <item x="349"/>
        <item x="535"/>
        <item x="604"/>
        <item x="756"/>
        <item x="212"/>
        <item x="644"/>
        <item x="769"/>
        <item x="188"/>
        <item x="152"/>
        <item x="502"/>
        <item x="797"/>
        <item x="807"/>
        <item x="455"/>
        <item x="159"/>
        <item x="997"/>
        <item x="185"/>
        <item x="938"/>
        <item x="982"/>
        <item x="336"/>
        <item x="252"/>
        <item x="201"/>
        <item x="839"/>
        <item x="167"/>
        <item x="601"/>
        <item x="819"/>
        <item x="485"/>
        <item x="596"/>
        <item x="523"/>
        <item x="64"/>
        <item x="544"/>
        <item x="452"/>
        <item x="867"/>
        <item x="549"/>
        <item x="674"/>
        <item x="643"/>
        <item x="121"/>
        <item x="986"/>
        <item x="354"/>
        <item x="967"/>
        <item x="908"/>
        <item x="302"/>
        <item x="207"/>
        <item x="17"/>
        <item x="55"/>
        <item x="470"/>
        <item x="931"/>
        <item x="108"/>
        <item x="141"/>
        <item x="40"/>
        <item x="232"/>
        <item x="86"/>
        <item x="300"/>
        <item x="581"/>
        <item x="876"/>
        <item x="776"/>
        <item x="668"/>
        <item x="816"/>
        <item x="798"/>
        <item x="550"/>
        <item x="963"/>
        <item x="310"/>
        <item x="684"/>
        <item x="849"/>
        <item x="788"/>
        <item x="284"/>
        <item x="24"/>
        <item x="235"/>
        <item x="707"/>
        <item x="774"/>
        <item x="638"/>
        <item x="809"/>
        <item x="826"/>
        <item x="356"/>
        <item x="520"/>
        <item x="299"/>
        <item x="857"/>
        <item x="244"/>
        <item x="525"/>
        <item x="597"/>
        <item x="145"/>
        <item x="976"/>
        <item x="884"/>
        <item x="182"/>
        <item x="521"/>
        <item x="80"/>
        <item x="196"/>
        <item x="744"/>
        <item x="409"/>
        <item x="143"/>
        <item x="45"/>
        <item x="430"/>
        <item x="913"/>
        <item x="837"/>
        <item x="115"/>
        <item x="978"/>
        <item x="625"/>
        <item x="872"/>
        <item x="137"/>
        <item x="87"/>
        <item x="764"/>
        <item x="767"/>
        <item x="964"/>
        <item x="149"/>
        <item x="147"/>
        <item x="179"/>
        <item x="619"/>
        <item x="324"/>
        <item x="937"/>
        <item x="331"/>
        <item x="966"/>
        <item x="804"/>
        <item x="652"/>
        <item x="624"/>
        <item x="123"/>
        <item x="955"/>
        <item x="218"/>
        <item x="704"/>
        <item x="238"/>
        <item x="863"/>
        <item x="19"/>
        <item x="853"/>
        <item x="459"/>
        <item x="890"/>
        <item x="129"/>
        <item x="771"/>
        <item x="114"/>
        <item x="930"/>
        <item x="294"/>
        <item x="636"/>
        <item x="223"/>
        <item x="792"/>
        <item x="27"/>
        <item x="504"/>
        <item x="22"/>
        <item x="166"/>
        <item x="140"/>
        <item x="686"/>
        <item x="691"/>
        <item x="23"/>
        <item x="714"/>
        <item x="243"/>
        <item x="130"/>
        <item x="917"/>
        <item x="290"/>
        <item x="170"/>
        <item x="840"/>
        <item x="180"/>
        <item x="195"/>
        <item x="56"/>
        <item x="374"/>
        <item x="952"/>
        <item x="418"/>
        <item x="506"/>
        <item x="110"/>
        <item x="747"/>
        <item x="972"/>
        <item x="861"/>
        <item x="693"/>
        <item x="481"/>
        <item x="71"/>
        <item x="886"/>
        <item x="977"/>
        <item x="333"/>
        <item x="286"/>
        <item x="53"/>
        <item x="51"/>
        <item x="672"/>
        <item x="50"/>
        <item x="721"/>
        <item x="368"/>
        <item x="132"/>
        <item x="713"/>
        <item x="719"/>
        <item x="230"/>
        <item x="329"/>
        <item x="895"/>
        <item x="203"/>
        <item x="448"/>
        <item x="900"/>
        <item x="975"/>
        <item x="708"/>
        <item x="373"/>
        <item x="396"/>
        <item x="250"/>
        <item x="385"/>
        <item x="5"/>
        <item x="283"/>
        <item x="104"/>
        <item x="449"/>
        <item x="288"/>
        <item x="999"/>
        <item x="661"/>
        <item x="843"/>
        <item x="759"/>
        <item x="531"/>
        <item x="959"/>
        <item x="192"/>
        <item x="347"/>
        <item x="242"/>
        <item x="595"/>
        <item x="257"/>
        <item x="483"/>
        <item x="616"/>
        <item x="228"/>
        <item x="736"/>
        <item x="348"/>
        <item x="735"/>
        <item x="158"/>
        <item x="645"/>
        <item x="800"/>
        <item x="960"/>
        <item x="276"/>
        <item x="782"/>
        <item x="454"/>
        <item x="311"/>
        <item x="220"/>
        <item x="84"/>
        <item x="264"/>
        <item x="510"/>
        <item x="912"/>
        <item x="340"/>
        <item x="899"/>
        <item x="306"/>
        <item x="705"/>
        <item x="172"/>
        <item x="623"/>
        <item x="851"/>
        <item x="606"/>
        <item x="914"/>
        <item x="561"/>
        <item x="697"/>
        <item x="42"/>
        <item x="438"/>
        <item x="370"/>
        <item x="647"/>
        <item x="399"/>
        <item x="475"/>
        <item x="829"/>
        <item x="587"/>
        <item x="186"/>
        <item x="841"/>
        <item x="384"/>
        <item x="90"/>
        <item x="589"/>
        <item x="722"/>
        <item x="313"/>
        <item x="44"/>
        <item x="3"/>
        <item x="388"/>
        <item x="464"/>
        <item x="237"/>
        <item x="942"/>
        <item x="639"/>
        <item x="2"/>
        <item x="538"/>
        <item x="99"/>
        <item x="757"/>
        <item x="675"/>
        <item x="383"/>
        <item x="633"/>
        <item x="582"/>
        <item x="316"/>
        <item x="346"/>
        <item x="730"/>
        <item x="282"/>
        <item x="968"/>
        <item x="760"/>
        <item x="193"/>
        <item x="533"/>
        <item x="560"/>
        <item x="530"/>
        <item x="842"/>
        <item x="751"/>
        <item x="441"/>
        <item x="916"/>
        <item x="752"/>
        <item x="462"/>
        <item x="974"/>
        <item x="780"/>
        <item x="410"/>
        <item x="933"/>
        <item x="720"/>
        <item x="718"/>
        <item x="783"/>
        <item x="878"/>
        <item x="76"/>
        <item x="457"/>
        <item x="43"/>
        <item x="737"/>
        <item x="318"/>
        <item x="273"/>
        <item x="194"/>
        <item x="146"/>
        <item x="342"/>
        <item x="160"/>
        <item x="568"/>
        <item x="793"/>
        <item x="382"/>
        <item x="660"/>
        <item x="26"/>
        <item x="574"/>
        <item x="453"/>
        <item x="871"/>
        <item x="205"/>
        <item x="417"/>
        <item x="745"/>
        <item x="957"/>
        <item x="165"/>
        <item x="881"/>
        <item x="439"/>
        <item x="424"/>
        <item x="111"/>
        <item x="154"/>
        <item x="268"/>
        <item x="685"/>
        <item x="880"/>
        <item x="534"/>
        <item x="442"/>
        <item x="817"/>
        <item x="847"/>
        <item x="222"/>
        <item x="941"/>
        <item x="466"/>
        <item x="239"/>
        <item x="74"/>
        <item x="761"/>
        <item x="411"/>
        <item x="419"/>
        <item x="612"/>
        <item x="343"/>
        <item x="381"/>
        <item x="813"/>
        <item x="503"/>
        <item x="712"/>
        <item x="988"/>
        <item x="261"/>
        <item x="401"/>
        <item x="729"/>
        <item x="954"/>
        <item x="875"/>
        <item x="293"/>
        <item x="753"/>
        <item x="835"/>
        <item x="943"/>
        <item x="497"/>
        <item x="488"/>
        <item x="112"/>
        <item x="507"/>
        <item x="189"/>
        <item x="77"/>
        <item x="868"/>
        <item x="787"/>
        <item x="499"/>
        <item x="663"/>
        <item x="532"/>
        <item x="984"/>
        <item x="548"/>
        <item x="34"/>
        <item x="181"/>
        <item x="665"/>
        <item x="738"/>
        <item x="298"/>
        <item x="657"/>
        <item x="305"/>
        <item x="571"/>
        <item x="320"/>
        <item x="364"/>
        <item x="308"/>
        <item x="209"/>
        <item x="990"/>
        <item x="818"/>
        <item x="131"/>
        <item x="981"/>
        <item x="260"/>
        <item x="489"/>
        <item x="234"/>
        <item x="199"/>
        <item x="961"/>
        <item x="923"/>
        <item x="134"/>
        <item x="724"/>
        <item x="271"/>
        <item x="174"/>
        <item x="326"/>
        <item x="750"/>
        <item x="637"/>
        <item x="312"/>
        <item x="406"/>
        <item x="67"/>
        <item x="794"/>
        <item x="671"/>
        <item x="666"/>
        <item x="926"/>
        <item x="486"/>
        <item x="545"/>
        <item x="711"/>
        <item x="679"/>
        <item x="219"/>
        <item x="369"/>
        <item x="831"/>
        <item x="38"/>
        <item x="102"/>
        <item x="586"/>
        <item x="631"/>
        <item x="919"/>
        <item x="727"/>
        <item x="359"/>
        <item x="743"/>
        <item x="456"/>
        <item x="468"/>
        <item x="398"/>
        <item x="216"/>
        <item x="482"/>
        <item x="947"/>
        <item x="500"/>
        <item x="124"/>
        <item x="465"/>
        <item x="559"/>
        <item x="275"/>
        <item x="480"/>
        <item x="688"/>
        <item x="397"/>
        <item x="979"/>
        <item x="928"/>
        <item x="335"/>
        <item x="546"/>
        <item x="355"/>
        <item x="62"/>
        <item x="786"/>
        <item x="965"/>
        <item x="72"/>
        <item x="478"/>
        <item x="902"/>
        <item x="367"/>
        <item x="277"/>
        <item x="650"/>
        <item x="249"/>
        <item x="434"/>
        <item x="405"/>
        <item x="39"/>
        <item x="307"/>
        <item x="97"/>
        <item x="537"/>
        <item x="96"/>
        <item x="256"/>
        <item x="217"/>
        <item x="296"/>
        <item x="989"/>
        <item x="821"/>
        <item x="446"/>
        <item x="421"/>
        <item x="52"/>
        <item x="122"/>
        <item x="987"/>
        <item x="994"/>
        <item x="528"/>
        <item x="301"/>
        <item x="119"/>
        <item x="614"/>
        <item x="971"/>
        <item x="970"/>
        <item x="474"/>
        <item x="82"/>
        <item x="266"/>
        <item x="726"/>
        <item x="741"/>
        <item x="458"/>
        <item x="240"/>
        <item x="394"/>
        <item x="163"/>
        <item x="484"/>
        <item x="814"/>
        <item x="253"/>
        <item x="404"/>
        <item x="377"/>
        <item x="906"/>
        <item x="904"/>
        <item x="118"/>
        <item x="93"/>
        <item x="822"/>
        <item x="491"/>
        <item x="89"/>
        <item x="951"/>
        <item x="611"/>
        <item x="386"/>
        <item x="376"/>
        <item x="432"/>
        <item x="570"/>
        <item x="811"/>
        <item x="37"/>
        <item x="805"/>
        <item x="725"/>
        <item x="490"/>
        <item x="208"/>
        <item x="682"/>
        <item x="770"/>
        <item x="392"/>
        <item x="845"/>
        <item x="422"/>
        <item x="66"/>
        <item x="11"/>
        <item x="522"/>
        <item x="993"/>
        <item x="828"/>
        <item x="749"/>
        <item x="517"/>
        <item x="820"/>
        <item x="576"/>
        <item x="859"/>
        <item x="191"/>
        <item x="833"/>
        <item x="295"/>
        <item x="603"/>
        <item x="175"/>
        <item x="646"/>
        <item x="157"/>
        <item x="443"/>
        <item x="161"/>
        <item x="30"/>
        <item x="848"/>
        <item x="716"/>
        <item x="450"/>
        <item x="94"/>
        <item x="687"/>
        <item x="699"/>
        <item x="259"/>
        <item x="907"/>
        <item x="653"/>
        <item x="540"/>
        <item x="577"/>
        <item x="802"/>
        <item x="339"/>
        <item x="836"/>
        <item x="514"/>
        <item x="63"/>
        <item x="566"/>
        <item x="888"/>
        <item x="416"/>
        <item x="29"/>
        <item x="973"/>
        <item x="391"/>
        <item x="357"/>
        <item x="226"/>
        <item x="762"/>
        <item x="407"/>
        <item x="10"/>
        <item x="541"/>
        <item x="279"/>
        <item x="187"/>
        <item x="412"/>
        <item x="426"/>
        <item x="372"/>
        <item x="151"/>
        <item x="1"/>
        <item x="173"/>
        <item x="113"/>
        <item x="850"/>
        <item x="885"/>
        <item x="607"/>
        <item x="740"/>
        <item x="565"/>
        <item x="670"/>
        <item x="287"/>
        <item x="569"/>
        <item x="748"/>
        <item x="32"/>
        <item x="469"/>
        <item x="524"/>
        <item x="25"/>
        <item x="47"/>
        <item x="551"/>
        <item x="673"/>
        <item x="415"/>
        <item x="590"/>
        <item x="33"/>
        <item x="893"/>
        <item x="492"/>
        <item x="536"/>
        <item x="509"/>
        <item x="451"/>
        <item x="985"/>
        <item x="444"/>
        <item x="431"/>
        <item x="785"/>
        <item x="632"/>
        <item x="353"/>
        <item x="285"/>
        <item x="183"/>
        <item x="73"/>
        <item x="573"/>
        <item x="651"/>
        <item x="901"/>
        <item x="558"/>
        <item x="321"/>
        <item x="363"/>
        <item x="58"/>
        <item x="958"/>
        <item x="555"/>
        <item x="60"/>
        <item x="617"/>
        <item x="891"/>
        <item x="995"/>
        <item x="210"/>
        <item x="996"/>
        <item x="387"/>
        <item x="473"/>
        <item x="304"/>
        <item x="723"/>
        <item x="869"/>
        <item x="775"/>
        <item x="678"/>
        <item x="70"/>
        <item x="414"/>
        <item x="728"/>
        <item x="330"/>
        <item x="103"/>
        <item x="600"/>
        <item x="585"/>
        <item x="526"/>
        <item x="380"/>
        <item x="949"/>
        <item x="15"/>
        <item x="98"/>
        <item x="352"/>
        <item x="594"/>
        <item x="689"/>
        <item x="289"/>
        <item x="701"/>
        <item x="824"/>
        <item x="117"/>
        <item x="796"/>
        <item x="789"/>
        <item x="278"/>
        <item x="542"/>
        <item x="423"/>
        <item x="860"/>
        <item x="773"/>
        <item x="669"/>
        <item x="768"/>
        <item x="400"/>
        <item x="956"/>
        <item x="269"/>
        <item x="61"/>
        <item x="870"/>
        <item t="default"/>
      </items>
    </pivotField>
    <pivotField showAll="0">
      <items count="16">
        <item x="13"/>
        <item x="9"/>
        <item x="12"/>
        <item x="5"/>
        <item x="1"/>
        <item x="0"/>
        <item x="2"/>
        <item x="6"/>
        <item x="4"/>
        <item x="8"/>
        <item x="14"/>
        <item x="11"/>
        <item x="7"/>
        <item x="1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as Reviews" fld="19" subtotal="average" baseField="26" baseItem="0" numFmtId="2"/>
  </dataFields>
  <chartFormats count="4">
    <chartFormat chart="4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5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40" format="16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40" format="17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ansportadora1" xr10:uid="{CEB530ED-0148-4EAC-9D3B-D52FA8F8ECA7}" sourceName="transportadora">
  <pivotTables>
    <pivotTable tabId="4" name="Tabela dinâmica18"/>
    <pivotTable tabId="4" name="Tabela dinâmica19"/>
    <pivotTable tabId="4" name="Tabela dinâmica16"/>
    <pivotTable tabId="4" name="Tabela dinâmica24"/>
    <pivotTable tabId="4" name="Tabela dinâmica25"/>
    <pivotTable tabId="4" name="Tabela dinâmica26"/>
  </pivotTables>
  <data>
    <tabular pivotCacheId="57934185">
      <items count="4">
        <i x="3" s="1"/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adora" xr10:uid="{4E3AEEE4-E48B-4507-9262-2F36822B900C}" cache="SegmentaçãodeDados_transportadora1" caption="Transportador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BDA2D-B906-45B3-972E-5F2724D76BCD}" name="TabelaDadosConsolidados" displayName="TabelaDadosConsolidados" ref="A1:AA1001" headerRowDxfId="41" dataDxfId="40" totalsRowDxfId="39">
  <autoFilter ref="A1:AA1001" xr:uid="{3E1BDA2D-B906-45B3-972E-5F2724D76BCD}"/>
  <tableColumns count="27">
    <tableColumn id="1" xr3:uid="{F2608E9E-1BD3-4E5D-BBEF-8430079EF603}" name="id_pedido" totalsRowLabel="Total" dataDxfId="38"/>
    <tableColumn id="2" xr3:uid="{ABC4C6AB-A9FB-4069-811D-3BCD953F1B09}" name="id_cliente" dataDxfId="37"/>
    <tableColumn id="3" xr3:uid="{7FA46D48-03EE-4AC1-8649-E26AB22E285A}" name="data_compra" dataDxfId="36"/>
    <tableColumn id="4" xr3:uid="{38FFBFFA-2AA5-41FC-8A12-DD52D2F07E0F}" name="sku_produto" dataDxfId="35"/>
    <tableColumn id="5" xr3:uid="{1653F200-828C-43BF-B901-6224DE46EB6B}" name="produto_nome" dataDxfId="34"/>
    <tableColumn id="6" xr3:uid="{5B05EA8D-9899-46D8-9865-A1E30397A2E0}" name="categoria" dataDxfId="33"/>
    <tableColumn id="7" xr3:uid="{DBB928C8-E530-4043-B5A7-36B5E5DEDE98}" name="peso_gramas" dataDxfId="32"/>
    <tableColumn id="8" xr3:uid="{88AC9BA3-D205-47B6-8525-A9C075FA97FB}" name="quantidade" dataDxfId="31"/>
    <tableColumn id="9" xr3:uid="{28447E6C-7B0A-4A57-9C38-A890BA37D524}" name="custo_unitario" dataDxfId="30"/>
    <tableColumn id="10" xr3:uid="{4F700B73-1F82-49BD-9EBB-539076BD45B6}" name="valor_unitario_venda" dataDxfId="29"/>
    <tableColumn id="11" xr3:uid="{5FDDAC0E-2F9B-42A2-8D08-B1BE26DCB8FB}" name="cupom_desconto" dataDxfId="28"/>
    <tableColumn id="12" xr3:uid="{F2444E7E-A81F-4558-90F5-57C4F0189D07}" name="percentual_desconto" dataDxfId="27"/>
    <tableColumn id="13" xr3:uid="{7A434CB7-5286-4983-BEE5-97CF2F84F273}" name="transportadora" dataDxfId="26"/>
    <tableColumn id="14" xr3:uid="{0C1A5E40-A523-47AD-B2E1-298591FF3C00}" name="valor_frete" dataDxfId="25"/>
    <tableColumn id="15" xr3:uid="{47BC6446-D3B1-4B71-87C9-6A49788727D2}" name="cidade_destino" dataDxfId="24"/>
    <tableColumn id="16" xr3:uid="{5F65D467-0E29-4A1A-9F7F-063089E7476A}" name="data_postagem" dataDxfId="23"/>
    <tableColumn id="17" xr3:uid="{29905550-3172-42FF-B543-EBD40A850038}" name="data_previsao_entrega" dataDxfId="22"/>
    <tableColumn id="18" xr3:uid="{19144D25-EB62-421D-AD32-1C21F0D21CDC}" name="data_entrega_real" dataDxfId="21"/>
    <tableColumn id="19" xr3:uid="{4A9219E5-0381-4FFA-B15D-9508C5725113}" name="status_pedido" dataDxfId="20"/>
    <tableColumn id="20" xr3:uid="{04CA89E3-6CAD-40AF-B391-55259C8D334D}" name="nota_review" dataDxfId="19"/>
    <tableColumn id="21" xr3:uid="{4903F833-DA7C-4E97-B2E1-75D995B1B99D}" name="comentario_cliente" dataDxfId="18"/>
    <tableColumn id="22" xr3:uid="{2902CFBB-4308-4DF8-8770-B80E3334B50A}" name="valor_venda_final" dataDxfId="17"/>
    <tableColumn id="23" xr3:uid="{8E7AD2B9-B4FA-4A7B-8F86-21793E397D49}" name="custo_total" dataDxfId="16"/>
    <tableColumn id="24" xr3:uid="{48EE1EC4-812E-43C9-9BEA-4C835EE1A331}" name="lucro_liquido" dataDxfId="15"/>
    <tableColumn id="25" xr3:uid="{352F6482-EFE2-472E-B690-8309B2133979}" name="margem_lucro_pct" dataDxfId="14"/>
    <tableColumn id="26" xr3:uid="{03932145-D937-4247-8A49-CDED5E617BEA}" name="dias_atraso" dataDxfId="13"/>
    <tableColumn id="27" xr3:uid="{B6DBD740-1C06-44E9-813B-933EAD5974E2}" name="status_entrega" totalsRowFunction="count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A4D3-862E-44C6-A771-90D2D1C329F0}">
  <dimension ref="A1:Y49"/>
  <sheetViews>
    <sheetView showGridLines="0" tabSelected="1" zoomScale="70" zoomScaleNormal="70" workbookViewId="0"/>
  </sheetViews>
  <sheetFormatPr defaultColWidth="0" defaultRowHeight="15" zeroHeight="1" x14ac:dyDescent="0.25"/>
  <cols>
    <col min="1" max="25" width="9.140625" customWidth="1"/>
    <col min="26" max="16384" width="9.140625" hidden="1"/>
  </cols>
  <sheetData>
    <row r="1" spans="1:25" ht="46.5" x14ac:dyDescent="0.25">
      <c r="A1" s="16" t="s">
        <v>1178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8"/>
      <c r="O1" s="18"/>
      <c r="P1" s="18"/>
      <c r="Q1" s="18"/>
      <c r="R1" s="18"/>
      <c r="S1" s="18"/>
      <c r="T1" s="19"/>
      <c r="U1" s="18"/>
      <c r="V1" s="18"/>
      <c r="W1" s="18"/>
      <c r="X1" s="18"/>
      <c r="Y1" s="18"/>
    </row>
    <row r="2" spans="1:25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 t="s">
        <v>1177</v>
      </c>
      <c r="N9" s="14" t="s">
        <v>1177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x14ac:dyDescent="0.25"/>
    <row r="48" spans="1:25" x14ac:dyDescent="0.25"/>
    <row r="49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D0F6-6352-4944-9392-49DA0A049FB7}">
  <dimension ref="A1:O134"/>
  <sheetViews>
    <sheetView zoomScaleNormal="100" workbookViewId="0"/>
  </sheetViews>
  <sheetFormatPr defaultRowHeight="15" x14ac:dyDescent="0.25"/>
  <cols>
    <col min="1" max="1" width="24.28515625" bestFit="1" customWidth="1"/>
    <col min="2" max="2" width="32.5703125" bestFit="1" customWidth="1"/>
    <col min="3" max="3" width="28.28515625" bestFit="1" customWidth="1"/>
    <col min="4" max="4" width="32.5703125" bestFit="1" customWidth="1"/>
    <col min="5" max="6" width="14.28515625" bestFit="1" customWidth="1"/>
    <col min="7" max="7" width="24.5703125" bestFit="1" customWidth="1"/>
    <col min="8" max="8" width="20.42578125" bestFit="1" customWidth="1"/>
    <col min="9" max="9" width="24.5703125" bestFit="1" customWidth="1"/>
    <col min="10" max="10" width="25.28515625" bestFit="1" customWidth="1"/>
    <col min="11" max="11" width="25.85546875" bestFit="1" customWidth="1"/>
    <col min="12" max="12" width="22.140625" customWidth="1"/>
    <col min="13" max="13" width="32.5703125" bestFit="1" customWidth="1"/>
    <col min="14" max="14" width="25.28515625" customWidth="1"/>
    <col min="15" max="15" width="21.42578125" bestFit="1" customWidth="1"/>
    <col min="16" max="16" width="27.140625" bestFit="1" customWidth="1"/>
    <col min="17" max="755" width="8.140625" bestFit="1" customWidth="1"/>
    <col min="756" max="945" width="9.140625" bestFit="1" customWidth="1"/>
    <col min="946" max="946" width="10" bestFit="1" customWidth="1"/>
    <col min="947" max="1000" width="18.5703125" bestFit="1" customWidth="1"/>
    <col min="1001" max="1001" width="10" bestFit="1" customWidth="1"/>
  </cols>
  <sheetData>
    <row r="1" spans="1:15" ht="18.75" x14ac:dyDescent="0.3">
      <c r="A1" s="15" t="s">
        <v>1180</v>
      </c>
      <c r="I1" s="15" t="s">
        <v>1172</v>
      </c>
    </row>
    <row r="2" spans="1:15" x14ac:dyDescent="0.25">
      <c r="A2" s="13"/>
    </row>
    <row r="3" spans="1:15" x14ac:dyDescent="0.25">
      <c r="A3" s="13" t="s">
        <v>1161</v>
      </c>
      <c r="I3" s="13"/>
    </row>
    <row r="4" spans="1:15" x14ac:dyDescent="0.25">
      <c r="A4" s="7" t="s">
        <v>1143</v>
      </c>
      <c r="B4" t="s">
        <v>1166</v>
      </c>
      <c r="C4" t="s">
        <v>1165</v>
      </c>
      <c r="D4" t="s">
        <v>1167</v>
      </c>
      <c r="I4" t="s">
        <v>1173</v>
      </c>
      <c r="K4" t="s">
        <v>1174</v>
      </c>
      <c r="M4" s="7" t="s">
        <v>1143</v>
      </c>
      <c r="N4" t="s">
        <v>1176</v>
      </c>
    </row>
    <row r="5" spans="1:15" x14ac:dyDescent="0.25">
      <c r="A5" s="8" t="s">
        <v>52</v>
      </c>
      <c r="B5" s="2">
        <v>40.940181268882192</v>
      </c>
      <c r="C5" s="2">
        <v>83.993803625377637</v>
      </c>
      <c r="D5" s="3">
        <v>0.21129658268849469</v>
      </c>
      <c r="I5" s="12">
        <v>-1.8055207026348807</v>
      </c>
      <c r="K5" s="2">
        <v>58.517299999999935</v>
      </c>
      <c r="M5" s="8" t="s">
        <v>63</v>
      </c>
      <c r="N5" s="3">
        <v>0.30656399951596447</v>
      </c>
    </row>
    <row r="6" spans="1:15" x14ac:dyDescent="0.25">
      <c r="A6" s="8" t="s">
        <v>30</v>
      </c>
      <c r="B6" s="2">
        <v>100.39562176165803</v>
      </c>
      <c r="C6" s="2">
        <v>1183.5883134715036</v>
      </c>
      <c r="D6" s="3">
        <v>0.30289369139750533</v>
      </c>
      <c r="M6" s="8" t="s">
        <v>54</v>
      </c>
      <c r="N6" s="3">
        <v>0.25511313570318289</v>
      </c>
    </row>
    <row r="7" spans="1:15" x14ac:dyDescent="0.25">
      <c r="A7" s="8" t="s">
        <v>45</v>
      </c>
      <c r="B7" s="2">
        <v>21.914415584415586</v>
      </c>
      <c r="C7" s="2">
        <v>148.37674675324683</v>
      </c>
      <c r="D7" s="3">
        <v>0.36981636733336254</v>
      </c>
      <c r="M7" s="8" t="s">
        <v>33</v>
      </c>
      <c r="N7" s="3">
        <v>0.29490974412514648</v>
      </c>
    </row>
    <row r="8" spans="1:15" x14ac:dyDescent="0.25">
      <c r="A8" s="8" t="s">
        <v>116</v>
      </c>
      <c r="B8" s="2">
        <v>22.004418604651146</v>
      </c>
      <c r="C8" s="2">
        <v>427.19120155038769</v>
      </c>
      <c r="D8" s="3">
        <v>0.35865640910850233</v>
      </c>
      <c r="I8" s="12">
        <f>GETPIVOTDATA("dias_atraso",$I$4)</f>
        <v>-1.8055207026348807</v>
      </c>
      <c r="K8" s="2">
        <f>GETPIVOTDATA("valor_frete",$K$4)</f>
        <v>58.517299999999935</v>
      </c>
      <c r="M8" s="8" t="s">
        <v>161</v>
      </c>
      <c r="N8" s="3">
        <v>0.25811301529164044</v>
      </c>
    </row>
    <row r="9" spans="1:15" x14ac:dyDescent="0.25">
      <c r="A9" s="8" t="s">
        <v>1144</v>
      </c>
      <c r="B9" s="2">
        <v>58.517299999999999</v>
      </c>
      <c r="C9" s="2">
        <v>562.62472200000002</v>
      </c>
      <c r="D9" s="3">
        <v>0.29007453109366316</v>
      </c>
      <c r="M9" s="8" t="s">
        <v>1144</v>
      </c>
      <c r="N9" s="3">
        <v>0.29007453109366355</v>
      </c>
    </row>
    <row r="11" spans="1:15" x14ac:dyDescent="0.25">
      <c r="O11" s="3"/>
    </row>
    <row r="12" spans="1:15" x14ac:dyDescent="0.25">
      <c r="N12" s="3">
        <f>GETPIVOTDATA("margem_lucro_pct",$M$4,"status_pedido","Entregue")</f>
        <v>0.29490974412514648</v>
      </c>
    </row>
    <row r="13" spans="1:15" x14ac:dyDescent="0.25">
      <c r="N13" s="3">
        <f>GETPIVOTDATA("margem_lucro_pct",$M$4,"status_pedido","Cancelado")</f>
        <v>0.30656399951596447</v>
      </c>
    </row>
    <row r="19" spans="1:2" x14ac:dyDescent="0.25">
      <c r="A19" s="13" t="s">
        <v>1162</v>
      </c>
    </row>
    <row r="20" spans="1:2" x14ac:dyDescent="0.25">
      <c r="A20" s="7" t="s">
        <v>1143</v>
      </c>
      <c r="B20" t="s">
        <v>1170</v>
      </c>
    </row>
    <row r="21" spans="1:2" x14ac:dyDescent="0.25">
      <c r="A21" s="8" t="s">
        <v>103</v>
      </c>
      <c r="B21" s="12">
        <v>1.9173553719008265</v>
      </c>
    </row>
    <row r="22" spans="1:2" x14ac:dyDescent="0.25">
      <c r="A22" s="8" t="s">
        <v>56</v>
      </c>
      <c r="B22" s="12">
        <v>2.5221674876847291</v>
      </c>
    </row>
    <row r="23" spans="1:2" x14ac:dyDescent="0.25">
      <c r="A23" s="8" t="s">
        <v>35</v>
      </c>
      <c r="B23" s="12">
        <v>4.5162721893491122</v>
      </c>
    </row>
    <row r="24" spans="1:2" x14ac:dyDescent="0.25">
      <c r="A24" s="8" t="s">
        <v>1144</v>
      </c>
      <c r="B24" s="12">
        <v>3.7970000000000002</v>
      </c>
    </row>
    <row r="35" spans="1:5" x14ac:dyDescent="0.25">
      <c r="A35" s="13" t="s">
        <v>1160</v>
      </c>
    </row>
    <row r="36" spans="1:5" x14ac:dyDescent="0.25">
      <c r="A36" s="7" t="s">
        <v>1168</v>
      </c>
      <c r="B36" s="7" t="s">
        <v>1145</v>
      </c>
    </row>
    <row r="37" spans="1:5" x14ac:dyDescent="0.25">
      <c r="A37" s="7" t="s">
        <v>1143</v>
      </c>
      <c r="B37" t="s">
        <v>103</v>
      </c>
      <c r="C37" t="s">
        <v>56</v>
      </c>
      <c r="D37" t="s">
        <v>35</v>
      </c>
      <c r="E37" t="s">
        <v>1144</v>
      </c>
    </row>
    <row r="38" spans="1:5" x14ac:dyDescent="0.25">
      <c r="A38" s="8" t="s">
        <v>76</v>
      </c>
      <c r="B38" s="3">
        <v>0.13740458015267176</v>
      </c>
      <c r="C38" s="3">
        <v>0.21755725190839695</v>
      </c>
      <c r="D38" s="3">
        <v>0.64503816793893132</v>
      </c>
      <c r="E38" s="3">
        <v>1</v>
      </c>
    </row>
    <row r="39" spans="1:5" x14ac:dyDescent="0.25">
      <c r="A39" s="8" t="s">
        <v>39</v>
      </c>
      <c r="B39" s="3">
        <v>0.11255411255411256</v>
      </c>
      <c r="C39" s="3">
        <v>0.17316017316017315</v>
      </c>
      <c r="D39" s="3">
        <v>0.7142857142857143</v>
      </c>
      <c r="E39" s="3">
        <v>1</v>
      </c>
    </row>
    <row r="40" spans="1:5" x14ac:dyDescent="0.25">
      <c r="A40" s="8" t="s">
        <v>61</v>
      </c>
      <c r="B40" s="3">
        <v>0.12096774193548387</v>
      </c>
      <c r="C40" s="3">
        <v>0.21370967741935484</v>
      </c>
      <c r="D40" s="3">
        <v>0.66532258064516125</v>
      </c>
      <c r="E40" s="3">
        <v>1</v>
      </c>
    </row>
    <row r="41" spans="1:5" x14ac:dyDescent="0.25">
      <c r="A41" s="8" t="s">
        <v>31</v>
      </c>
      <c r="B41" s="3">
        <v>0.11196911196911197</v>
      </c>
      <c r="C41" s="3">
        <v>0.20463320463320464</v>
      </c>
      <c r="D41" s="3">
        <v>0.68339768339768336</v>
      </c>
      <c r="E41" s="3">
        <v>1</v>
      </c>
    </row>
    <row r="42" spans="1:5" x14ac:dyDescent="0.25">
      <c r="A42" s="8" t="s">
        <v>1144</v>
      </c>
      <c r="B42" s="3">
        <v>0.121</v>
      </c>
      <c r="C42" s="3">
        <v>0.20300000000000001</v>
      </c>
      <c r="D42" s="3">
        <v>0.67600000000000005</v>
      </c>
      <c r="E42" s="3">
        <v>1</v>
      </c>
    </row>
    <row r="49" spans="1:2" x14ac:dyDescent="0.25">
      <c r="A49" s="13" t="s">
        <v>1175</v>
      </c>
    </row>
    <row r="50" spans="1:2" x14ac:dyDescent="0.25">
      <c r="A50" s="7" t="s">
        <v>1143</v>
      </c>
      <c r="B50" t="s">
        <v>1168</v>
      </c>
    </row>
    <row r="51" spans="1:2" x14ac:dyDescent="0.25">
      <c r="A51" s="8" t="s">
        <v>63</v>
      </c>
      <c r="B51" s="3">
        <v>6.0999999999999999E-2</v>
      </c>
    </row>
    <row r="52" spans="1:2" x14ac:dyDescent="0.25">
      <c r="A52" s="8" t="s">
        <v>54</v>
      </c>
      <c r="B52" s="3">
        <v>0.107</v>
      </c>
    </row>
    <row r="53" spans="1:2" x14ac:dyDescent="0.25">
      <c r="A53" s="8" t="s">
        <v>33</v>
      </c>
      <c r="B53" s="3">
        <v>0.79700000000000004</v>
      </c>
    </row>
    <row r="54" spans="1:2" x14ac:dyDescent="0.25">
      <c r="A54" s="8" t="s">
        <v>161</v>
      </c>
      <c r="B54" s="3">
        <v>3.5000000000000003E-2</v>
      </c>
    </row>
    <row r="55" spans="1:2" x14ac:dyDescent="0.25">
      <c r="A55" s="8" t="s">
        <v>1144</v>
      </c>
      <c r="B55" s="3">
        <v>1</v>
      </c>
    </row>
    <row r="63" spans="1:2" ht="18.75" x14ac:dyDescent="0.3">
      <c r="A63" s="15" t="s">
        <v>1179</v>
      </c>
    </row>
    <row r="65" spans="1:3" x14ac:dyDescent="0.25">
      <c r="A65" s="13" t="s">
        <v>1159</v>
      </c>
    </row>
    <row r="66" spans="1:3" x14ac:dyDescent="0.25">
      <c r="A66" s="7" t="s">
        <v>1143</v>
      </c>
      <c r="B66" t="s">
        <v>1164</v>
      </c>
      <c r="C66" t="s">
        <v>1165</v>
      </c>
    </row>
    <row r="67" spans="1:3" x14ac:dyDescent="0.25">
      <c r="A67" s="8" t="s">
        <v>1147</v>
      </c>
      <c r="B67" s="2">
        <v>133697.46699999998</v>
      </c>
      <c r="C67" s="2">
        <v>47735.077000000005</v>
      </c>
    </row>
    <row r="68" spans="1:3" x14ac:dyDescent="0.25">
      <c r="A68" s="8" t="s">
        <v>1148</v>
      </c>
      <c r="B68" s="2">
        <v>116457.25599999999</v>
      </c>
      <c r="C68" s="2">
        <v>34852.436000000016</v>
      </c>
    </row>
    <row r="69" spans="1:3" x14ac:dyDescent="0.25">
      <c r="A69" s="8" t="s">
        <v>1149</v>
      </c>
      <c r="B69" s="2">
        <v>158630.63500000007</v>
      </c>
      <c r="C69" s="2">
        <v>52930.56500000001</v>
      </c>
    </row>
    <row r="70" spans="1:3" x14ac:dyDescent="0.25">
      <c r="A70" s="8" t="s">
        <v>1150</v>
      </c>
      <c r="B70" s="2">
        <v>87686.608000000022</v>
      </c>
      <c r="C70" s="2">
        <v>30880.758000000002</v>
      </c>
    </row>
    <row r="71" spans="1:3" x14ac:dyDescent="0.25">
      <c r="A71" s="8" t="s">
        <v>1151</v>
      </c>
      <c r="B71" s="2">
        <v>169871.73300000001</v>
      </c>
      <c r="C71" s="2">
        <v>51037.952999999987</v>
      </c>
    </row>
    <row r="72" spans="1:3" x14ac:dyDescent="0.25">
      <c r="A72" s="8" t="s">
        <v>1152</v>
      </c>
      <c r="B72" s="2">
        <v>156226.19600000003</v>
      </c>
      <c r="C72" s="2">
        <v>52952.556000000004</v>
      </c>
    </row>
    <row r="73" spans="1:3" x14ac:dyDescent="0.25">
      <c r="A73" s="8" t="s">
        <v>1153</v>
      </c>
      <c r="B73" s="2">
        <v>133482.59900000005</v>
      </c>
      <c r="C73" s="2">
        <v>46503.689000000035</v>
      </c>
    </row>
    <row r="74" spans="1:3" x14ac:dyDescent="0.25">
      <c r="A74" s="8" t="s">
        <v>1154</v>
      </c>
      <c r="B74" s="2">
        <v>156776.18000000002</v>
      </c>
      <c r="C74" s="2">
        <v>61909.149999999994</v>
      </c>
    </row>
    <row r="75" spans="1:3" x14ac:dyDescent="0.25">
      <c r="A75" s="8" t="s">
        <v>1155</v>
      </c>
      <c r="B75" s="2">
        <v>147686.07300000006</v>
      </c>
      <c r="C75" s="2">
        <v>55707.443000000014</v>
      </c>
    </row>
    <row r="76" spans="1:3" x14ac:dyDescent="0.25">
      <c r="A76" s="8" t="s">
        <v>1156</v>
      </c>
      <c r="B76" s="2">
        <v>126176.09100000003</v>
      </c>
      <c r="C76" s="2">
        <v>38710.211000000003</v>
      </c>
    </row>
    <row r="77" spans="1:3" x14ac:dyDescent="0.25">
      <c r="A77" s="8" t="s">
        <v>1157</v>
      </c>
      <c r="B77" s="2">
        <v>141593.54199999996</v>
      </c>
      <c r="C77" s="2">
        <v>50548.651999999987</v>
      </c>
    </row>
    <row r="78" spans="1:3" x14ac:dyDescent="0.25">
      <c r="A78" s="8" t="s">
        <v>1158</v>
      </c>
      <c r="B78" s="2">
        <v>110574.86200000001</v>
      </c>
      <c r="C78" s="2">
        <v>38856.231999999989</v>
      </c>
    </row>
    <row r="79" spans="1:3" x14ac:dyDescent="0.25">
      <c r="A79" s="8" t="s">
        <v>1144</v>
      </c>
      <c r="B79" s="2">
        <v>1638859.2420000001</v>
      </c>
      <c r="C79" s="2">
        <v>562624.72200000007</v>
      </c>
    </row>
    <row r="90" spans="1:2" x14ac:dyDescent="0.25">
      <c r="A90" s="13" t="s">
        <v>1163</v>
      </c>
    </row>
    <row r="91" spans="1:2" x14ac:dyDescent="0.25">
      <c r="A91" s="7" t="s">
        <v>1143</v>
      </c>
      <c r="B91" t="s">
        <v>1167</v>
      </c>
    </row>
    <row r="92" spans="1:2" x14ac:dyDescent="0.25">
      <c r="A92" s="8" t="s">
        <v>1147</v>
      </c>
      <c r="B92" s="3">
        <v>0.29753766612454852</v>
      </c>
    </row>
    <row r="93" spans="1:2" x14ac:dyDescent="0.25">
      <c r="A93" s="8" t="s">
        <v>1148</v>
      </c>
      <c r="B93" s="3">
        <v>0.22910481569237012</v>
      </c>
    </row>
    <row r="94" spans="1:2" x14ac:dyDescent="0.25">
      <c r="A94" s="8" t="s">
        <v>1149</v>
      </c>
      <c r="B94" s="3">
        <v>0.31928102711009032</v>
      </c>
    </row>
    <row r="95" spans="1:2" x14ac:dyDescent="0.25">
      <c r="A95" s="8" t="s">
        <v>1150</v>
      </c>
      <c r="B95" s="3">
        <v>0.32681507598479159</v>
      </c>
    </row>
    <row r="96" spans="1:2" x14ac:dyDescent="0.25">
      <c r="A96" s="8" t="s">
        <v>1151</v>
      </c>
      <c r="B96" s="3">
        <v>0.26400911544232192</v>
      </c>
    </row>
    <row r="97" spans="1:2" x14ac:dyDescent="0.25">
      <c r="A97" s="8" t="s">
        <v>1152</v>
      </c>
      <c r="B97" s="3">
        <v>0.27472420800972414</v>
      </c>
    </row>
    <row r="98" spans="1:2" x14ac:dyDescent="0.25">
      <c r="A98" s="8" t="s">
        <v>1153</v>
      </c>
      <c r="B98" s="3">
        <v>0.29867957624329217</v>
      </c>
    </row>
    <row r="99" spans="1:2" x14ac:dyDescent="0.25">
      <c r="A99" s="8" t="s">
        <v>1154</v>
      </c>
      <c r="B99" s="3">
        <v>0.33434076501513504</v>
      </c>
    </row>
    <row r="100" spans="1:2" x14ac:dyDescent="0.25">
      <c r="A100" s="8" t="s">
        <v>1155</v>
      </c>
      <c r="B100" s="3">
        <v>0.2834491535469098</v>
      </c>
    </row>
    <row r="101" spans="1:2" x14ac:dyDescent="0.25">
      <c r="A101" s="8" t="s">
        <v>1156</v>
      </c>
      <c r="B101" s="3">
        <v>0.27215900517813141</v>
      </c>
    </row>
    <row r="102" spans="1:2" x14ac:dyDescent="0.25">
      <c r="A102" s="8" t="s">
        <v>1157</v>
      </c>
      <c r="B102" s="3">
        <v>0.25449445466936538</v>
      </c>
    </row>
    <row r="103" spans="1:2" x14ac:dyDescent="0.25">
      <c r="A103" s="8" t="s">
        <v>1158</v>
      </c>
      <c r="B103" s="3">
        <v>0.31621478868815933</v>
      </c>
    </row>
    <row r="104" spans="1:2" x14ac:dyDescent="0.25">
      <c r="A104" s="8" t="s">
        <v>1144</v>
      </c>
      <c r="B104" s="3">
        <v>0.29007453109366338</v>
      </c>
    </row>
    <row r="119" spans="1:6" x14ac:dyDescent="0.25">
      <c r="A119" s="13" t="s">
        <v>1171</v>
      </c>
    </row>
    <row r="120" spans="1:6" x14ac:dyDescent="0.25">
      <c r="A120" s="7" t="s">
        <v>1146</v>
      </c>
      <c r="B120" s="7" t="s">
        <v>5</v>
      </c>
    </row>
    <row r="121" spans="1:6" x14ac:dyDescent="0.25">
      <c r="A121" s="7" t="s">
        <v>1169</v>
      </c>
      <c r="B121" t="s">
        <v>52</v>
      </c>
      <c r="C121" t="s">
        <v>30</v>
      </c>
      <c r="D121" t="s">
        <v>45</v>
      </c>
      <c r="E121" t="s">
        <v>116</v>
      </c>
      <c r="F121" t="s">
        <v>1144</v>
      </c>
    </row>
    <row r="122" spans="1:6" x14ac:dyDescent="0.25">
      <c r="A122" t="s">
        <v>1147</v>
      </c>
      <c r="B122" s="2">
        <v>7992.4039999999986</v>
      </c>
      <c r="C122" s="2">
        <v>112574.69999999998</v>
      </c>
      <c r="D122" s="2">
        <v>4668.5659999999998</v>
      </c>
      <c r="E122" s="2">
        <v>8461.7970000000005</v>
      </c>
      <c r="F122" s="2">
        <v>133697.46699999998</v>
      </c>
    </row>
    <row r="123" spans="1:6" x14ac:dyDescent="0.25">
      <c r="A123" t="s">
        <v>1148</v>
      </c>
      <c r="B123" s="2">
        <v>5973.9290000000001</v>
      </c>
      <c r="C123" s="2">
        <v>94656.655999999988</v>
      </c>
      <c r="D123" s="2">
        <v>4991.3810000000003</v>
      </c>
      <c r="E123" s="2">
        <v>10835.29</v>
      </c>
      <c r="F123" s="2">
        <v>116457.25599999999</v>
      </c>
    </row>
    <row r="124" spans="1:6" x14ac:dyDescent="0.25">
      <c r="A124" t="s">
        <v>1149</v>
      </c>
      <c r="B124" s="2">
        <v>4868.1509999999989</v>
      </c>
      <c r="C124" s="2">
        <v>142059.22</v>
      </c>
      <c r="D124" s="2">
        <v>3422.2700000000004</v>
      </c>
      <c r="E124" s="2">
        <v>8280.9939999999988</v>
      </c>
      <c r="F124" s="2">
        <v>158630.63500000001</v>
      </c>
    </row>
    <row r="125" spans="1:6" x14ac:dyDescent="0.25">
      <c r="A125" t="s">
        <v>1150</v>
      </c>
      <c r="B125" s="2">
        <v>8544.5069999999996</v>
      </c>
      <c r="C125" s="2">
        <v>69987.013999999981</v>
      </c>
      <c r="D125" s="2">
        <v>4306.05</v>
      </c>
      <c r="E125" s="2">
        <v>4849.0370000000003</v>
      </c>
      <c r="F125" s="2">
        <v>87686.607999999978</v>
      </c>
    </row>
    <row r="126" spans="1:6" x14ac:dyDescent="0.25">
      <c r="A126" t="s">
        <v>1151</v>
      </c>
      <c r="B126" s="2">
        <v>9457.469000000001</v>
      </c>
      <c r="C126" s="2">
        <v>142852.57799999998</v>
      </c>
      <c r="D126" s="2">
        <v>3899.9190000000003</v>
      </c>
      <c r="E126" s="2">
        <v>13661.767</v>
      </c>
      <c r="F126" s="2">
        <v>169871.73299999998</v>
      </c>
    </row>
    <row r="127" spans="1:6" x14ac:dyDescent="0.25">
      <c r="A127" t="s">
        <v>1152</v>
      </c>
      <c r="B127" s="2">
        <v>6167.7549999999983</v>
      </c>
      <c r="C127" s="2">
        <v>134773.50099999999</v>
      </c>
      <c r="D127" s="2">
        <v>3721.4040000000005</v>
      </c>
      <c r="E127" s="2">
        <v>11563.536</v>
      </c>
      <c r="F127" s="2">
        <v>156226.196</v>
      </c>
    </row>
    <row r="128" spans="1:6" x14ac:dyDescent="0.25">
      <c r="A128" t="s">
        <v>1153</v>
      </c>
      <c r="B128" s="2">
        <v>8879.5930000000008</v>
      </c>
      <c r="C128" s="2">
        <v>105673.173</v>
      </c>
      <c r="D128" s="2">
        <v>4833.7880000000005</v>
      </c>
      <c r="E128" s="2">
        <v>14096.045</v>
      </c>
      <c r="F128" s="2">
        <v>133482.59900000002</v>
      </c>
    </row>
    <row r="129" spans="1:6" x14ac:dyDescent="0.25">
      <c r="A129" t="s">
        <v>1154</v>
      </c>
      <c r="B129" s="2">
        <v>9213.3549999999996</v>
      </c>
      <c r="C129" s="2">
        <v>127155.60300000003</v>
      </c>
      <c r="D129" s="2">
        <v>6561.0520000000006</v>
      </c>
      <c r="E129" s="2">
        <v>13846.170000000002</v>
      </c>
      <c r="F129" s="2">
        <v>156776.18000000005</v>
      </c>
    </row>
    <row r="130" spans="1:6" x14ac:dyDescent="0.25">
      <c r="A130" t="s">
        <v>1155</v>
      </c>
      <c r="B130" s="2">
        <v>5640.2889999999989</v>
      </c>
      <c r="C130" s="2">
        <v>121411.995</v>
      </c>
      <c r="D130" s="2">
        <v>3822.4729999999995</v>
      </c>
      <c r="E130" s="2">
        <v>16811.315999999999</v>
      </c>
      <c r="F130" s="2">
        <v>147686.073</v>
      </c>
    </row>
    <row r="131" spans="1:6" x14ac:dyDescent="0.25">
      <c r="A131" t="s">
        <v>1156</v>
      </c>
      <c r="B131" s="2">
        <v>5384.7059999999992</v>
      </c>
      <c r="C131" s="2">
        <v>101846.43500000001</v>
      </c>
      <c r="D131" s="2">
        <v>2191.1570000000002</v>
      </c>
      <c r="E131" s="2">
        <v>16753.793000000001</v>
      </c>
      <c r="F131" s="2">
        <v>126176.09100000003</v>
      </c>
    </row>
    <row r="132" spans="1:6" x14ac:dyDescent="0.25">
      <c r="A132" t="s">
        <v>1157</v>
      </c>
      <c r="B132" s="2">
        <v>5405.1109999999999</v>
      </c>
      <c r="C132" s="2">
        <v>125830.03599999999</v>
      </c>
      <c r="D132" s="2">
        <v>4448.6140000000005</v>
      </c>
      <c r="E132" s="2">
        <v>5909.7809999999999</v>
      </c>
      <c r="F132" s="2">
        <v>141593.54199999999</v>
      </c>
    </row>
    <row r="133" spans="1:6" x14ac:dyDescent="0.25">
      <c r="A133" t="s">
        <v>1158</v>
      </c>
      <c r="B133" s="2">
        <v>9877.3700000000008</v>
      </c>
      <c r="C133" s="2">
        <v>77078.928000000014</v>
      </c>
      <c r="D133" s="2">
        <v>6062.6450000000013</v>
      </c>
      <c r="E133" s="2">
        <v>17555.919000000002</v>
      </c>
      <c r="F133" s="2">
        <v>110574.86200000002</v>
      </c>
    </row>
    <row r="134" spans="1:6" x14ac:dyDescent="0.25">
      <c r="A134" t="s">
        <v>1144</v>
      </c>
      <c r="B134" s="2">
        <v>87404.638999999996</v>
      </c>
      <c r="C134" s="2">
        <v>1355899.8390000002</v>
      </c>
      <c r="D134" s="2">
        <v>52929.31900000001</v>
      </c>
      <c r="E134" s="2">
        <v>142625.44500000001</v>
      </c>
      <c r="F134" s="2">
        <v>1638859.2420000001</v>
      </c>
    </row>
  </sheetData>
  <conditionalFormatting sqref="B4">
    <cfRule type="cellIs" dxfId="11" priority="6" operator="lessThan">
      <formula>0</formula>
    </cfRule>
  </conditionalFormatting>
  <conditionalFormatting sqref="B20">
    <cfRule type="cellIs" dxfId="10" priority="5" operator="lessThan">
      <formula>0</formula>
    </cfRule>
  </conditionalFormatting>
  <conditionalFormatting sqref="B36">
    <cfRule type="cellIs" dxfId="9" priority="8" operator="lessThan">
      <formula>0</formula>
    </cfRule>
  </conditionalFormatting>
  <conditionalFormatting sqref="B66">
    <cfRule type="cellIs" dxfId="8" priority="12" operator="lessThan">
      <formula>0</formula>
    </cfRule>
  </conditionalFormatting>
  <conditionalFormatting sqref="B91">
    <cfRule type="cellIs" dxfId="7" priority="11" operator="lessThan">
      <formula>0</formula>
    </cfRule>
  </conditionalFormatting>
  <conditionalFormatting sqref="B120">
    <cfRule type="cellIs" dxfId="6" priority="4" operator="lessThan">
      <formula>0</formula>
    </cfRule>
  </conditionalFormatting>
  <conditionalFormatting sqref="J4">
    <cfRule type="cellIs" dxfId="5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opLeftCell="B1" workbookViewId="0">
      <selection activeCell="B2" sqref="B2"/>
    </sheetView>
  </sheetViews>
  <sheetFormatPr defaultRowHeight="15" outlineLevelCol="1" x14ac:dyDescent="0.25"/>
  <cols>
    <col min="1" max="1" width="11.7109375" hidden="1" customWidth="1" outlineLevel="1"/>
    <col min="2" max="2" width="11.28515625" bestFit="1" customWidth="1" collapsed="1"/>
    <col min="3" max="3" width="18.140625" style="4" bestFit="1" customWidth="1"/>
    <col min="4" max="4" width="14" hidden="1" customWidth="1" outlineLevel="1"/>
    <col min="5" max="5" width="24.42578125" bestFit="1" customWidth="1" collapsed="1"/>
    <col min="6" max="6" width="11" bestFit="1" customWidth="1"/>
    <col min="7" max="7" width="14.28515625" hidden="1" customWidth="1" outlineLevel="1"/>
    <col min="8" max="8" width="12.85546875" bestFit="1" customWidth="1" collapsed="1"/>
    <col min="9" max="9" width="15.42578125" style="2" bestFit="1" customWidth="1"/>
    <col min="10" max="10" width="21.42578125" style="2" bestFit="1" customWidth="1"/>
    <col min="11" max="11" width="18" hidden="1" customWidth="1" outlineLevel="1"/>
    <col min="12" max="12" width="21.28515625" style="3" hidden="1" customWidth="1" outlineLevel="1" collapsed="1"/>
    <col min="13" max="13" width="16" bestFit="1" customWidth="1" collapsed="1"/>
    <col min="14" max="14" width="12.42578125" style="2" bestFit="1" customWidth="1"/>
    <col min="15" max="15" width="16.140625" bestFit="1" customWidth="1"/>
    <col min="16" max="16" width="18.140625" style="5" hidden="1" customWidth="1" outlineLevel="1"/>
    <col min="17" max="17" width="22.7109375" style="5" hidden="1" customWidth="1" outlineLevel="1"/>
    <col min="18" max="18" width="18.7109375" style="5" hidden="1" customWidth="1" outlineLevel="1"/>
    <col min="19" max="19" width="15.140625" bestFit="1" customWidth="1" collapsed="1"/>
    <col min="20" max="20" width="13.7109375" style="6" bestFit="1" customWidth="1"/>
    <col min="21" max="21" width="44.140625" bestFit="1" customWidth="1"/>
    <col min="22" max="22" width="18.42578125" style="2" bestFit="1" customWidth="1"/>
    <col min="23" max="23" width="12.7109375" style="2" bestFit="1" customWidth="1"/>
    <col min="24" max="24" width="14.28515625" style="2" bestFit="1" customWidth="1"/>
    <col min="25" max="25" width="19.28515625" style="3" bestFit="1" customWidth="1"/>
    <col min="26" max="26" width="12.7109375" bestFit="1" customWidth="1"/>
    <col min="27" max="27" width="20.28515625" bestFit="1" customWidth="1"/>
  </cols>
  <sheetData>
    <row r="1" spans="1:27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3" t="s">
        <v>11</v>
      </c>
      <c r="M1" t="s">
        <v>12</v>
      </c>
      <c r="N1" s="2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6" t="s">
        <v>19</v>
      </c>
      <c r="U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185</v>
      </c>
      <c r="C2" s="9">
        <v>45742.748784722222</v>
      </c>
      <c r="D2" t="s">
        <v>28</v>
      </c>
      <c r="E2" t="s">
        <v>29</v>
      </c>
      <c r="F2" t="s">
        <v>30</v>
      </c>
      <c r="G2">
        <v>2484</v>
      </c>
      <c r="H2" s="6">
        <v>3</v>
      </c>
      <c r="I2" s="10">
        <v>2110.4899999999998</v>
      </c>
      <c r="J2" s="10">
        <v>2711.53</v>
      </c>
      <c r="L2" s="3">
        <v>0</v>
      </c>
      <c r="M2" t="s">
        <v>31</v>
      </c>
      <c r="N2" s="10">
        <v>117.97</v>
      </c>
      <c r="O2" t="s">
        <v>32</v>
      </c>
      <c r="P2" s="5">
        <v>45744</v>
      </c>
      <c r="Q2" s="5">
        <v>45752</v>
      </c>
      <c r="R2" s="5">
        <v>45749</v>
      </c>
      <c r="S2" t="s">
        <v>33</v>
      </c>
      <c r="T2" s="6">
        <v>5</v>
      </c>
      <c r="U2" t="s">
        <v>34</v>
      </c>
      <c r="V2" s="10">
        <v>8134.59</v>
      </c>
      <c r="W2" s="10">
        <v>6331.4699999999993</v>
      </c>
      <c r="X2" s="10">
        <v>1685.150000000001</v>
      </c>
      <c r="Y2" s="11">
        <v>0.2071585660740124</v>
      </c>
      <c r="Z2" s="6">
        <v>-3</v>
      </c>
      <c r="AA2" t="s">
        <v>35</v>
      </c>
    </row>
    <row r="3" spans="1:27" x14ac:dyDescent="0.25">
      <c r="A3" t="s">
        <v>36</v>
      </c>
      <c r="B3">
        <v>25</v>
      </c>
      <c r="C3" s="9">
        <v>45742.818148148152</v>
      </c>
      <c r="D3" t="s">
        <v>37</v>
      </c>
      <c r="E3" t="s">
        <v>38</v>
      </c>
      <c r="F3" t="s">
        <v>30</v>
      </c>
      <c r="G3">
        <v>2347</v>
      </c>
      <c r="H3" s="6">
        <v>3</v>
      </c>
      <c r="I3" s="10">
        <v>538.74</v>
      </c>
      <c r="J3" s="10">
        <v>1360.53</v>
      </c>
      <c r="L3" s="3">
        <v>0</v>
      </c>
      <c r="M3" t="s">
        <v>39</v>
      </c>
      <c r="N3" s="10">
        <v>149.9</v>
      </c>
      <c r="O3" t="s">
        <v>40</v>
      </c>
      <c r="P3" s="5">
        <v>45743</v>
      </c>
      <c r="Q3" s="5">
        <v>45749</v>
      </c>
      <c r="R3" s="5">
        <v>45745</v>
      </c>
      <c r="S3" t="s">
        <v>33</v>
      </c>
      <c r="T3" s="6">
        <v>5</v>
      </c>
      <c r="U3" t="s">
        <v>41</v>
      </c>
      <c r="V3" s="10">
        <v>4081.59</v>
      </c>
      <c r="W3" s="10">
        <v>1616.22</v>
      </c>
      <c r="X3" s="10">
        <v>2315.4699999999998</v>
      </c>
      <c r="Y3" s="11">
        <v>0.56729607824401762</v>
      </c>
      <c r="Z3" s="6">
        <v>-4</v>
      </c>
      <c r="AA3" t="s">
        <v>35</v>
      </c>
    </row>
    <row r="4" spans="1:27" x14ac:dyDescent="0.25">
      <c r="A4" t="s">
        <v>42</v>
      </c>
      <c r="B4">
        <v>153</v>
      </c>
      <c r="C4" s="9">
        <v>45743.344606481478</v>
      </c>
      <c r="D4" t="s">
        <v>43</v>
      </c>
      <c r="E4" t="s">
        <v>44</v>
      </c>
      <c r="F4" t="s">
        <v>45</v>
      </c>
      <c r="G4">
        <v>0</v>
      </c>
      <c r="H4" s="6">
        <v>3</v>
      </c>
      <c r="I4" s="10">
        <v>67.52</v>
      </c>
      <c r="J4" s="10">
        <v>136.22</v>
      </c>
      <c r="K4" t="s">
        <v>46</v>
      </c>
      <c r="L4" s="3">
        <v>0.1</v>
      </c>
      <c r="M4" t="s">
        <v>31</v>
      </c>
      <c r="N4" s="10">
        <v>28.56</v>
      </c>
      <c r="O4" t="s">
        <v>47</v>
      </c>
      <c r="P4" s="5">
        <v>45744</v>
      </c>
      <c r="Q4" s="5">
        <v>45751</v>
      </c>
      <c r="R4" s="5">
        <v>45749</v>
      </c>
      <c r="S4" t="s">
        <v>33</v>
      </c>
      <c r="T4" s="6">
        <v>5</v>
      </c>
      <c r="U4" t="s">
        <v>48</v>
      </c>
      <c r="V4" s="10">
        <v>367.79399999999998</v>
      </c>
      <c r="W4" s="10">
        <v>202.56</v>
      </c>
      <c r="X4" s="10">
        <v>136.67400000000001</v>
      </c>
      <c r="Y4" s="11">
        <v>0.37160475701071788</v>
      </c>
      <c r="Z4" s="6">
        <v>-2</v>
      </c>
      <c r="AA4" t="s">
        <v>35</v>
      </c>
    </row>
    <row r="5" spans="1:27" x14ac:dyDescent="0.25">
      <c r="A5" t="s">
        <v>49</v>
      </c>
      <c r="B5">
        <v>47</v>
      </c>
      <c r="C5" s="9">
        <v>45743.462337962963</v>
      </c>
      <c r="D5" t="s">
        <v>50</v>
      </c>
      <c r="E5" t="s">
        <v>51</v>
      </c>
      <c r="F5" t="s">
        <v>52</v>
      </c>
      <c r="G5">
        <v>606</v>
      </c>
      <c r="H5" s="6">
        <v>1</v>
      </c>
      <c r="I5" s="10">
        <v>99.76</v>
      </c>
      <c r="J5" s="10">
        <v>198.46</v>
      </c>
      <c r="L5" s="3">
        <v>0</v>
      </c>
      <c r="M5" t="s">
        <v>39</v>
      </c>
      <c r="N5" s="10">
        <v>25.34</v>
      </c>
      <c r="O5" t="s">
        <v>53</v>
      </c>
      <c r="P5" s="5">
        <v>45745</v>
      </c>
      <c r="Q5" s="5">
        <v>45755</v>
      </c>
      <c r="S5" t="s">
        <v>54</v>
      </c>
      <c r="T5" s="6">
        <v>3</v>
      </c>
      <c r="U5" t="s">
        <v>55</v>
      </c>
      <c r="V5" s="10">
        <v>198.46</v>
      </c>
      <c r="W5" s="10">
        <v>99.76</v>
      </c>
      <c r="X5" s="10">
        <v>73.36</v>
      </c>
      <c r="Y5" s="11">
        <v>0.36964627632772351</v>
      </c>
      <c r="Z5" s="6"/>
      <c r="AA5" t="s">
        <v>56</v>
      </c>
    </row>
    <row r="6" spans="1:27" x14ac:dyDescent="0.25">
      <c r="A6" t="s">
        <v>57</v>
      </c>
      <c r="B6">
        <v>49</v>
      </c>
      <c r="C6" s="9">
        <v>45743.556446759263</v>
      </c>
      <c r="D6" t="s">
        <v>58</v>
      </c>
      <c r="E6" t="s">
        <v>59</v>
      </c>
      <c r="F6" t="s">
        <v>30</v>
      </c>
      <c r="G6">
        <v>4172</v>
      </c>
      <c r="H6" s="6">
        <v>1</v>
      </c>
      <c r="I6" s="10">
        <v>202.61</v>
      </c>
      <c r="J6" s="10">
        <v>531.12</v>
      </c>
      <c r="K6" t="s">
        <v>60</v>
      </c>
      <c r="L6" s="3">
        <v>0.2</v>
      </c>
      <c r="M6" t="s">
        <v>61</v>
      </c>
      <c r="N6" s="10">
        <v>129.83000000000001</v>
      </c>
      <c r="O6" t="s">
        <v>62</v>
      </c>
      <c r="P6" s="5">
        <v>45744</v>
      </c>
      <c r="Q6" s="5">
        <v>45751</v>
      </c>
      <c r="S6" t="s">
        <v>63</v>
      </c>
      <c r="T6" s="6">
        <v>2</v>
      </c>
      <c r="U6" t="s">
        <v>64</v>
      </c>
      <c r="V6" s="10">
        <v>424.89600000000002</v>
      </c>
      <c r="W6" s="10">
        <v>202.61</v>
      </c>
      <c r="X6" s="10">
        <v>92.455999999999989</v>
      </c>
      <c r="Y6" s="11">
        <v>0.21759677662298529</v>
      </c>
      <c r="Z6" s="6"/>
      <c r="AA6" t="s">
        <v>56</v>
      </c>
    </row>
    <row r="7" spans="1:27" x14ac:dyDescent="0.25">
      <c r="A7" t="s">
        <v>65</v>
      </c>
      <c r="B7">
        <v>3</v>
      </c>
      <c r="C7" s="9">
        <v>45743.76289351852</v>
      </c>
      <c r="D7" t="s">
        <v>66</v>
      </c>
      <c r="E7" t="s">
        <v>67</v>
      </c>
      <c r="F7" t="s">
        <v>52</v>
      </c>
      <c r="G7">
        <v>219</v>
      </c>
      <c r="H7" s="6">
        <v>3</v>
      </c>
      <c r="I7" s="10">
        <v>75.680000000000007</v>
      </c>
      <c r="J7" s="10">
        <v>138.43</v>
      </c>
      <c r="L7" s="3">
        <v>0</v>
      </c>
      <c r="M7" t="s">
        <v>39</v>
      </c>
      <c r="N7" s="10">
        <v>46.87</v>
      </c>
      <c r="O7" t="s">
        <v>68</v>
      </c>
      <c r="P7" s="5">
        <v>45745</v>
      </c>
      <c r="Q7" s="5">
        <v>45753</v>
      </c>
      <c r="R7" s="5">
        <v>45753</v>
      </c>
      <c r="S7" t="s">
        <v>33</v>
      </c>
      <c r="T7" s="6">
        <v>5</v>
      </c>
      <c r="U7" t="s">
        <v>69</v>
      </c>
      <c r="V7" s="10">
        <v>415.29</v>
      </c>
      <c r="W7" s="10">
        <v>227.04</v>
      </c>
      <c r="X7" s="10">
        <v>141.38</v>
      </c>
      <c r="Y7" s="11">
        <v>0.34043680319776543</v>
      </c>
      <c r="Z7" s="6">
        <v>0</v>
      </c>
      <c r="AA7" t="s">
        <v>35</v>
      </c>
    </row>
    <row r="8" spans="1:27" x14ac:dyDescent="0.25">
      <c r="A8" t="s">
        <v>70</v>
      </c>
      <c r="B8">
        <v>68</v>
      </c>
      <c r="C8" s="9">
        <v>45744.041539351849</v>
      </c>
      <c r="D8" t="s">
        <v>71</v>
      </c>
      <c r="E8" t="s">
        <v>72</v>
      </c>
      <c r="F8" t="s">
        <v>52</v>
      </c>
      <c r="G8">
        <v>339</v>
      </c>
      <c r="H8" s="6">
        <v>3</v>
      </c>
      <c r="I8" s="10">
        <v>70.760000000000005</v>
      </c>
      <c r="J8" s="10">
        <v>84.33</v>
      </c>
      <c r="L8" s="3">
        <v>0</v>
      </c>
      <c r="M8" t="s">
        <v>31</v>
      </c>
      <c r="N8" s="10">
        <v>50.04</v>
      </c>
      <c r="O8" t="s">
        <v>47</v>
      </c>
      <c r="P8" s="5">
        <v>45746</v>
      </c>
      <c r="Q8" s="5">
        <v>45756</v>
      </c>
      <c r="R8" s="5">
        <v>45756</v>
      </c>
      <c r="S8" t="s">
        <v>33</v>
      </c>
      <c r="T8" s="6">
        <v>4</v>
      </c>
      <c r="U8" t="s">
        <v>41</v>
      </c>
      <c r="V8" s="10">
        <v>252.99</v>
      </c>
      <c r="W8" s="10">
        <v>212.28</v>
      </c>
      <c r="X8" s="10">
        <v>-9.3300000000000196</v>
      </c>
      <c r="Y8" s="11">
        <v>-3.6878928020870463E-2</v>
      </c>
      <c r="Z8" s="6">
        <v>0</v>
      </c>
      <c r="AA8" t="s">
        <v>35</v>
      </c>
    </row>
    <row r="9" spans="1:27" x14ac:dyDescent="0.25">
      <c r="A9" t="s">
        <v>73</v>
      </c>
      <c r="B9">
        <v>34</v>
      </c>
      <c r="C9" s="9">
        <v>45745.133310185192</v>
      </c>
      <c r="D9" t="s">
        <v>74</v>
      </c>
      <c r="E9" t="s">
        <v>75</v>
      </c>
      <c r="F9" t="s">
        <v>30</v>
      </c>
      <c r="G9">
        <v>2915</v>
      </c>
      <c r="H9" s="6">
        <v>3</v>
      </c>
      <c r="I9" s="10">
        <v>2932.88</v>
      </c>
      <c r="J9" s="10">
        <v>3841.75</v>
      </c>
      <c r="L9" s="3">
        <v>0</v>
      </c>
      <c r="M9" t="s">
        <v>76</v>
      </c>
      <c r="N9" s="10">
        <v>78.75</v>
      </c>
      <c r="O9" t="s">
        <v>62</v>
      </c>
      <c r="P9" s="5">
        <v>45747</v>
      </c>
      <c r="Q9" s="5">
        <v>45756</v>
      </c>
      <c r="S9" t="s">
        <v>54</v>
      </c>
      <c r="T9" s="6">
        <v>4</v>
      </c>
      <c r="U9" t="s">
        <v>77</v>
      </c>
      <c r="V9" s="10">
        <v>11525.25</v>
      </c>
      <c r="W9" s="10">
        <v>8798.64</v>
      </c>
      <c r="X9" s="10">
        <v>2647.860000000001</v>
      </c>
      <c r="Y9" s="11">
        <v>0.22974425717446481</v>
      </c>
      <c r="Z9" s="6"/>
      <c r="AA9" t="s">
        <v>56</v>
      </c>
    </row>
    <row r="10" spans="1:27" x14ac:dyDescent="0.25">
      <c r="A10" t="s">
        <v>78</v>
      </c>
      <c r="B10">
        <v>99</v>
      </c>
      <c r="C10" s="9">
        <v>45745.167627314811</v>
      </c>
      <c r="D10" t="s">
        <v>28</v>
      </c>
      <c r="E10" t="s">
        <v>29</v>
      </c>
      <c r="F10" t="s">
        <v>30</v>
      </c>
      <c r="G10">
        <v>2260</v>
      </c>
      <c r="H10" s="6">
        <v>1</v>
      </c>
      <c r="I10" s="10">
        <v>2064.14</v>
      </c>
      <c r="J10" s="10">
        <v>3020.14</v>
      </c>
      <c r="K10" t="s">
        <v>60</v>
      </c>
      <c r="L10" s="3">
        <v>0.2</v>
      </c>
      <c r="M10" t="s">
        <v>39</v>
      </c>
      <c r="N10" s="10">
        <v>87.82</v>
      </c>
      <c r="O10" t="s">
        <v>40</v>
      </c>
      <c r="P10" s="5">
        <v>45747</v>
      </c>
      <c r="Q10" s="5">
        <v>45753</v>
      </c>
      <c r="R10" s="5">
        <v>45753</v>
      </c>
      <c r="S10" t="s">
        <v>33</v>
      </c>
      <c r="T10" s="6">
        <v>4</v>
      </c>
      <c r="U10" t="s">
        <v>79</v>
      </c>
      <c r="V10" s="10">
        <v>2416.1120000000001</v>
      </c>
      <c r="W10" s="10">
        <v>2064.14</v>
      </c>
      <c r="X10" s="10">
        <v>264.15200000000021</v>
      </c>
      <c r="Y10" s="11">
        <v>0.1093293688372063</v>
      </c>
      <c r="Z10" s="6">
        <v>0</v>
      </c>
      <c r="AA10" t="s">
        <v>35</v>
      </c>
    </row>
    <row r="11" spans="1:27" x14ac:dyDescent="0.25">
      <c r="A11" t="s">
        <v>80</v>
      </c>
      <c r="B11">
        <v>70</v>
      </c>
      <c r="C11" s="9">
        <v>45745.198344907411</v>
      </c>
      <c r="D11" t="s">
        <v>81</v>
      </c>
      <c r="E11" t="s">
        <v>82</v>
      </c>
      <c r="F11" t="s">
        <v>45</v>
      </c>
      <c r="G11">
        <v>0</v>
      </c>
      <c r="H11" s="6">
        <v>3</v>
      </c>
      <c r="I11" s="10">
        <v>75.849999999999994</v>
      </c>
      <c r="J11" s="10">
        <v>116.37</v>
      </c>
      <c r="K11" t="s">
        <v>60</v>
      </c>
      <c r="L11" s="3">
        <v>0.2</v>
      </c>
      <c r="M11" t="s">
        <v>31</v>
      </c>
      <c r="N11" s="10">
        <v>18.25</v>
      </c>
      <c r="O11" t="s">
        <v>83</v>
      </c>
      <c r="P11" s="5">
        <v>45746</v>
      </c>
      <c r="Q11" s="5">
        <v>45753</v>
      </c>
      <c r="R11" s="5">
        <v>45751</v>
      </c>
      <c r="S11" t="s">
        <v>33</v>
      </c>
      <c r="T11" s="6">
        <v>5</v>
      </c>
      <c r="U11" t="s">
        <v>84</v>
      </c>
      <c r="V11" s="10">
        <v>279.28800000000001</v>
      </c>
      <c r="W11" s="10">
        <v>227.55</v>
      </c>
      <c r="X11" s="10">
        <v>33.488000000000028</v>
      </c>
      <c r="Y11" s="11">
        <v>0.1199049010340581</v>
      </c>
      <c r="Z11" s="6">
        <v>-2</v>
      </c>
      <c r="AA11" t="s">
        <v>35</v>
      </c>
    </row>
    <row r="12" spans="1:27" x14ac:dyDescent="0.25">
      <c r="A12" t="s">
        <v>85</v>
      </c>
      <c r="B12">
        <v>62</v>
      </c>
      <c r="C12" s="9">
        <v>45745.316365740742</v>
      </c>
      <c r="D12" t="s">
        <v>86</v>
      </c>
      <c r="E12" t="s">
        <v>87</v>
      </c>
      <c r="F12" t="s">
        <v>45</v>
      </c>
      <c r="G12">
        <v>0</v>
      </c>
      <c r="H12" s="6">
        <v>3</v>
      </c>
      <c r="I12" s="10">
        <v>74.739999999999995</v>
      </c>
      <c r="J12" s="10">
        <v>182.61</v>
      </c>
      <c r="L12" s="3">
        <v>0</v>
      </c>
      <c r="M12" t="s">
        <v>61</v>
      </c>
      <c r="N12" s="10">
        <v>15.61</v>
      </c>
      <c r="O12" t="s">
        <v>47</v>
      </c>
      <c r="P12" s="5">
        <v>45746</v>
      </c>
      <c r="Q12" s="5">
        <v>45754</v>
      </c>
      <c r="R12" s="5">
        <v>45752</v>
      </c>
      <c r="S12" t="s">
        <v>33</v>
      </c>
      <c r="T12" s="6">
        <v>4</v>
      </c>
      <c r="U12" t="s">
        <v>69</v>
      </c>
      <c r="V12" s="10">
        <v>547.83000000000004</v>
      </c>
      <c r="W12" s="10">
        <v>224.22</v>
      </c>
      <c r="X12" s="10">
        <v>308.00000000000011</v>
      </c>
      <c r="Y12" s="11">
        <v>0.56221820637789099</v>
      </c>
      <c r="Z12" s="6">
        <v>-2</v>
      </c>
      <c r="AA12" t="s">
        <v>35</v>
      </c>
    </row>
    <row r="13" spans="1:27" x14ac:dyDescent="0.25">
      <c r="A13" t="s">
        <v>88</v>
      </c>
      <c r="B13">
        <v>85</v>
      </c>
      <c r="C13" s="9">
        <v>45746.075648148151</v>
      </c>
      <c r="D13" t="s">
        <v>89</v>
      </c>
      <c r="E13" t="s">
        <v>90</v>
      </c>
      <c r="F13" t="s">
        <v>52</v>
      </c>
      <c r="G13">
        <v>264</v>
      </c>
      <c r="H13" s="6">
        <v>2</v>
      </c>
      <c r="I13" s="10">
        <v>47.12</v>
      </c>
      <c r="J13" s="10">
        <v>150.97999999999999</v>
      </c>
      <c r="K13" t="s">
        <v>60</v>
      </c>
      <c r="L13" s="3">
        <v>0.2</v>
      </c>
      <c r="M13" t="s">
        <v>31</v>
      </c>
      <c r="N13" s="10">
        <v>21</v>
      </c>
      <c r="O13" t="s">
        <v>47</v>
      </c>
      <c r="P13" s="5">
        <v>45747</v>
      </c>
      <c r="Q13" s="5">
        <v>45756</v>
      </c>
      <c r="R13" s="5">
        <v>45751</v>
      </c>
      <c r="S13" t="s">
        <v>33</v>
      </c>
      <c r="T13" s="6">
        <v>5</v>
      </c>
      <c r="U13" t="s">
        <v>41</v>
      </c>
      <c r="V13" s="10">
        <v>241.56800000000001</v>
      </c>
      <c r="W13" s="10">
        <v>94.24</v>
      </c>
      <c r="X13" s="10">
        <v>126.328</v>
      </c>
      <c r="Y13" s="11">
        <v>0.52295005961054442</v>
      </c>
      <c r="Z13" s="6">
        <v>-5</v>
      </c>
      <c r="AA13" t="s">
        <v>35</v>
      </c>
    </row>
    <row r="14" spans="1:27" x14ac:dyDescent="0.25">
      <c r="A14" t="s">
        <v>91</v>
      </c>
      <c r="B14">
        <v>94</v>
      </c>
      <c r="C14" s="9">
        <v>45746.256956018522</v>
      </c>
      <c r="D14" t="s">
        <v>92</v>
      </c>
      <c r="E14" t="s">
        <v>93</v>
      </c>
      <c r="F14" t="s">
        <v>52</v>
      </c>
      <c r="G14">
        <v>253</v>
      </c>
      <c r="H14" s="6">
        <v>3</v>
      </c>
      <c r="I14" s="10">
        <v>25.86</v>
      </c>
      <c r="J14" s="10">
        <v>42.48</v>
      </c>
      <c r="K14" t="s">
        <v>46</v>
      </c>
      <c r="L14" s="3">
        <v>0.1</v>
      </c>
      <c r="M14" t="s">
        <v>76</v>
      </c>
      <c r="N14" s="10">
        <v>20.63</v>
      </c>
      <c r="O14" t="s">
        <v>47</v>
      </c>
      <c r="P14" s="5">
        <v>45747</v>
      </c>
      <c r="Q14" s="5">
        <v>45753</v>
      </c>
      <c r="R14" s="5">
        <v>45751</v>
      </c>
      <c r="S14" t="s">
        <v>33</v>
      </c>
      <c r="T14" s="6">
        <v>4</v>
      </c>
      <c r="U14" t="s">
        <v>77</v>
      </c>
      <c r="V14" s="10">
        <v>114.696</v>
      </c>
      <c r="W14" s="10">
        <v>77.58</v>
      </c>
      <c r="X14" s="10">
        <v>16.486000000000001</v>
      </c>
      <c r="Y14" s="11">
        <v>0.14373648601520539</v>
      </c>
      <c r="Z14" s="6">
        <v>-2</v>
      </c>
      <c r="AA14" t="s">
        <v>35</v>
      </c>
    </row>
    <row r="15" spans="1:27" x14ac:dyDescent="0.25">
      <c r="A15" t="s">
        <v>94</v>
      </c>
      <c r="B15">
        <v>57</v>
      </c>
      <c r="C15" s="9">
        <v>45747.036527777767</v>
      </c>
      <c r="D15" t="s">
        <v>95</v>
      </c>
      <c r="E15" t="s">
        <v>96</v>
      </c>
      <c r="F15" t="s">
        <v>52</v>
      </c>
      <c r="G15">
        <v>314</v>
      </c>
      <c r="H15" s="6">
        <v>3</v>
      </c>
      <c r="I15" s="10">
        <v>35.06</v>
      </c>
      <c r="J15" s="10">
        <v>75.53</v>
      </c>
      <c r="K15" t="s">
        <v>60</v>
      </c>
      <c r="L15" s="3">
        <v>0.2</v>
      </c>
      <c r="M15" t="s">
        <v>31</v>
      </c>
      <c r="N15" s="10">
        <v>51.72</v>
      </c>
      <c r="O15" t="s">
        <v>97</v>
      </c>
      <c r="P15" s="5">
        <v>45749</v>
      </c>
      <c r="Q15" s="5">
        <v>45758</v>
      </c>
      <c r="R15" s="5">
        <v>45757</v>
      </c>
      <c r="S15" t="s">
        <v>33</v>
      </c>
      <c r="T15" s="6">
        <v>4</v>
      </c>
      <c r="U15" t="s">
        <v>79</v>
      </c>
      <c r="V15" s="10">
        <v>181.27199999999999</v>
      </c>
      <c r="W15" s="10">
        <v>105.18</v>
      </c>
      <c r="X15" s="10">
        <v>24.372000000000011</v>
      </c>
      <c r="Y15" s="11">
        <v>0.1344498874619357</v>
      </c>
      <c r="Z15" s="6">
        <v>-1</v>
      </c>
      <c r="AA15" t="s">
        <v>35</v>
      </c>
    </row>
    <row r="16" spans="1:27" x14ac:dyDescent="0.25">
      <c r="A16" t="s">
        <v>98</v>
      </c>
      <c r="B16">
        <v>131</v>
      </c>
      <c r="C16" s="9">
        <v>45747.208993055552</v>
      </c>
      <c r="D16" t="s">
        <v>74</v>
      </c>
      <c r="E16" t="s">
        <v>75</v>
      </c>
      <c r="F16" t="s">
        <v>30</v>
      </c>
      <c r="G16">
        <v>2401</v>
      </c>
      <c r="H16" s="6">
        <v>2</v>
      </c>
      <c r="I16" s="10">
        <v>2801.89</v>
      </c>
      <c r="J16" s="10">
        <v>3477.89</v>
      </c>
      <c r="L16" s="3">
        <v>0</v>
      </c>
      <c r="M16" t="s">
        <v>76</v>
      </c>
      <c r="N16" s="10">
        <v>122.24</v>
      </c>
      <c r="O16" t="s">
        <v>99</v>
      </c>
      <c r="P16" s="5">
        <v>45748</v>
      </c>
      <c r="Q16" s="5">
        <v>45757</v>
      </c>
      <c r="R16" s="5">
        <v>45754</v>
      </c>
      <c r="S16" t="s">
        <v>33</v>
      </c>
      <c r="T16" s="6">
        <v>5</v>
      </c>
      <c r="U16" t="s">
        <v>41</v>
      </c>
      <c r="V16" s="10">
        <v>6955.78</v>
      </c>
      <c r="W16" s="10">
        <v>5603.78</v>
      </c>
      <c r="X16" s="10">
        <v>1229.76</v>
      </c>
      <c r="Y16" s="11">
        <v>0.17679685096423409</v>
      </c>
      <c r="Z16" s="6">
        <v>-3</v>
      </c>
      <c r="AA16" t="s">
        <v>35</v>
      </c>
    </row>
    <row r="17" spans="1:27" x14ac:dyDescent="0.25">
      <c r="A17" t="s">
        <v>100</v>
      </c>
      <c r="B17">
        <v>185</v>
      </c>
      <c r="C17" s="9">
        <v>45747.252974537027</v>
      </c>
      <c r="D17" t="s">
        <v>81</v>
      </c>
      <c r="E17" t="s">
        <v>82</v>
      </c>
      <c r="F17" t="s">
        <v>45</v>
      </c>
      <c r="G17">
        <v>0</v>
      </c>
      <c r="H17" s="6">
        <v>1</v>
      </c>
      <c r="I17" s="10">
        <v>39.909999999999997</v>
      </c>
      <c r="J17" s="10">
        <v>190.84</v>
      </c>
      <c r="L17" s="3">
        <v>0</v>
      </c>
      <c r="M17" t="s">
        <v>76</v>
      </c>
      <c r="N17" s="10">
        <v>22.39</v>
      </c>
      <c r="O17" t="s">
        <v>101</v>
      </c>
      <c r="P17" s="5">
        <v>45748</v>
      </c>
      <c r="Q17" s="5">
        <v>45758</v>
      </c>
      <c r="R17" s="5">
        <v>45762</v>
      </c>
      <c r="S17" t="s">
        <v>33</v>
      </c>
      <c r="T17" s="6">
        <v>1</v>
      </c>
      <c r="U17" t="s">
        <v>102</v>
      </c>
      <c r="V17" s="10">
        <v>190.84</v>
      </c>
      <c r="W17" s="10">
        <v>39.909999999999997</v>
      </c>
      <c r="X17" s="10">
        <v>128.54</v>
      </c>
      <c r="Y17" s="11">
        <v>0.6735485223223644</v>
      </c>
      <c r="Z17" s="6">
        <v>4</v>
      </c>
      <c r="AA17" t="s">
        <v>103</v>
      </c>
    </row>
    <row r="18" spans="1:27" x14ac:dyDescent="0.25">
      <c r="A18" t="s">
        <v>104</v>
      </c>
      <c r="B18">
        <v>34</v>
      </c>
      <c r="C18" s="9">
        <v>45747.816979166673</v>
      </c>
      <c r="D18" t="s">
        <v>105</v>
      </c>
      <c r="E18" t="s">
        <v>106</v>
      </c>
      <c r="F18" t="s">
        <v>30</v>
      </c>
      <c r="G18">
        <v>2043</v>
      </c>
      <c r="H18" s="6">
        <v>1</v>
      </c>
      <c r="I18" s="10">
        <v>235.46</v>
      </c>
      <c r="J18" s="10">
        <v>436.95</v>
      </c>
      <c r="K18" t="s">
        <v>60</v>
      </c>
      <c r="L18" s="3">
        <v>0.2</v>
      </c>
      <c r="M18" t="s">
        <v>76</v>
      </c>
      <c r="N18" s="10">
        <v>120.75</v>
      </c>
      <c r="O18" t="s">
        <v>47</v>
      </c>
      <c r="P18" s="5">
        <v>45749</v>
      </c>
      <c r="Q18" s="5">
        <v>45758</v>
      </c>
      <c r="R18" s="5">
        <v>45754</v>
      </c>
      <c r="S18" t="s">
        <v>33</v>
      </c>
      <c r="T18" s="6">
        <v>5</v>
      </c>
      <c r="U18" t="s">
        <v>48</v>
      </c>
      <c r="V18" s="10">
        <v>349.56</v>
      </c>
      <c r="W18" s="10">
        <v>235.46</v>
      </c>
      <c r="X18" s="10">
        <v>-6.6500000000000057</v>
      </c>
      <c r="Y18" s="11">
        <v>-1.902391577983753E-2</v>
      </c>
      <c r="Z18" s="6">
        <v>-4</v>
      </c>
      <c r="AA18" t="s">
        <v>35</v>
      </c>
    </row>
    <row r="19" spans="1:27" x14ac:dyDescent="0.25">
      <c r="A19" t="s">
        <v>107</v>
      </c>
      <c r="B19">
        <v>37</v>
      </c>
      <c r="C19" s="9">
        <v>45748.558310185188</v>
      </c>
      <c r="D19" t="s">
        <v>28</v>
      </c>
      <c r="E19" t="s">
        <v>29</v>
      </c>
      <c r="F19" t="s">
        <v>30</v>
      </c>
      <c r="G19">
        <v>2443</v>
      </c>
      <c r="H19" s="6">
        <v>2</v>
      </c>
      <c r="I19" s="10">
        <v>2498.58</v>
      </c>
      <c r="J19" s="10">
        <v>3442.5</v>
      </c>
      <c r="L19" s="3">
        <v>0</v>
      </c>
      <c r="M19" t="s">
        <v>39</v>
      </c>
      <c r="N19" s="10">
        <v>101.34</v>
      </c>
      <c r="O19" t="s">
        <v>40</v>
      </c>
      <c r="P19" s="5">
        <v>45750</v>
      </c>
      <c r="Q19" s="5">
        <v>45758</v>
      </c>
      <c r="R19" s="5">
        <v>45759</v>
      </c>
      <c r="S19" t="s">
        <v>33</v>
      </c>
      <c r="T19" s="6">
        <v>2</v>
      </c>
      <c r="U19" t="s">
        <v>108</v>
      </c>
      <c r="V19" s="10">
        <v>6885</v>
      </c>
      <c r="W19" s="10">
        <v>4997.16</v>
      </c>
      <c r="X19" s="10">
        <v>1786.5</v>
      </c>
      <c r="Y19" s="11">
        <v>0.25947712418300661</v>
      </c>
      <c r="Z19" s="6">
        <v>1</v>
      </c>
      <c r="AA19" t="s">
        <v>103</v>
      </c>
    </row>
    <row r="20" spans="1:27" x14ac:dyDescent="0.25">
      <c r="A20" t="s">
        <v>109</v>
      </c>
      <c r="B20">
        <v>100</v>
      </c>
      <c r="C20" s="9">
        <v>45748.945856481478</v>
      </c>
      <c r="D20" t="s">
        <v>110</v>
      </c>
      <c r="E20" t="s">
        <v>111</v>
      </c>
      <c r="F20" t="s">
        <v>30</v>
      </c>
      <c r="G20">
        <v>2006</v>
      </c>
      <c r="H20" s="6">
        <v>3</v>
      </c>
      <c r="I20" s="10">
        <v>1467.91</v>
      </c>
      <c r="J20" s="10">
        <v>1790.32</v>
      </c>
      <c r="L20" s="3">
        <v>0</v>
      </c>
      <c r="M20" t="s">
        <v>39</v>
      </c>
      <c r="N20" s="10">
        <v>100.97</v>
      </c>
      <c r="O20" t="s">
        <v>99</v>
      </c>
      <c r="P20" s="5">
        <v>45750</v>
      </c>
      <c r="Q20" s="5">
        <v>45760</v>
      </c>
      <c r="R20" s="5">
        <v>45760</v>
      </c>
      <c r="S20" t="s">
        <v>33</v>
      </c>
      <c r="T20" s="6">
        <v>4</v>
      </c>
      <c r="U20" t="s">
        <v>112</v>
      </c>
      <c r="V20" s="10">
        <v>5370.96</v>
      </c>
      <c r="W20" s="10">
        <v>4403.7299999999996</v>
      </c>
      <c r="X20" s="10">
        <v>866.25999999999954</v>
      </c>
      <c r="Y20" s="11">
        <v>0.1612858781297942</v>
      </c>
      <c r="Z20" s="6">
        <v>0</v>
      </c>
      <c r="AA20" t="s">
        <v>35</v>
      </c>
    </row>
    <row r="21" spans="1:27" x14ac:dyDescent="0.25">
      <c r="A21" t="s">
        <v>113</v>
      </c>
      <c r="B21">
        <v>135</v>
      </c>
      <c r="C21" s="9">
        <v>45749.860289351847</v>
      </c>
      <c r="D21" t="s">
        <v>114</v>
      </c>
      <c r="E21" t="s">
        <v>115</v>
      </c>
      <c r="F21" t="s">
        <v>116</v>
      </c>
      <c r="G21">
        <v>0</v>
      </c>
      <c r="H21" s="6">
        <v>1</v>
      </c>
      <c r="I21" s="10">
        <v>405.6</v>
      </c>
      <c r="J21" s="10">
        <v>679.12</v>
      </c>
      <c r="K21" t="s">
        <v>46</v>
      </c>
      <c r="L21" s="3">
        <v>0.1</v>
      </c>
      <c r="M21" t="s">
        <v>76</v>
      </c>
      <c r="N21" s="10">
        <v>19.21</v>
      </c>
      <c r="O21" t="s">
        <v>47</v>
      </c>
      <c r="P21" s="5">
        <v>45751</v>
      </c>
      <c r="Q21" s="5">
        <v>45758</v>
      </c>
      <c r="S21" t="s">
        <v>54</v>
      </c>
      <c r="T21" s="6">
        <v>4</v>
      </c>
      <c r="U21" t="s">
        <v>117</v>
      </c>
      <c r="V21" s="10">
        <v>611.20799999999997</v>
      </c>
      <c r="W21" s="10">
        <v>405.6</v>
      </c>
      <c r="X21" s="10">
        <v>186.39799999999991</v>
      </c>
      <c r="Y21" s="11">
        <v>0.30496655802934508</v>
      </c>
      <c r="Z21" s="6"/>
      <c r="AA21" t="s">
        <v>56</v>
      </c>
    </row>
    <row r="22" spans="1:27" x14ac:dyDescent="0.25">
      <c r="A22" t="s">
        <v>118</v>
      </c>
      <c r="B22">
        <v>35</v>
      </c>
      <c r="C22" s="9">
        <v>45749.886342592603</v>
      </c>
      <c r="D22" t="s">
        <v>89</v>
      </c>
      <c r="E22" t="s">
        <v>90</v>
      </c>
      <c r="F22" t="s">
        <v>52</v>
      </c>
      <c r="G22">
        <v>318</v>
      </c>
      <c r="H22" s="6">
        <v>3</v>
      </c>
      <c r="I22" s="10">
        <v>87.34</v>
      </c>
      <c r="J22" s="10">
        <v>109.48</v>
      </c>
      <c r="K22" t="s">
        <v>46</v>
      </c>
      <c r="L22" s="3">
        <v>0.1</v>
      </c>
      <c r="M22" t="s">
        <v>76</v>
      </c>
      <c r="N22" s="10">
        <v>39.97</v>
      </c>
      <c r="O22" t="s">
        <v>62</v>
      </c>
      <c r="P22" s="5">
        <v>45750</v>
      </c>
      <c r="Q22" s="5">
        <v>45758</v>
      </c>
      <c r="R22" s="5">
        <v>45754</v>
      </c>
      <c r="S22" t="s">
        <v>33</v>
      </c>
      <c r="T22" s="6">
        <v>5</v>
      </c>
      <c r="U22" t="s">
        <v>119</v>
      </c>
      <c r="V22" s="10">
        <v>295.596</v>
      </c>
      <c r="W22" s="10">
        <v>262.02</v>
      </c>
      <c r="X22" s="10">
        <v>-6.393999999999977</v>
      </c>
      <c r="Y22" s="11">
        <v>-2.163087457205096E-2</v>
      </c>
      <c r="Z22" s="6">
        <v>-4</v>
      </c>
      <c r="AA22" t="s">
        <v>35</v>
      </c>
    </row>
    <row r="23" spans="1:27" x14ac:dyDescent="0.25">
      <c r="A23" t="s">
        <v>120</v>
      </c>
      <c r="B23">
        <v>89</v>
      </c>
      <c r="C23" s="9">
        <v>45749.93608796296</v>
      </c>
      <c r="D23" t="s">
        <v>95</v>
      </c>
      <c r="E23" t="s">
        <v>96</v>
      </c>
      <c r="F23" t="s">
        <v>52</v>
      </c>
      <c r="G23">
        <v>498</v>
      </c>
      <c r="H23" s="6">
        <v>1</v>
      </c>
      <c r="I23" s="10">
        <v>26.09</v>
      </c>
      <c r="J23" s="10">
        <v>71.88</v>
      </c>
      <c r="K23" t="s">
        <v>46</v>
      </c>
      <c r="L23" s="3">
        <v>0.1</v>
      </c>
      <c r="M23" t="s">
        <v>31</v>
      </c>
      <c r="N23" s="10">
        <v>58.88</v>
      </c>
      <c r="O23" t="s">
        <v>62</v>
      </c>
      <c r="P23" s="5">
        <v>45750</v>
      </c>
      <c r="Q23" s="5">
        <v>45760</v>
      </c>
      <c r="S23" t="s">
        <v>54</v>
      </c>
      <c r="T23" s="6">
        <v>3</v>
      </c>
      <c r="U23" t="s">
        <v>121</v>
      </c>
      <c r="V23" s="10">
        <v>64.691999999999993</v>
      </c>
      <c r="W23" s="10">
        <v>26.09</v>
      </c>
      <c r="X23" s="10">
        <v>-20.278000000000009</v>
      </c>
      <c r="Y23" s="11">
        <v>-0.31345452297038301</v>
      </c>
      <c r="Z23" s="6"/>
      <c r="AA23" t="s">
        <v>56</v>
      </c>
    </row>
    <row r="24" spans="1:27" x14ac:dyDescent="0.25">
      <c r="A24" t="s">
        <v>122</v>
      </c>
      <c r="B24">
        <v>68</v>
      </c>
      <c r="C24" s="9">
        <v>45750.377766203703</v>
      </c>
      <c r="D24" t="s">
        <v>123</v>
      </c>
      <c r="E24" t="s">
        <v>124</v>
      </c>
      <c r="F24" t="s">
        <v>45</v>
      </c>
      <c r="G24">
        <v>0</v>
      </c>
      <c r="H24" s="6">
        <v>3</v>
      </c>
      <c r="I24" s="10">
        <v>187.54</v>
      </c>
      <c r="J24" s="10">
        <v>286.26</v>
      </c>
      <c r="L24" s="3">
        <v>0</v>
      </c>
      <c r="M24" t="s">
        <v>76</v>
      </c>
      <c r="N24" s="10">
        <v>24.46</v>
      </c>
      <c r="O24" t="s">
        <v>47</v>
      </c>
      <c r="P24" s="5">
        <v>45752</v>
      </c>
      <c r="Q24" s="5">
        <v>45761</v>
      </c>
      <c r="R24" s="5">
        <v>45754</v>
      </c>
      <c r="S24" t="s">
        <v>33</v>
      </c>
      <c r="T24" s="6">
        <v>5</v>
      </c>
      <c r="U24" t="s">
        <v>41</v>
      </c>
      <c r="V24" s="10">
        <v>858.78</v>
      </c>
      <c r="W24" s="10">
        <v>562.62</v>
      </c>
      <c r="X24" s="10">
        <v>271.7</v>
      </c>
      <c r="Y24" s="11">
        <v>0.31637904934907662</v>
      </c>
      <c r="Z24" s="6">
        <v>-7</v>
      </c>
      <c r="AA24" t="s">
        <v>35</v>
      </c>
    </row>
    <row r="25" spans="1:27" x14ac:dyDescent="0.25">
      <c r="A25" t="s">
        <v>125</v>
      </c>
      <c r="B25">
        <v>75</v>
      </c>
      <c r="C25" s="9">
        <v>45750.483969907407</v>
      </c>
      <c r="D25" t="s">
        <v>37</v>
      </c>
      <c r="E25" t="s">
        <v>38</v>
      </c>
      <c r="F25" t="s">
        <v>30</v>
      </c>
      <c r="G25">
        <v>2414</v>
      </c>
      <c r="H25" s="6">
        <v>3</v>
      </c>
      <c r="I25" s="10">
        <v>499.15</v>
      </c>
      <c r="J25" s="10">
        <v>769.09</v>
      </c>
      <c r="L25" s="3">
        <v>0</v>
      </c>
      <c r="M25" t="s">
        <v>76</v>
      </c>
      <c r="N25" s="10">
        <v>76.47</v>
      </c>
      <c r="O25" t="s">
        <v>126</v>
      </c>
      <c r="P25" s="5">
        <v>45752</v>
      </c>
      <c r="Q25" s="5">
        <v>45760</v>
      </c>
      <c r="R25" s="5">
        <v>45759</v>
      </c>
      <c r="S25" t="s">
        <v>33</v>
      </c>
      <c r="T25" s="6">
        <v>4</v>
      </c>
      <c r="U25" t="s">
        <v>127</v>
      </c>
      <c r="V25" s="10">
        <v>2307.27</v>
      </c>
      <c r="W25" s="10">
        <v>1497.45</v>
      </c>
      <c r="X25" s="10">
        <v>733.35000000000014</v>
      </c>
      <c r="Y25" s="11">
        <v>0.31784316529924977</v>
      </c>
      <c r="Z25" s="6">
        <v>-1</v>
      </c>
      <c r="AA25" t="s">
        <v>35</v>
      </c>
    </row>
    <row r="26" spans="1:27" x14ac:dyDescent="0.25">
      <c r="A26" t="s">
        <v>128</v>
      </c>
      <c r="B26">
        <v>36</v>
      </c>
      <c r="C26" s="9">
        <v>45750.656875000001</v>
      </c>
      <c r="D26" t="s">
        <v>110</v>
      </c>
      <c r="E26" t="s">
        <v>111</v>
      </c>
      <c r="F26" t="s">
        <v>30</v>
      </c>
      <c r="G26">
        <v>2027</v>
      </c>
      <c r="H26" s="6">
        <v>3</v>
      </c>
      <c r="I26" s="10">
        <v>1035.99</v>
      </c>
      <c r="J26" s="10">
        <v>1868.65</v>
      </c>
      <c r="K26" t="s">
        <v>60</v>
      </c>
      <c r="L26" s="3">
        <v>0.2</v>
      </c>
      <c r="M26" t="s">
        <v>61</v>
      </c>
      <c r="N26" s="10">
        <v>139.22</v>
      </c>
      <c r="O26" t="s">
        <v>101</v>
      </c>
      <c r="P26" s="5">
        <v>45751</v>
      </c>
      <c r="Q26" s="5">
        <v>45761</v>
      </c>
      <c r="R26" s="5">
        <v>45762</v>
      </c>
      <c r="S26" t="s">
        <v>33</v>
      </c>
      <c r="T26" s="6">
        <v>2</v>
      </c>
      <c r="U26" t="s">
        <v>129</v>
      </c>
      <c r="V26" s="10">
        <v>4484.7600000000011</v>
      </c>
      <c r="W26" s="10">
        <v>3107.97</v>
      </c>
      <c r="X26" s="10">
        <v>1237.5700000000011</v>
      </c>
      <c r="Y26" s="11">
        <v>0.27595010658318408</v>
      </c>
      <c r="Z26" s="6">
        <v>1</v>
      </c>
      <c r="AA26" t="s">
        <v>103</v>
      </c>
    </row>
    <row r="27" spans="1:27" x14ac:dyDescent="0.25">
      <c r="A27" t="s">
        <v>130</v>
      </c>
      <c r="B27">
        <v>181</v>
      </c>
      <c r="C27" s="9">
        <v>45751.390543981477</v>
      </c>
      <c r="D27" t="s">
        <v>123</v>
      </c>
      <c r="E27" t="s">
        <v>124</v>
      </c>
      <c r="F27" t="s">
        <v>45</v>
      </c>
      <c r="G27">
        <v>0</v>
      </c>
      <c r="H27" s="6">
        <v>3</v>
      </c>
      <c r="I27" s="10">
        <v>79.56</v>
      </c>
      <c r="J27" s="10">
        <v>200.99</v>
      </c>
      <c r="L27" s="3">
        <v>0</v>
      </c>
      <c r="M27" t="s">
        <v>61</v>
      </c>
      <c r="N27" s="10">
        <v>15.4</v>
      </c>
      <c r="O27" t="s">
        <v>32</v>
      </c>
      <c r="P27" s="5">
        <v>45753</v>
      </c>
      <c r="Q27" s="5">
        <v>45758</v>
      </c>
      <c r="S27" t="s">
        <v>63</v>
      </c>
      <c r="T27" s="6">
        <v>1</v>
      </c>
      <c r="U27" t="s">
        <v>131</v>
      </c>
      <c r="V27" s="10">
        <v>602.97</v>
      </c>
      <c r="W27" s="10">
        <v>238.68</v>
      </c>
      <c r="X27" s="10">
        <v>348.89</v>
      </c>
      <c r="Y27" s="11">
        <v>0.57861916844950834</v>
      </c>
      <c r="Z27" s="6"/>
      <c r="AA27" t="s">
        <v>56</v>
      </c>
    </row>
    <row r="28" spans="1:27" x14ac:dyDescent="0.25">
      <c r="A28" t="s">
        <v>132</v>
      </c>
      <c r="B28">
        <v>77</v>
      </c>
      <c r="C28" s="9">
        <v>45751.786990740737</v>
      </c>
      <c r="D28" t="s">
        <v>43</v>
      </c>
      <c r="E28" t="s">
        <v>44</v>
      </c>
      <c r="F28" t="s">
        <v>45</v>
      </c>
      <c r="G28">
        <v>0</v>
      </c>
      <c r="H28" s="6">
        <v>2</v>
      </c>
      <c r="I28" s="10">
        <v>52.75</v>
      </c>
      <c r="J28" s="10">
        <v>106.41</v>
      </c>
      <c r="L28" s="3">
        <v>0</v>
      </c>
      <c r="M28" t="s">
        <v>31</v>
      </c>
      <c r="N28" s="10">
        <v>22.21</v>
      </c>
      <c r="O28" t="s">
        <v>133</v>
      </c>
      <c r="P28" s="5">
        <v>45752</v>
      </c>
      <c r="Q28" s="5">
        <v>45762</v>
      </c>
      <c r="R28" s="5">
        <v>45760</v>
      </c>
      <c r="S28" t="s">
        <v>33</v>
      </c>
      <c r="T28" s="6">
        <v>5</v>
      </c>
      <c r="U28" t="s">
        <v>134</v>
      </c>
      <c r="V28" s="10">
        <v>212.82</v>
      </c>
      <c r="W28" s="10">
        <v>105.5</v>
      </c>
      <c r="X28" s="10">
        <v>85.109999999999985</v>
      </c>
      <c r="Y28" s="11">
        <v>0.39991542148294329</v>
      </c>
      <c r="Z28" s="6">
        <v>-2</v>
      </c>
      <c r="AA28" t="s">
        <v>35</v>
      </c>
    </row>
    <row r="29" spans="1:27" x14ac:dyDescent="0.25">
      <c r="A29" t="s">
        <v>135</v>
      </c>
      <c r="B29">
        <v>86</v>
      </c>
      <c r="C29" s="9">
        <v>45753.087604166663</v>
      </c>
      <c r="D29" t="s">
        <v>89</v>
      </c>
      <c r="E29" t="s">
        <v>90</v>
      </c>
      <c r="F29" t="s">
        <v>52</v>
      </c>
      <c r="G29">
        <v>223</v>
      </c>
      <c r="H29" s="6">
        <v>1</v>
      </c>
      <c r="I29" s="10">
        <v>75.959999999999994</v>
      </c>
      <c r="J29" s="10">
        <v>161.31</v>
      </c>
      <c r="K29" t="s">
        <v>46</v>
      </c>
      <c r="L29" s="3">
        <v>0.1</v>
      </c>
      <c r="M29" t="s">
        <v>39</v>
      </c>
      <c r="N29" s="10">
        <v>23.61</v>
      </c>
      <c r="O29" t="s">
        <v>40</v>
      </c>
      <c r="P29" s="5">
        <v>45754</v>
      </c>
      <c r="Q29" s="5">
        <v>45759</v>
      </c>
      <c r="S29" t="s">
        <v>54</v>
      </c>
      <c r="T29" s="6">
        <v>4</v>
      </c>
      <c r="U29" t="s">
        <v>127</v>
      </c>
      <c r="V29" s="10">
        <v>145.179</v>
      </c>
      <c r="W29" s="10">
        <v>75.959999999999994</v>
      </c>
      <c r="X29" s="10">
        <v>45.609000000000009</v>
      </c>
      <c r="Y29" s="11">
        <v>0.31415700617857961</v>
      </c>
      <c r="Z29" s="6"/>
      <c r="AA29" t="s">
        <v>56</v>
      </c>
    </row>
    <row r="30" spans="1:27" x14ac:dyDescent="0.25">
      <c r="A30" t="s">
        <v>136</v>
      </c>
      <c r="B30">
        <v>200</v>
      </c>
      <c r="C30" s="9">
        <v>45753.852708333332</v>
      </c>
      <c r="D30" t="s">
        <v>137</v>
      </c>
      <c r="E30" t="s">
        <v>138</v>
      </c>
      <c r="F30" t="s">
        <v>52</v>
      </c>
      <c r="G30">
        <v>391</v>
      </c>
      <c r="H30" s="6">
        <v>1</v>
      </c>
      <c r="I30" s="10">
        <v>75.44</v>
      </c>
      <c r="J30" s="10">
        <v>149.65</v>
      </c>
      <c r="L30" s="3">
        <v>0</v>
      </c>
      <c r="M30" t="s">
        <v>39</v>
      </c>
      <c r="N30" s="10">
        <v>54.13</v>
      </c>
      <c r="O30" t="s">
        <v>133</v>
      </c>
      <c r="P30" s="5">
        <v>45755</v>
      </c>
      <c r="Q30" s="5">
        <v>45760</v>
      </c>
      <c r="R30" s="5">
        <v>45757</v>
      </c>
      <c r="S30" t="s">
        <v>33</v>
      </c>
      <c r="T30" s="6">
        <v>5</v>
      </c>
      <c r="U30" t="s">
        <v>117</v>
      </c>
      <c r="V30" s="10">
        <v>149.65</v>
      </c>
      <c r="W30" s="10">
        <v>75.44</v>
      </c>
      <c r="X30" s="10">
        <v>20.080000000000009</v>
      </c>
      <c r="Y30" s="11">
        <v>0.13417975275643171</v>
      </c>
      <c r="Z30" s="6">
        <v>-3</v>
      </c>
      <c r="AA30" t="s">
        <v>35</v>
      </c>
    </row>
    <row r="31" spans="1:27" x14ac:dyDescent="0.25">
      <c r="A31" t="s">
        <v>139</v>
      </c>
      <c r="B31">
        <v>161</v>
      </c>
      <c r="C31" s="9">
        <v>45754.155706018522</v>
      </c>
      <c r="D31" t="s">
        <v>137</v>
      </c>
      <c r="E31" t="s">
        <v>138</v>
      </c>
      <c r="F31" t="s">
        <v>52</v>
      </c>
      <c r="G31">
        <v>480</v>
      </c>
      <c r="H31" s="6">
        <v>3</v>
      </c>
      <c r="I31" s="10">
        <v>91.52</v>
      </c>
      <c r="J31" s="10">
        <v>278.8</v>
      </c>
      <c r="K31" t="s">
        <v>46</v>
      </c>
      <c r="L31" s="3">
        <v>0.1</v>
      </c>
      <c r="M31" t="s">
        <v>76</v>
      </c>
      <c r="N31" s="10">
        <v>58.89</v>
      </c>
      <c r="O31" t="s">
        <v>62</v>
      </c>
      <c r="P31" s="5">
        <v>45755</v>
      </c>
      <c r="Q31" s="5">
        <v>45763</v>
      </c>
      <c r="R31" s="5">
        <v>45768</v>
      </c>
      <c r="S31" t="s">
        <v>33</v>
      </c>
      <c r="T31" s="6">
        <v>1</v>
      </c>
      <c r="U31" t="s">
        <v>140</v>
      </c>
      <c r="V31" s="10">
        <v>752.7600000000001</v>
      </c>
      <c r="W31" s="10">
        <v>274.56</v>
      </c>
      <c r="X31" s="10">
        <v>419.31000000000012</v>
      </c>
      <c r="Y31" s="11">
        <v>0.55703012912482075</v>
      </c>
      <c r="Z31" s="6">
        <v>5</v>
      </c>
      <c r="AA31" t="s">
        <v>103</v>
      </c>
    </row>
    <row r="32" spans="1:27" x14ac:dyDescent="0.25">
      <c r="A32" t="s">
        <v>141</v>
      </c>
      <c r="B32">
        <v>26</v>
      </c>
      <c r="C32" s="9">
        <v>45755.048206018517</v>
      </c>
      <c r="D32" t="s">
        <v>86</v>
      </c>
      <c r="E32" t="s">
        <v>87</v>
      </c>
      <c r="F32" t="s">
        <v>45</v>
      </c>
      <c r="G32">
        <v>0</v>
      </c>
      <c r="H32" s="6">
        <v>2</v>
      </c>
      <c r="I32" s="10">
        <v>51</v>
      </c>
      <c r="J32" s="10">
        <v>173.59</v>
      </c>
      <c r="K32" t="s">
        <v>60</v>
      </c>
      <c r="L32" s="3">
        <v>0.2</v>
      </c>
      <c r="M32" t="s">
        <v>39</v>
      </c>
      <c r="N32" s="10">
        <v>25.35</v>
      </c>
      <c r="O32" t="s">
        <v>97</v>
      </c>
      <c r="P32" s="5">
        <v>45757</v>
      </c>
      <c r="Q32" s="5">
        <v>45762</v>
      </c>
      <c r="S32" t="s">
        <v>54</v>
      </c>
      <c r="T32" s="6">
        <v>2</v>
      </c>
      <c r="U32" t="s">
        <v>140</v>
      </c>
      <c r="V32" s="10">
        <v>277.74400000000003</v>
      </c>
      <c r="W32" s="10">
        <v>102</v>
      </c>
      <c r="X32" s="10">
        <v>150.39400000000001</v>
      </c>
      <c r="Y32" s="11">
        <v>0.54148424448412935</v>
      </c>
      <c r="Z32" s="6"/>
      <c r="AA32" t="s">
        <v>56</v>
      </c>
    </row>
    <row r="33" spans="1:27" x14ac:dyDescent="0.25">
      <c r="A33" t="s">
        <v>142</v>
      </c>
      <c r="B33">
        <v>10</v>
      </c>
      <c r="C33" s="9">
        <v>45755.563275462962</v>
      </c>
      <c r="D33" t="s">
        <v>66</v>
      </c>
      <c r="E33" t="s">
        <v>67</v>
      </c>
      <c r="F33" t="s">
        <v>52</v>
      </c>
      <c r="G33">
        <v>262</v>
      </c>
      <c r="H33" s="6">
        <v>3</v>
      </c>
      <c r="I33" s="10">
        <v>63.2</v>
      </c>
      <c r="J33" s="10">
        <v>90.07</v>
      </c>
      <c r="L33" s="3">
        <v>0</v>
      </c>
      <c r="M33" t="s">
        <v>31</v>
      </c>
      <c r="N33" s="10">
        <v>45.51</v>
      </c>
      <c r="O33" t="s">
        <v>99</v>
      </c>
      <c r="P33" s="5">
        <v>45756</v>
      </c>
      <c r="Q33" s="5">
        <v>45764</v>
      </c>
      <c r="R33" s="5">
        <v>45762</v>
      </c>
      <c r="S33" t="s">
        <v>33</v>
      </c>
      <c r="T33" s="6">
        <v>5</v>
      </c>
      <c r="U33" t="s">
        <v>119</v>
      </c>
      <c r="V33" s="10">
        <v>270.20999999999998</v>
      </c>
      <c r="W33" s="10">
        <v>189.6</v>
      </c>
      <c r="X33" s="10">
        <v>35.099999999999959</v>
      </c>
      <c r="Y33" s="11">
        <v>0.12989896746974561</v>
      </c>
      <c r="Z33" s="6">
        <v>-2</v>
      </c>
      <c r="AA33" t="s">
        <v>35</v>
      </c>
    </row>
    <row r="34" spans="1:27" x14ac:dyDescent="0.25">
      <c r="A34" t="s">
        <v>143</v>
      </c>
      <c r="B34">
        <v>180</v>
      </c>
      <c r="C34" s="9">
        <v>45755.580104166656</v>
      </c>
      <c r="D34" t="s">
        <v>86</v>
      </c>
      <c r="E34" t="s">
        <v>87</v>
      </c>
      <c r="F34" t="s">
        <v>45</v>
      </c>
      <c r="G34">
        <v>0</v>
      </c>
      <c r="H34" s="6">
        <v>2</v>
      </c>
      <c r="I34" s="10">
        <v>43.86</v>
      </c>
      <c r="J34" s="10">
        <v>133.62</v>
      </c>
      <c r="L34" s="3">
        <v>0</v>
      </c>
      <c r="M34" t="s">
        <v>39</v>
      </c>
      <c r="N34" s="10">
        <v>25.49</v>
      </c>
      <c r="O34" t="s">
        <v>97</v>
      </c>
      <c r="P34" s="5">
        <v>45756</v>
      </c>
      <c r="Q34" s="5">
        <v>45761</v>
      </c>
      <c r="R34" s="5">
        <v>45758</v>
      </c>
      <c r="S34" t="s">
        <v>33</v>
      </c>
      <c r="T34" s="6">
        <v>4</v>
      </c>
      <c r="U34" t="s">
        <v>119</v>
      </c>
      <c r="V34" s="10">
        <v>267.24</v>
      </c>
      <c r="W34" s="10">
        <v>87.72</v>
      </c>
      <c r="X34" s="10">
        <v>154.03</v>
      </c>
      <c r="Y34" s="11">
        <v>0.57637329741056731</v>
      </c>
      <c r="Z34" s="6">
        <v>-3</v>
      </c>
      <c r="AA34" t="s">
        <v>35</v>
      </c>
    </row>
    <row r="35" spans="1:27" x14ac:dyDescent="0.25">
      <c r="A35" t="s">
        <v>144</v>
      </c>
      <c r="B35">
        <v>156</v>
      </c>
      <c r="C35" s="9">
        <v>45756.180868055562</v>
      </c>
      <c r="D35" t="s">
        <v>92</v>
      </c>
      <c r="E35" t="s">
        <v>93</v>
      </c>
      <c r="F35" t="s">
        <v>52</v>
      </c>
      <c r="G35">
        <v>217</v>
      </c>
      <c r="H35" s="6">
        <v>3</v>
      </c>
      <c r="I35" s="10">
        <v>24.83</v>
      </c>
      <c r="J35" s="10">
        <v>113.56</v>
      </c>
      <c r="K35" t="s">
        <v>46</v>
      </c>
      <c r="L35" s="3">
        <v>0.1</v>
      </c>
      <c r="M35" t="s">
        <v>31</v>
      </c>
      <c r="N35" s="10">
        <v>51.62</v>
      </c>
      <c r="O35" t="s">
        <v>62</v>
      </c>
      <c r="P35" s="5">
        <v>45757</v>
      </c>
      <c r="Q35" s="5">
        <v>45762</v>
      </c>
      <c r="R35" s="5">
        <v>45760</v>
      </c>
      <c r="S35" t="s">
        <v>33</v>
      </c>
      <c r="T35" s="6">
        <v>5</v>
      </c>
      <c r="U35" t="s">
        <v>84</v>
      </c>
      <c r="V35" s="10">
        <v>306.61200000000002</v>
      </c>
      <c r="W35" s="10">
        <v>74.489999999999995</v>
      </c>
      <c r="X35" s="10">
        <v>180.50200000000001</v>
      </c>
      <c r="Y35" s="11">
        <v>0.58869842015315776</v>
      </c>
      <c r="Z35" s="6">
        <v>-2</v>
      </c>
      <c r="AA35" t="s">
        <v>35</v>
      </c>
    </row>
    <row r="36" spans="1:27" x14ac:dyDescent="0.25">
      <c r="A36" t="s">
        <v>145</v>
      </c>
      <c r="B36">
        <v>191</v>
      </c>
      <c r="C36" s="9">
        <v>45757.26667824074</v>
      </c>
      <c r="D36" t="s">
        <v>74</v>
      </c>
      <c r="E36" t="s">
        <v>75</v>
      </c>
      <c r="F36" t="s">
        <v>30</v>
      </c>
      <c r="G36">
        <v>2809</v>
      </c>
      <c r="H36" s="6">
        <v>1</v>
      </c>
      <c r="I36" s="10">
        <v>2135.87</v>
      </c>
      <c r="J36" s="10">
        <v>3958.47</v>
      </c>
      <c r="L36" s="3">
        <v>0</v>
      </c>
      <c r="M36" t="s">
        <v>76</v>
      </c>
      <c r="N36" s="10">
        <v>122.53</v>
      </c>
      <c r="O36" t="s">
        <v>99</v>
      </c>
      <c r="P36" s="5">
        <v>45758</v>
      </c>
      <c r="Q36" s="5">
        <v>45768</v>
      </c>
      <c r="S36" t="s">
        <v>54</v>
      </c>
      <c r="T36" s="6">
        <v>3</v>
      </c>
      <c r="U36" t="s">
        <v>146</v>
      </c>
      <c r="V36" s="10">
        <v>3958.47</v>
      </c>
      <c r="W36" s="10">
        <v>2135.87</v>
      </c>
      <c r="X36" s="10">
        <v>1700.07</v>
      </c>
      <c r="Y36" s="11">
        <v>0.42947654017840231</v>
      </c>
      <c r="Z36" s="6"/>
      <c r="AA36" t="s">
        <v>56</v>
      </c>
    </row>
    <row r="37" spans="1:27" x14ac:dyDescent="0.25">
      <c r="A37" t="s">
        <v>147</v>
      </c>
      <c r="B37">
        <v>187</v>
      </c>
      <c r="C37" s="9">
        <v>45757.64640046296</v>
      </c>
      <c r="D37" t="s">
        <v>148</v>
      </c>
      <c r="E37" t="s">
        <v>149</v>
      </c>
      <c r="F37" t="s">
        <v>30</v>
      </c>
      <c r="G37">
        <v>3415</v>
      </c>
      <c r="H37" s="6">
        <v>1</v>
      </c>
      <c r="I37" s="10">
        <v>390.28</v>
      </c>
      <c r="J37" s="10">
        <v>631.01</v>
      </c>
      <c r="L37" s="3">
        <v>0</v>
      </c>
      <c r="M37" t="s">
        <v>61</v>
      </c>
      <c r="N37" s="10">
        <v>109.09</v>
      </c>
      <c r="O37" t="s">
        <v>150</v>
      </c>
      <c r="P37" s="5">
        <v>45759</v>
      </c>
      <c r="Q37" s="5">
        <v>45769</v>
      </c>
      <c r="R37" s="5">
        <v>45768</v>
      </c>
      <c r="S37" t="s">
        <v>33</v>
      </c>
      <c r="T37" s="6">
        <v>5</v>
      </c>
      <c r="U37" t="s">
        <v>69</v>
      </c>
      <c r="V37" s="10">
        <v>631.01</v>
      </c>
      <c r="W37" s="10">
        <v>390.28</v>
      </c>
      <c r="X37" s="10">
        <v>131.63999999999999</v>
      </c>
      <c r="Y37" s="11">
        <v>0.20861792998526171</v>
      </c>
      <c r="Z37" s="6">
        <v>-1</v>
      </c>
      <c r="AA37" t="s">
        <v>35</v>
      </c>
    </row>
    <row r="38" spans="1:27" x14ac:dyDescent="0.25">
      <c r="A38" t="s">
        <v>151</v>
      </c>
      <c r="B38">
        <v>182</v>
      </c>
      <c r="C38" s="9">
        <v>45758.106041666673</v>
      </c>
      <c r="D38" t="s">
        <v>74</v>
      </c>
      <c r="E38" t="s">
        <v>75</v>
      </c>
      <c r="F38" t="s">
        <v>30</v>
      </c>
      <c r="G38">
        <v>2318</v>
      </c>
      <c r="H38" s="6">
        <v>1</v>
      </c>
      <c r="I38" s="10">
        <v>2617.62</v>
      </c>
      <c r="J38" s="10">
        <v>4473.32</v>
      </c>
      <c r="K38" t="s">
        <v>60</v>
      </c>
      <c r="L38" s="3">
        <v>0.2</v>
      </c>
      <c r="M38" t="s">
        <v>39</v>
      </c>
      <c r="N38" s="10">
        <v>133.28</v>
      </c>
      <c r="O38" t="s">
        <v>68</v>
      </c>
      <c r="P38" s="5">
        <v>45760</v>
      </c>
      <c r="Q38" s="5">
        <v>45767</v>
      </c>
      <c r="R38" s="5">
        <v>45765</v>
      </c>
      <c r="S38" t="s">
        <v>33</v>
      </c>
      <c r="T38" s="6">
        <v>4</v>
      </c>
      <c r="U38" t="s">
        <v>69</v>
      </c>
      <c r="V38" s="10">
        <v>3578.6559999999999</v>
      </c>
      <c r="W38" s="10">
        <v>2617.62</v>
      </c>
      <c r="X38" s="10">
        <v>827.75600000000009</v>
      </c>
      <c r="Y38" s="11">
        <v>0.23130359553977811</v>
      </c>
      <c r="Z38" s="6">
        <v>-2</v>
      </c>
      <c r="AA38" t="s">
        <v>35</v>
      </c>
    </row>
    <row r="39" spans="1:27" x14ac:dyDescent="0.25">
      <c r="A39" t="s">
        <v>152</v>
      </c>
      <c r="B39">
        <v>100</v>
      </c>
      <c r="C39" s="9">
        <v>45758.889050925929</v>
      </c>
      <c r="D39" t="s">
        <v>50</v>
      </c>
      <c r="E39" t="s">
        <v>51</v>
      </c>
      <c r="F39" t="s">
        <v>52</v>
      </c>
      <c r="G39">
        <v>722</v>
      </c>
      <c r="H39" s="6">
        <v>2</v>
      </c>
      <c r="I39" s="10">
        <v>135.33000000000001</v>
      </c>
      <c r="J39" s="10">
        <v>342.11</v>
      </c>
      <c r="L39" s="3">
        <v>0</v>
      </c>
      <c r="M39" t="s">
        <v>39</v>
      </c>
      <c r="N39" s="10">
        <v>59.42</v>
      </c>
      <c r="O39" t="s">
        <v>47</v>
      </c>
      <c r="P39" s="5">
        <v>45759</v>
      </c>
      <c r="Q39" s="5">
        <v>45765</v>
      </c>
      <c r="S39" t="s">
        <v>54</v>
      </c>
      <c r="T39" s="6">
        <v>2</v>
      </c>
      <c r="U39" t="s">
        <v>153</v>
      </c>
      <c r="V39" s="10">
        <v>684.22</v>
      </c>
      <c r="W39" s="10">
        <v>270.66000000000003</v>
      </c>
      <c r="X39" s="10">
        <v>354.14</v>
      </c>
      <c r="Y39" s="11">
        <v>0.51758206424834119</v>
      </c>
      <c r="Z39" s="6"/>
      <c r="AA39" t="s">
        <v>56</v>
      </c>
    </row>
    <row r="40" spans="1:27" x14ac:dyDescent="0.25">
      <c r="A40" t="s">
        <v>154</v>
      </c>
      <c r="B40">
        <v>76</v>
      </c>
      <c r="C40" s="9">
        <v>45759.526539351849</v>
      </c>
      <c r="D40" t="s">
        <v>155</v>
      </c>
      <c r="E40" t="s">
        <v>156</v>
      </c>
      <c r="F40" t="s">
        <v>30</v>
      </c>
      <c r="G40">
        <v>4326</v>
      </c>
      <c r="H40" s="6">
        <v>3</v>
      </c>
      <c r="I40" s="10">
        <v>659.75</v>
      </c>
      <c r="J40" s="10">
        <v>1252.28</v>
      </c>
      <c r="L40" s="3">
        <v>0</v>
      </c>
      <c r="M40" t="s">
        <v>39</v>
      </c>
      <c r="N40" s="10">
        <v>73.59</v>
      </c>
      <c r="O40" t="s">
        <v>157</v>
      </c>
      <c r="P40" s="5">
        <v>45760</v>
      </c>
      <c r="Q40" s="5">
        <v>45769</v>
      </c>
      <c r="R40" s="5">
        <v>45768</v>
      </c>
      <c r="S40" t="s">
        <v>33</v>
      </c>
      <c r="T40" s="6">
        <v>4</v>
      </c>
      <c r="U40" t="s">
        <v>79</v>
      </c>
      <c r="V40" s="10">
        <v>3756.84</v>
      </c>
      <c r="W40" s="10">
        <v>1979.25</v>
      </c>
      <c r="X40" s="10">
        <v>1704</v>
      </c>
      <c r="Y40" s="11">
        <v>0.45357268342543211</v>
      </c>
      <c r="Z40" s="6">
        <v>-1</v>
      </c>
      <c r="AA40" t="s">
        <v>35</v>
      </c>
    </row>
    <row r="41" spans="1:27" x14ac:dyDescent="0.25">
      <c r="A41" t="s">
        <v>158</v>
      </c>
      <c r="B41">
        <v>30</v>
      </c>
      <c r="C41" s="9">
        <v>45759.540092592593</v>
      </c>
      <c r="D41" t="s">
        <v>155</v>
      </c>
      <c r="E41" t="s">
        <v>156</v>
      </c>
      <c r="F41" t="s">
        <v>30</v>
      </c>
      <c r="G41">
        <v>4085</v>
      </c>
      <c r="H41" s="6">
        <v>3</v>
      </c>
      <c r="I41" s="10">
        <v>780.74</v>
      </c>
      <c r="J41" s="10">
        <v>1760.64</v>
      </c>
      <c r="K41" t="s">
        <v>46</v>
      </c>
      <c r="L41" s="3">
        <v>0.1</v>
      </c>
      <c r="M41" t="s">
        <v>31</v>
      </c>
      <c r="N41" s="10">
        <v>140.88</v>
      </c>
      <c r="O41" t="s">
        <v>47</v>
      </c>
      <c r="P41" s="5">
        <v>45760</v>
      </c>
      <c r="Q41" s="5">
        <v>45769</v>
      </c>
      <c r="R41" s="5">
        <v>45768</v>
      </c>
      <c r="S41" t="s">
        <v>33</v>
      </c>
      <c r="T41" s="6">
        <v>5</v>
      </c>
      <c r="U41" t="s">
        <v>84</v>
      </c>
      <c r="V41" s="10">
        <v>4753.7280000000001</v>
      </c>
      <c r="W41" s="10">
        <v>2342.2199999999998</v>
      </c>
      <c r="X41" s="10">
        <v>2270.6280000000002</v>
      </c>
      <c r="Y41" s="11">
        <v>0.47765206591542458</v>
      </c>
      <c r="Z41" s="6">
        <v>-1</v>
      </c>
      <c r="AA41" t="s">
        <v>35</v>
      </c>
    </row>
    <row r="42" spans="1:27" x14ac:dyDescent="0.25">
      <c r="A42" t="s">
        <v>159</v>
      </c>
      <c r="B42">
        <v>66</v>
      </c>
      <c r="C42" s="9">
        <v>45760.143171296288</v>
      </c>
      <c r="D42" t="s">
        <v>123</v>
      </c>
      <c r="E42" t="s">
        <v>124</v>
      </c>
      <c r="F42" t="s">
        <v>45</v>
      </c>
      <c r="G42">
        <v>0</v>
      </c>
      <c r="H42" s="6">
        <v>2</v>
      </c>
      <c r="I42" s="10">
        <v>142.01</v>
      </c>
      <c r="J42" s="10">
        <v>213.07</v>
      </c>
      <c r="L42" s="3">
        <v>0</v>
      </c>
      <c r="M42" t="s">
        <v>76</v>
      </c>
      <c r="N42" s="10">
        <v>29.53</v>
      </c>
      <c r="O42" t="s">
        <v>62</v>
      </c>
      <c r="P42" s="5">
        <v>45762</v>
      </c>
      <c r="Q42" s="5">
        <v>45771</v>
      </c>
      <c r="R42" s="5">
        <v>45770</v>
      </c>
      <c r="S42" t="s">
        <v>33</v>
      </c>
      <c r="T42" s="6">
        <v>4</v>
      </c>
      <c r="U42" t="s">
        <v>69</v>
      </c>
      <c r="V42" s="10">
        <v>426.14</v>
      </c>
      <c r="W42" s="10">
        <v>284.02</v>
      </c>
      <c r="X42" s="10">
        <v>112.59</v>
      </c>
      <c r="Y42" s="11">
        <v>0.26420894541699907</v>
      </c>
      <c r="Z42" s="6">
        <v>-1</v>
      </c>
      <c r="AA42" t="s">
        <v>35</v>
      </c>
    </row>
    <row r="43" spans="1:27" x14ac:dyDescent="0.25">
      <c r="A43" t="s">
        <v>160</v>
      </c>
      <c r="B43">
        <v>78</v>
      </c>
      <c r="C43" s="9">
        <v>45760.504907407398</v>
      </c>
      <c r="D43" t="s">
        <v>43</v>
      </c>
      <c r="E43" t="s">
        <v>44</v>
      </c>
      <c r="F43" t="s">
        <v>45</v>
      </c>
      <c r="G43">
        <v>0</v>
      </c>
      <c r="H43" s="6">
        <v>3</v>
      </c>
      <c r="I43" s="10">
        <v>46.51</v>
      </c>
      <c r="J43" s="10">
        <v>55.13</v>
      </c>
      <c r="L43" s="3">
        <v>0</v>
      </c>
      <c r="M43" t="s">
        <v>31</v>
      </c>
      <c r="N43" s="10">
        <v>17.52</v>
      </c>
      <c r="O43" t="s">
        <v>157</v>
      </c>
      <c r="P43" s="5">
        <v>45761</v>
      </c>
      <c r="Q43" s="5">
        <v>45771</v>
      </c>
      <c r="S43" t="s">
        <v>161</v>
      </c>
      <c r="T43" s="6">
        <v>1</v>
      </c>
      <c r="U43" t="s">
        <v>162</v>
      </c>
      <c r="V43" s="10">
        <v>165.39</v>
      </c>
      <c r="W43" s="10">
        <v>139.53</v>
      </c>
      <c r="X43" s="10">
        <v>8.3400000000000141</v>
      </c>
      <c r="Y43" s="11">
        <v>5.0426265191365942E-2</v>
      </c>
      <c r="Z43" s="6"/>
      <c r="AA43" t="s">
        <v>56</v>
      </c>
    </row>
    <row r="44" spans="1:27" x14ac:dyDescent="0.25">
      <c r="A44" t="s">
        <v>163</v>
      </c>
      <c r="B44">
        <v>120</v>
      </c>
      <c r="C44" s="9">
        <v>45760.879074074073</v>
      </c>
      <c r="D44" t="s">
        <v>164</v>
      </c>
      <c r="E44" t="s">
        <v>165</v>
      </c>
      <c r="F44" t="s">
        <v>116</v>
      </c>
      <c r="G44">
        <v>0</v>
      </c>
      <c r="H44" s="6">
        <v>3</v>
      </c>
      <c r="I44" s="10">
        <v>253.46</v>
      </c>
      <c r="J44" s="10">
        <v>452.71</v>
      </c>
      <c r="K44" t="s">
        <v>46</v>
      </c>
      <c r="L44" s="3">
        <v>0.1</v>
      </c>
      <c r="M44" t="s">
        <v>39</v>
      </c>
      <c r="N44" s="10">
        <v>22.51</v>
      </c>
      <c r="O44" t="s">
        <v>150</v>
      </c>
      <c r="P44" s="5">
        <v>45762</v>
      </c>
      <c r="Q44" s="5">
        <v>45767</v>
      </c>
      <c r="R44" s="5">
        <v>45766</v>
      </c>
      <c r="S44" t="s">
        <v>33</v>
      </c>
      <c r="T44" s="6">
        <v>4</v>
      </c>
      <c r="U44" t="s">
        <v>166</v>
      </c>
      <c r="V44" s="10">
        <v>1222.317</v>
      </c>
      <c r="W44" s="10">
        <v>760.38</v>
      </c>
      <c r="X44" s="10">
        <v>439.42700000000002</v>
      </c>
      <c r="Y44" s="11">
        <v>0.35950330397106478</v>
      </c>
      <c r="Z44" s="6">
        <v>-1</v>
      </c>
      <c r="AA44" t="s">
        <v>35</v>
      </c>
    </row>
    <row r="45" spans="1:27" x14ac:dyDescent="0.25">
      <c r="A45" t="s">
        <v>167</v>
      </c>
      <c r="B45">
        <v>120</v>
      </c>
      <c r="C45" s="9">
        <v>45760.948692129627</v>
      </c>
      <c r="D45" t="s">
        <v>105</v>
      </c>
      <c r="E45" t="s">
        <v>106</v>
      </c>
      <c r="F45" t="s">
        <v>30</v>
      </c>
      <c r="G45">
        <v>2096</v>
      </c>
      <c r="H45" s="6">
        <v>3</v>
      </c>
      <c r="I45" s="10">
        <v>273.02999999999997</v>
      </c>
      <c r="J45" s="10">
        <v>497.09</v>
      </c>
      <c r="L45" s="3">
        <v>0</v>
      </c>
      <c r="M45" t="s">
        <v>31</v>
      </c>
      <c r="N45" s="10">
        <v>91.01</v>
      </c>
      <c r="O45" t="s">
        <v>83</v>
      </c>
      <c r="P45" s="5">
        <v>45761</v>
      </c>
      <c r="Q45" s="5">
        <v>45770</v>
      </c>
      <c r="R45" s="5">
        <v>45773</v>
      </c>
      <c r="S45" t="s">
        <v>33</v>
      </c>
      <c r="T45" s="6">
        <v>1</v>
      </c>
      <c r="U45" t="s">
        <v>168</v>
      </c>
      <c r="V45" s="10">
        <v>1491.27</v>
      </c>
      <c r="W45" s="10">
        <v>819.08999999999992</v>
      </c>
      <c r="X45" s="10">
        <v>581.17000000000007</v>
      </c>
      <c r="Y45" s="11">
        <v>0.38971480684248999</v>
      </c>
      <c r="Z45" s="6">
        <v>3</v>
      </c>
      <c r="AA45" t="s">
        <v>103</v>
      </c>
    </row>
    <row r="46" spans="1:27" x14ac:dyDescent="0.25">
      <c r="A46" t="s">
        <v>169</v>
      </c>
      <c r="B46">
        <v>51</v>
      </c>
      <c r="C46" s="9">
        <v>45761.012418981481</v>
      </c>
      <c r="D46" t="s">
        <v>66</v>
      </c>
      <c r="E46" t="s">
        <v>67</v>
      </c>
      <c r="F46" t="s">
        <v>52</v>
      </c>
      <c r="G46">
        <v>230</v>
      </c>
      <c r="H46" s="6">
        <v>3</v>
      </c>
      <c r="I46" s="10">
        <v>54.48</v>
      </c>
      <c r="J46" s="10">
        <v>108.78</v>
      </c>
      <c r="L46" s="3">
        <v>0</v>
      </c>
      <c r="M46" t="s">
        <v>76</v>
      </c>
      <c r="N46" s="10">
        <v>42.36</v>
      </c>
      <c r="O46" t="s">
        <v>97</v>
      </c>
      <c r="P46" s="5">
        <v>45762</v>
      </c>
      <c r="Q46" s="5">
        <v>45767</v>
      </c>
      <c r="R46" s="5">
        <v>45768</v>
      </c>
      <c r="S46" t="s">
        <v>33</v>
      </c>
      <c r="T46" s="6">
        <v>1</v>
      </c>
      <c r="U46" t="s">
        <v>170</v>
      </c>
      <c r="V46" s="10">
        <v>326.33999999999997</v>
      </c>
      <c r="W46" s="10">
        <v>163.44</v>
      </c>
      <c r="X46" s="10">
        <v>120.54</v>
      </c>
      <c r="Y46" s="11">
        <v>0.36936936936936943</v>
      </c>
      <c r="Z46" s="6">
        <v>1</v>
      </c>
      <c r="AA46" t="s">
        <v>103</v>
      </c>
    </row>
    <row r="47" spans="1:27" x14ac:dyDescent="0.25">
      <c r="A47" t="s">
        <v>171</v>
      </c>
      <c r="B47">
        <v>105</v>
      </c>
      <c r="C47" s="9">
        <v>45761.437268518523</v>
      </c>
      <c r="D47" t="s">
        <v>89</v>
      </c>
      <c r="E47" t="s">
        <v>90</v>
      </c>
      <c r="F47" t="s">
        <v>52</v>
      </c>
      <c r="G47">
        <v>213</v>
      </c>
      <c r="H47" s="6">
        <v>2</v>
      </c>
      <c r="I47" s="10">
        <v>96.09</v>
      </c>
      <c r="J47" s="10">
        <v>158.41999999999999</v>
      </c>
      <c r="L47" s="3">
        <v>0</v>
      </c>
      <c r="M47" t="s">
        <v>61</v>
      </c>
      <c r="N47" s="10">
        <v>32.68</v>
      </c>
      <c r="O47" t="s">
        <v>99</v>
      </c>
      <c r="P47" s="5">
        <v>45763</v>
      </c>
      <c r="Q47" s="5">
        <v>45771</v>
      </c>
      <c r="R47" s="5">
        <v>45769</v>
      </c>
      <c r="S47" t="s">
        <v>33</v>
      </c>
      <c r="T47" s="6">
        <v>4</v>
      </c>
      <c r="U47" t="s">
        <v>172</v>
      </c>
      <c r="V47" s="10">
        <v>316.83999999999997</v>
      </c>
      <c r="W47" s="10">
        <v>192.18</v>
      </c>
      <c r="X47" s="10">
        <v>91.979999999999961</v>
      </c>
      <c r="Y47" s="11">
        <v>0.29030425451331893</v>
      </c>
      <c r="Z47" s="6">
        <v>-2</v>
      </c>
      <c r="AA47" t="s">
        <v>35</v>
      </c>
    </row>
    <row r="48" spans="1:27" x14ac:dyDescent="0.25">
      <c r="A48" t="s">
        <v>173</v>
      </c>
      <c r="B48">
        <v>151</v>
      </c>
      <c r="C48" s="9">
        <v>45762.598240740743</v>
      </c>
      <c r="D48" t="s">
        <v>148</v>
      </c>
      <c r="E48" t="s">
        <v>149</v>
      </c>
      <c r="F48" t="s">
        <v>30</v>
      </c>
      <c r="G48">
        <v>3481</v>
      </c>
      <c r="H48" s="6">
        <v>2</v>
      </c>
      <c r="I48" s="10">
        <v>558.11</v>
      </c>
      <c r="J48" s="10">
        <v>703.94</v>
      </c>
      <c r="K48" t="s">
        <v>60</v>
      </c>
      <c r="L48" s="3">
        <v>0.2</v>
      </c>
      <c r="M48" t="s">
        <v>76</v>
      </c>
      <c r="N48" s="10">
        <v>58.9</v>
      </c>
      <c r="O48" t="s">
        <v>99</v>
      </c>
      <c r="P48" s="5">
        <v>45763</v>
      </c>
      <c r="Q48" s="5">
        <v>45773</v>
      </c>
      <c r="S48" t="s">
        <v>54</v>
      </c>
      <c r="T48" s="6">
        <v>3</v>
      </c>
      <c r="U48" t="s">
        <v>121</v>
      </c>
      <c r="V48" s="10">
        <v>1126.3040000000001</v>
      </c>
      <c r="W48" s="10">
        <v>1116.22</v>
      </c>
      <c r="X48" s="10">
        <v>-48.815999999999939</v>
      </c>
      <c r="Y48" s="11">
        <v>-4.3341762081995569E-2</v>
      </c>
      <c r="Z48" s="6"/>
      <c r="AA48" t="s">
        <v>56</v>
      </c>
    </row>
    <row r="49" spans="1:27" x14ac:dyDescent="0.25">
      <c r="A49" t="s">
        <v>174</v>
      </c>
      <c r="B49">
        <v>143</v>
      </c>
      <c r="C49" s="9">
        <v>45762.621712962973</v>
      </c>
      <c r="D49" t="s">
        <v>43</v>
      </c>
      <c r="E49" t="s">
        <v>44</v>
      </c>
      <c r="F49" t="s">
        <v>45</v>
      </c>
      <c r="G49">
        <v>0</v>
      </c>
      <c r="H49" s="6">
        <v>2</v>
      </c>
      <c r="I49" s="10">
        <v>23.93</v>
      </c>
      <c r="J49" s="10">
        <v>107.71</v>
      </c>
      <c r="K49" t="s">
        <v>60</v>
      </c>
      <c r="L49" s="3">
        <v>0.2</v>
      </c>
      <c r="M49" t="s">
        <v>31</v>
      </c>
      <c r="N49" s="10">
        <v>24.61</v>
      </c>
      <c r="O49" t="s">
        <v>150</v>
      </c>
      <c r="P49" s="5">
        <v>45763</v>
      </c>
      <c r="Q49" s="5">
        <v>45768</v>
      </c>
      <c r="R49" s="5">
        <v>45766</v>
      </c>
      <c r="S49" t="s">
        <v>33</v>
      </c>
      <c r="T49" s="6">
        <v>4</v>
      </c>
      <c r="U49" t="s">
        <v>34</v>
      </c>
      <c r="V49" s="10">
        <v>172.33600000000001</v>
      </c>
      <c r="W49" s="10">
        <v>47.86</v>
      </c>
      <c r="X49" s="10">
        <v>99.866000000000014</v>
      </c>
      <c r="Y49" s="11">
        <v>0.57948426329960079</v>
      </c>
      <c r="Z49" s="6">
        <v>-2</v>
      </c>
      <c r="AA49" t="s">
        <v>35</v>
      </c>
    </row>
    <row r="50" spans="1:27" x14ac:dyDescent="0.25">
      <c r="A50" t="s">
        <v>175</v>
      </c>
      <c r="B50">
        <v>6</v>
      </c>
      <c r="C50" s="9">
        <v>45762.673726851863</v>
      </c>
      <c r="D50" t="s">
        <v>137</v>
      </c>
      <c r="E50" t="s">
        <v>138</v>
      </c>
      <c r="F50" t="s">
        <v>52</v>
      </c>
      <c r="G50">
        <v>389</v>
      </c>
      <c r="H50" s="6">
        <v>2</v>
      </c>
      <c r="I50" s="10">
        <v>77.48</v>
      </c>
      <c r="J50" s="10">
        <v>120.16</v>
      </c>
      <c r="K50" t="s">
        <v>46</v>
      </c>
      <c r="L50" s="3">
        <v>0.1</v>
      </c>
      <c r="M50" t="s">
        <v>39</v>
      </c>
      <c r="N50" s="10">
        <v>26.55</v>
      </c>
      <c r="O50" t="s">
        <v>97</v>
      </c>
      <c r="P50" s="5">
        <v>45764</v>
      </c>
      <c r="Q50" s="5">
        <v>45769</v>
      </c>
      <c r="S50" t="s">
        <v>63</v>
      </c>
      <c r="T50" s="6">
        <v>1</v>
      </c>
      <c r="U50" t="s">
        <v>64</v>
      </c>
      <c r="V50" s="10">
        <v>216.28800000000001</v>
      </c>
      <c r="W50" s="10">
        <v>154.96</v>
      </c>
      <c r="X50" s="10">
        <v>34.778000000000013</v>
      </c>
      <c r="Y50" s="11">
        <v>0.16079486610445329</v>
      </c>
      <c r="Z50" s="6"/>
      <c r="AA50" t="s">
        <v>56</v>
      </c>
    </row>
    <row r="51" spans="1:27" x14ac:dyDescent="0.25">
      <c r="A51" t="s">
        <v>176</v>
      </c>
      <c r="B51">
        <v>124</v>
      </c>
      <c r="C51" s="9">
        <v>45762.908067129632</v>
      </c>
      <c r="D51" t="s">
        <v>177</v>
      </c>
      <c r="E51" t="s">
        <v>178</v>
      </c>
      <c r="F51" t="s">
        <v>116</v>
      </c>
      <c r="G51">
        <v>0</v>
      </c>
      <c r="H51" s="6">
        <v>1</v>
      </c>
      <c r="I51" s="10">
        <v>274.94</v>
      </c>
      <c r="J51" s="10">
        <v>354.4</v>
      </c>
      <c r="K51" t="s">
        <v>46</v>
      </c>
      <c r="L51" s="3">
        <v>0.1</v>
      </c>
      <c r="M51" t="s">
        <v>61</v>
      </c>
      <c r="N51" s="10">
        <v>25.9</v>
      </c>
      <c r="O51" t="s">
        <v>62</v>
      </c>
      <c r="P51" s="5">
        <v>45763</v>
      </c>
      <c r="Q51" s="5">
        <v>45771</v>
      </c>
      <c r="S51" t="s">
        <v>63</v>
      </c>
      <c r="T51" s="6">
        <v>2</v>
      </c>
      <c r="U51" t="s">
        <v>153</v>
      </c>
      <c r="V51" s="10">
        <v>318.95999999999998</v>
      </c>
      <c r="W51" s="10">
        <v>274.94</v>
      </c>
      <c r="X51" s="10">
        <v>18.11999999999998</v>
      </c>
      <c r="Y51" s="11">
        <v>5.6809631301730577E-2</v>
      </c>
      <c r="Z51" s="6"/>
      <c r="AA51" t="s">
        <v>56</v>
      </c>
    </row>
    <row r="52" spans="1:27" x14ac:dyDescent="0.25">
      <c r="A52" t="s">
        <v>179</v>
      </c>
      <c r="B52">
        <v>13</v>
      </c>
      <c r="C52" s="9">
        <v>45763.29111111111</v>
      </c>
      <c r="D52" t="s">
        <v>137</v>
      </c>
      <c r="E52" t="s">
        <v>138</v>
      </c>
      <c r="F52" t="s">
        <v>52</v>
      </c>
      <c r="G52">
        <v>463</v>
      </c>
      <c r="H52" s="6">
        <v>2</v>
      </c>
      <c r="I52" s="10">
        <v>132.15</v>
      </c>
      <c r="J52" s="10">
        <v>277.7</v>
      </c>
      <c r="K52" t="s">
        <v>60</v>
      </c>
      <c r="L52" s="3">
        <v>0.2</v>
      </c>
      <c r="M52" t="s">
        <v>61</v>
      </c>
      <c r="N52" s="10">
        <v>31.85</v>
      </c>
      <c r="O52" t="s">
        <v>150</v>
      </c>
      <c r="P52" s="5">
        <v>45764</v>
      </c>
      <c r="Q52" s="5">
        <v>45770</v>
      </c>
      <c r="S52" t="s">
        <v>161</v>
      </c>
      <c r="T52" s="6">
        <v>2</v>
      </c>
      <c r="U52" t="s">
        <v>180</v>
      </c>
      <c r="V52" s="10">
        <v>444.32</v>
      </c>
      <c r="W52" s="10">
        <v>264.3</v>
      </c>
      <c r="X52" s="10">
        <v>148.16999999999999</v>
      </c>
      <c r="Y52" s="11">
        <v>0.33347587324450839</v>
      </c>
      <c r="Z52" s="6"/>
      <c r="AA52" t="s">
        <v>56</v>
      </c>
    </row>
    <row r="53" spans="1:27" x14ac:dyDescent="0.25">
      <c r="A53" t="s">
        <v>181</v>
      </c>
      <c r="B53">
        <v>188</v>
      </c>
      <c r="C53" s="9">
        <v>45764.155138888891</v>
      </c>
      <c r="D53" t="s">
        <v>95</v>
      </c>
      <c r="E53" t="s">
        <v>96</v>
      </c>
      <c r="F53" t="s">
        <v>52</v>
      </c>
      <c r="G53">
        <v>346</v>
      </c>
      <c r="H53" s="6">
        <v>3</v>
      </c>
      <c r="I53" s="10">
        <v>44.03</v>
      </c>
      <c r="J53" s="10">
        <v>95.23</v>
      </c>
      <c r="L53" s="3">
        <v>0</v>
      </c>
      <c r="M53" t="s">
        <v>39</v>
      </c>
      <c r="N53" s="10">
        <v>58.78</v>
      </c>
      <c r="O53" t="s">
        <v>97</v>
      </c>
      <c r="P53" s="5">
        <v>45766</v>
      </c>
      <c r="Q53" s="5">
        <v>45772</v>
      </c>
      <c r="R53" s="5">
        <v>45776</v>
      </c>
      <c r="S53" t="s">
        <v>33</v>
      </c>
      <c r="T53" s="6">
        <v>1</v>
      </c>
      <c r="U53" t="s">
        <v>162</v>
      </c>
      <c r="V53" s="10">
        <v>285.69</v>
      </c>
      <c r="W53" s="10">
        <v>132.09</v>
      </c>
      <c r="X53" s="10">
        <v>94.82</v>
      </c>
      <c r="Y53" s="11">
        <v>0.33189821134796449</v>
      </c>
      <c r="Z53" s="6">
        <v>4</v>
      </c>
      <c r="AA53" t="s">
        <v>103</v>
      </c>
    </row>
    <row r="54" spans="1:27" x14ac:dyDescent="0.25">
      <c r="A54" t="s">
        <v>182</v>
      </c>
      <c r="B54">
        <v>119</v>
      </c>
      <c r="C54" s="9">
        <v>45764.95579861111</v>
      </c>
      <c r="D54" t="s">
        <v>50</v>
      </c>
      <c r="E54" t="s">
        <v>51</v>
      </c>
      <c r="F54" t="s">
        <v>52</v>
      </c>
      <c r="G54">
        <v>767</v>
      </c>
      <c r="H54" s="6">
        <v>3</v>
      </c>
      <c r="I54" s="10">
        <v>141.34</v>
      </c>
      <c r="J54" s="10">
        <v>290.08</v>
      </c>
      <c r="L54" s="3">
        <v>0</v>
      </c>
      <c r="M54" t="s">
        <v>31</v>
      </c>
      <c r="N54" s="10">
        <v>22.6</v>
      </c>
      <c r="O54" t="s">
        <v>47</v>
      </c>
      <c r="P54" s="5">
        <v>45766</v>
      </c>
      <c r="Q54" s="5">
        <v>45776</v>
      </c>
      <c r="R54" s="5">
        <v>45775</v>
      </c>
      <c r="S54" t="s">
        <v>33</v>
      </c>
      <c r="T54" s="6">
        <v>5</v>
      </c>
      <c r="U54" t="s">
        <v>41</v>
      </c>
      <c r="V54" s="10">
        <v>870.24</v>
      </c>
      <c r="W54" s="10">
        <v>424.02</v>
      </c>
      <c r="X54" s="10">
        <v>423.62</v>
      </c>
      <c r="Y54" s="11">
        <v>0.48678525464239752</v>
      </c>
      <c r="Z54" s="6">
        <v>-1</v>
      </c>
      <c r="AA54" t="s">
        <v>35</v>
      </c>
    </row>
    <row r="55" spans="1:27" x14ac:dyDescent="0.25">
      <c r="A55" t="s">
        <v>183</v>
      </c>
      <c r="B55">
        <v>93</v>
      </c>
      <c r="C55" s="9">
        <v>45765.038657407407</v>
      </c>
      <c r="D55" t="s">
        <v>148</v>
      </c>
      <c r="E55" t="s">
        <v>149</v>
      </c>
      <c r="F55" t="s">
        <v>30</v>
      </c>
      <c r="G55">
        <v>2719</v>
      </c>
      <c r="H55" s="6">
        <v>1</v>
      </c>
      <c r="I55" s="10">
        <v>307.92</v>
      </c>
      <c r="J55" s="10">
        <v>816.06</v>
      </c>
      <c r="K55" t="s">
        <v>60</v>
      </c>
      <c r="L55" s="3">
        <v>0.2</v>
      </c>
      <c r="M55" t="s">
        <v>61</v>
      </c>
      <c r="N55" s="10">
        <v>128.37</v>
      </c>
      <c r="O55" t="s">
        <v>62</v>
      </c>
      <c r="P55" s="5">
        <v>45766</v>
      </c>
      <c r="Q55" s="5">
        <v>45774</v>
      </c>
      <c r="S55" t="s">
        <v>161</v>
      </c>
      <c r="T55" s="6">
        <v>1</v>
      </c>
      <c r="U55" t="s">
        <v>102</v>
      </c>
      <c r="V55" s="10">
        <v>652.84799999999996</v>
      </c>
      <c r="W55" s="10">
        <v>307.92</v>
      </c>
      <c r="X55" s="10">
        <v>216.55799999999991</v>
      </c>
      <c r="Y55" s="11">
        <v>0.33171274171016829</v>
      </c>
      <c r="Z55" s="6"/>
      <c r="AA55" t="s">
        <v>56</v>
      </c>
    </row>
    <row r="56" spans="1:27" x14ac:dyDescent="0.25">
      <c r="A56" t="s">
        <v>184</v>
      </c>
      <c r="B56">
        <v>150</v>
      </c>
      <c r="C56" s="9">
        <v>45765.164872685193</v>
      </c>
      <c r="D56" t="s">
        <v>66</v>
      </c>
      <c r="E56" t="s">
        <v>67</v>
      </c>
      <c r="F56" t="s">
        <v>52</v>
      </c>
      <c r="G56">
        <v>292</v>
      </c>
      <c r="H56" s="6">
        <v>1</v>
      </c>
      <c r="I56" s="10">
        <v>51.88</v>
      </c>
      <c r="J56" s="10">
        <v>113.27</v>
      </c>
      <c r="L56" s="3">
        <v>0</v>
      </c>
      <c r="M56" t="s">
        <v>31</v>
      </c>
      <c r="N56" s="10">
        <v>38.6</v>
      </c>
      <c r="O56" t="s">
        <v>99</v>
      </c>
      <c r="P56" s="5">
        <v>45766</v>
      </c>
      <c r="Q56" s="5">
        <v>45774</v>
      </c>
      <c r="S56" t="s">
        <v>63</v>
      </c>
      <c r="T56" s="6">
        <v>2</v>
      </c>
      <c r="U56" t="s">
        <v>185</v>
      </c>
      <c r="V56" s="10">
        <v>113.27</v>
      </c>
      <c r="W56" s="10">
        <v>51.88</v>
      </c>
      <c r="X56" s="10">
        <v>22.789999999999988</v>
      </c>
      <c r="Y56" s="11">
        <v>0.20120067096318531</v>
      </c>
      <c r="Z56" s="6"/>
      <c r="AA56" t="s">
        <v>56</v>
      </c>
    </row>
    <row r="57" spans="1:27" x14ac:dyDescent="0.25">
      <c r="A57" t="s">
        <v>186</v>
      </c>
      <c r="B57">
        <v>92</v>
      </c>
      <c r="C57" s="9">
        <v>45765.195196759261</v>
      </c>
      <c r="D57" t="s">
        <v>66</v>
      </c>
      <c r="E57" t="s">
        <v>67</v>
      </c>
      <c r="F57" t="s">
        <v>52</v>
      </c>
      <c r="G57">
        <v>209</v>
      </c>
      <c r="H57" s="6">
        <v>3</v>
      </c>
      <c r="I57" s="10">
        <v>41.12</v>
      </c>
      <c r="J57" s="10">
        <v>65.94</v>
      </c>
      <c r="L57" s="3">
        <v>0</v>
      </c>
      <c r="M57" t="s">
        <v>76</v>
      </c>
      <c r="N57" s="10">
        <v>22.98</v>
      </c>
      <c r="O57" t="s">
        <v>97</v>
      </c>
      <c r="P57" s="5">
        <v>45766</v>
      </c>
      <c r="Q57" s="5">
        <v>45776</v>
      </c>
      <c r="S57" t="s">
        <v>54</v>
      </c>
      <c r="T57" s="6">
        <v>4</v>
      </c>
      <c r="U57" t="s">
        <v>79</v>
      </c>
      <c r="V57" s="10">
        <v>197.82</v>
      </c>
      <c r="W57" s="10">
        <v>123.36</v>
      </c>
      <c r="X57" s="10">
        <v>51.48</v>
      </c>
      <c r="Y57" s="11">
        <v>0.26023657870791628</v>
      </c>
      <c r="Z57" s="6"/>
      <c r="AA57" t="s">
        <v>56</v>
      </c>
    </row>
    <row r="58" spans="1:27" x14ac:dyDescent="0.25">
      <c r="A58" t="s">
        <v>187</v>
      </c>
      <c r="B58">
        <v>129</v>
      </c>
      <c r="C58" s="9">
        <v>45766.45140046296</v>
      </c>
      <c r="D58" t="s">
        <v>50</v>
      </c>
      <c r="E58" t="s">
        <v>51</v>
      </c>
      <c r="F58" t="s">
        <v>52</v>
      </c>
      <c r="G58">
        <v>661</v>
      </c>
      <c r="H58" s="6">
        <v>2</v>
      </c>
      <c r="I58" s="10">
        <v>169.16</v>
      </c>
      <c r="J58" s="10">
        <v>271.37</v>
      </c>
      <c r="L58" s="3">
        <v>0</v>
      </c>
      <c r="M58" t="s">
        <v>39</v>
      </c>
      <c r="N58" s="10">
        <v>29.31</v>
      </c>
      <c r="O58" t="s">
        <v>40</v>
      </c>
      <c r="P58" s="5">
        <v>45767</v>
      </c>
      <c r="Q58" s="5">
        <v>45776</v>
      </c>
      <c r="R58" s="5">
        <v>45769</v>
      </c>
      <c r="S58" t="s">
        <v>33</v>
      </c>
      <c r="T58" s="6">
        <v>4</v>
      </c>
      <c r="U58" t="s">
        <v>77</v>
      </c>
      <c r="V58" s="10">
        <v>542.74</v>
      </c>
      <c r="W58" s="10">
        <v>338.32</v>
      </c>
      <c r="X58" s="10">
        <v>175.11</v>
      </c>
      <c r="Y58" s="11">
        <v>0.32264067509304639</v>
      </c>
      <c r="Z58" s="6">
        <v>-7</v>
      </c>
      <c r="AA58" t="s">
        <v>35</v>
      </c>
    </row>
    <row r="59" spans="1:27" x14ac:dyDescent="0.25">
      <c r="A59" t="s">
        <v>188</v>
      </c>
      <c r="B59">
        <v>40</v>
      </c>
      <c r="C59" s="9">
        <v>45766.719768518517</v>
      </c>
      <c r="D59" t="s">
        <v>137</v>
      </c>
      <c r="E59" t="s">
        <v>138</v>
      </c>
      <c r="F59" t="s">
        <v>52</v>
      </c>
      <c r="G59">
        <v>367</v>
      </c>
      <c r="H59" s="6">
        <v>3</v>
      </c>
      <c r="I59" s="10">
        <v>105.16</v>
      </c>
      <c r="J59" s="10">
        <v>126.41</v>
      </c>
      <c r="L59" s="3">
        <v>0</v>
      </c>
      <c r="M59" t="s">
        <v>76</v>
      </c>
      <c r="N59" s="10">
        <v>26.08</v>
      </c>
      <c r="O59" t="s">
        <v>62</v>
      </c>
      <c r="P59" s="5">
        <v>45767</v>
      </c>
      <c r="Q59" s="5">
        <v>45775</v>
      </c>
      <c r="R59" s="5">
        <v>45769</v>
      </c>
      <c r="S59" t="s">
        <v>33</v>
      </c>
      <c r="T59" s="6">
        <v>4</v>
      </c>
      <c r="U59" t="s">
        <v>119</v>
      </c>
      <c r="V59" s="10">
        <v>379.23</v>
      </c>
      <c r="W59" s="10">
        <v>315.48</v>
      </c>
      <c r="X59" s="10">
        <v>37.67</v>
      </c>
      <c r="Y59" s="11">
        <v>9.9332858687340139E-2</v>
      </c>
      <c r="Z59" s="6">
        <v>-6</v>
      </c>
      <c r="AA59" t="s">
        <v>35</v>
      </c>
    </row>
    <row r="60" spans="1:27" x14ac:dyDescent="0.25">
      <c r="A60" t="s">
        <v>189</v>
      </c>
      <c r="B60">
        <v>114</v>
      </c>
      <c r="C60" s="9">
        <v>45768.271226851852</v>
      </c>
      <c r="D60" t="s">
        <v>50</v>
      </c>
      <c r="E60" t="s">
        <v>51</v>
      </c>
      <c r="F60" t="s">
        <v>52</v>
      </c>
      <c r="G60">
        <v>636</v>
      </c>
      <c r="H60" s="6">
        <v>3</v>
      </c>
      <c r="I60" s="10">
        <v>110.61</v>
      </c>
      <c r="J60" s="10">
        <v>341.15</v>
      </c>
      <c r="L60" s="3">
        <v>0</v>
      </c>
      <c r="M60" t="s">
        <v>31</v>
      </c>
      <c r="N60" s="10">
        <v>57.88</v>
      </c>
      <c r="O60" t="s">
        <v>62</v>
      </c>
      <c r="P60" s="5">
        <v>45769</v>
      </c>
      <c r="Q60" s="5">
        <v>45778</v>
      </c>
      <c r="R60" s="5">
        <v>45776</v>
      </c>
      <c r="S60" t="s">
        <v>33</v>
      </c>
      <c r="T60" s="6">
        <v>5</v>
      </c>
      <c r="U60" t="s">
        <v>34</v>
      </c>
      <c r="V60" s="10">
        <v>1023.45</v>
      </c>
      <c r="W60" s="10">
        <v>331.83</v>
      </c>
      <c r="X60" s="10">
        <v>633.7399999999999</v>
      </c>
      <c r="Y60" s="11">
        <v>0.61921930724510232</v>
      </c>
      <c r="Z60" s="6">
        <v>-2</v>
      </c>
      <c r="AA60" t="s">
        <v>35</v>
      </c>
    </row>
    <row r="61" spans="1:27" x14ac:dyDescent="0.25">
      <c r="A61" t="s">
        <v>190</v>
      </c>
      <c r="B61">
        <v>75</v>
      </c>
      <c r="C61" s="9">
        <v>45768.643657407411</v>
      </c>
      <c r="D61" t="s">
        <v>66</v>
      </c>
      <c r="E61" t="s">
        <v>67</v>
      </c>
      <c r="F61" t="s">
        <v>52</v>
      </c>
      <c r="G61">
        <v>218</v>
      </c>
      <c r="H61" s="6">
        <v>1</v>
      </c>
      <c r="I61" s="10">
        <v>74.540000000000006</v>
      </c>
      <c r="J61" s="10">
        <v>139.06</v>
      </c>
      <c r="L61" s="3">
        <v>0</v>
      </c>
      <c r="M61" t="s">
        <v>61</v>
      </c>
      <c r="N61" s="10">
        <v>34.24</v>
      </c>
      <c r="O61" t="s">
        <v>62</v>
      </c>
      <c r="P61" s="5">
        <v>45770</v>
      </c>
      <c r="Q61" s="5">
        <v>45776</v>
      </c>
      <c r="S61" t="s">
        <v>54</v>
      </c>
      <c r="T61" s="6">
        <v>2</v>
      </c>
      <c r="U61" t="s">
        <v>170</v>
      </c>
      <c r="V61" s="10">
        <v>139.06</v>
      </c>
      <c r="W61" s="10">
        <v>74.540000000000006</v>
      </c>
      <c r="X61" s="10">
        <v>30.27999999999999</v>
      </c>
      <c r="Y61" s="11">
        <v>0.21774773479073781</v>
      </c>
      <c r="Z61" s="6"/>
      <c r="AA61" t="s">
        <v>56</v>
      </c>
    </row>
    <row r="62" spans="1:27" x14ac:dyDescent="0.25">
      <c r="A62" t="s">
        <v>191</v>
      </c>
      <c r="B62">
        <v>167</v>
      </c>
      <c r="C62" s="9">
        <v>45769.933668981481</v>
      </c>
      <c r="D62" t="s">
        <v>86</v>
      </c>
      <c r="E62" t="s">
        <v>87</v>
      </c>
      <c r="F62" t="s">
        <v>45</v>
      </c>
      <c r="G62">
        <v>0</v>
      </c>
      <c r="H62" s="6">
        <v>1</v>
      </c>
      <c r="I62" s="10">
        <v>34.880000000000003</v>
      </c>
      <c r="J62" s="10">
        <v>160.83000000000001</v>
      </c>
      <c r="L62" s="3">
        <v>0</v>
      </c>
      <c r="M62" t="s">
        <v>39</v>
      </c>
      <c r="N62" s="10">
        <v>26.15</v>
      </c>
      <c r="O62" t="s">
        <v>101</v>
      </c>
      <c r="P62" s="5">
        <v>45770</v>
      </c>
      <c r="Q62" s="5">
        <v>45775</v>
      </c>
      <c r="R62" s="5">
        <v>45772</v>
      </c>
      <c r="S62" t="s">
        <v>33</v>
      </c>
      <c r="T62" s="6">
        <v>4</v>
      </c>
      <c r="U62" t="s">
        <v>172</v>
      </c>
      <c r="V62" s="10">
        <v>160.83000000000001</v>
      </c>
      <c r="W62" s="10">
        <v>34.880000000000003</v>
      </c>
      <c r="X62" s="10">
        <v>99.800000000000011</v>
      </c>
      <c r="Y62" s="11">
        <v>0.62053099546104584</v>
      </c>
      <c r="Z62" s="6">
        <v>-3</v>
      </c>
      <c r="AA62" t="s">
        <v>35</v>
      </c>
    </row>
    <row r="63" spans="1:27" x14ac:dyDescent="0.25">
      <c r="A63" t="s">
        <v>192</v>
      </c>
      <c r="B63">
        <v>148</v>
      </c>
      <c r="C63" s="9">
        <v>45770.301527777781</v>
      </c>
      <c r="D63" t="s">
        <v>81</v>
      </c>
      <c r="E63" t="s">
        <v>82</v>
      </c>
      <c r="F63" t="s">
        <v>45</v>
      </c>
      <c r="G63">
        <v>0</v>
      </c>
      <c r="H63" s="6">
        <v>3</v>
      </c>
      <c r="I63" s="10">
        <v>33.83</v>
      </c>
      <c r="J63" s="10">
        <v>213.31</v>
      </c>
      <c r="L63" s="3">
        <v>0</v>
      </c>
      <c r="M63" t="s">
        <v>76</v>
      </c>
      <c r="N63" s="10">
        <v>21.53</v>
      </c>
      <c r="O63" t="s">
        <v>32</v>
      </c>
      <c r="P63" s="5">
        <v>45772</v>
      </c>
      <c r="Q63" s="5">
        <v>45778</v>
      </c>
      <c r="R63" s="5">
        <v>45778</v>
      </c>
      <c r="S63" t="s">
        <v>33</v>
      </c>
      <c r="T63" s="6">
        <v>4</v>
      </c>
      <c r="U63" t="s">
        <v>41</v>
      </c>
      <c r="V63" s="10">
        <v>639.93000000000006</v>
      </c>
      <c r="W63" s="10">
        <v>101.49</v>
      </c>
      <c r="X63" s="10">
        <v>516.91000000000008</v>
      </c>
      <c r="Y63" s="11">
        <v>0.80776022377447543</v>
      </c>
      <c r="Z63" s="6">
        <v>0</v>
      </c>
      <c r="AA63" t="s">
        <v>35</v>
      </c>
    </row>
    <row r="64" spans="1:27" x14ac:dyDescent="0.25">
      <c r="A64" t="s">
        <v>193</v>
      </c>
      <c r="B64">
        <v>77</v>
      </c>
      <c r="C64" s="9">
        <v>45771.715856481482</v>
      </c>
      <c r="D64" t="s">
        <v>58</v>
      </c>
      <c r="E64" t="s">
        <v>59</v>
      </c>
      <c r="F64" t="s">
        <v>30</v>
      </c>
      <c r="G64">
        <v>4810</v>
      </c>
      <c r="H64" s="6">
        <v>1</v>
      </c>
      <c r="I64" s="10">
        <v>202.44</v>
      </c>
      <c r="J64" s="10">
        <v>724.87</v>
      </c>
      <c r="K64" t="s">
        <v>60</v>
      </c>
      <c r="L64" s="3">
        <v>0.2</v>
      </c>
      <c r="M64" t="s">
        <v>31</v>
      </c>
      <c r="N64" s="10">
        <v>104.41</v>
      </c>
      <c r="O64" t="s">
        <v>62</v>
      </c>
      <c r="P64" s="5">
        <v>45773</v>
      </c>
      <c r="Q64" s="5">
        <v>45780</v>
      </c>
      <c r="R64" s="5">
        <v>45780</v>
      </c>
      <c r="S64" t="s">
        <v>33</v>
      </c>
      <c r="T64" s="6">
        <v>5</v>
      </c>
      <c r="U64" t="s">
        <v>112</v>
      </c>
      <c r="V64" s="10">
        <v>579.89600000000007</v>
      </c>
      <c r="W64" s="10">
        <v>202.44</v>
      </c>
      <c r="X64" s="10">
        <v>273.04599999999999</v>
      </c>
      <c r="Y64" s="11">
        <v>0.47085339440175478</v>
      </c>
      <c r="Z64" s="6">
        <v>0</v>
      </c>
      <c r="AA64" t="s">
        <v>35</v>
      </c>
    </row>
    <row r="65" spans="1:27" x14ac:dyDescent="0.25">
      <c r="A65" t="s">
        <v>194</v>
      </c>
      <c r="B65">
        <v>4</v>
      </c>
      <c r="C65" s="9">
        <v>45772.366493055553</v>
      </c>
      <c r="D65" t="s">
        <v>58</v>
      </c>
      <c r="E65" t="s">
        <v>59</v>
      </c>
      <c r="F65" t="s">
        <v>30</v>
      </c>
      <c r="G65">
        <v>4784</v>
      </c>
      <c r="H65" s="6">
        <v>1</v>
      </c>
      <c r="I65" s="10">
        <v>313.64999999999998</v>
      </c>
      <c r="J65" s="10">
        <v>832.03</v>
      </c>
      <c r="L65" s="3">
        <v>0</v>
      </c>
      <c r="M65" t="s">
        <v>31</v>
      </c>
      <c r="N65" s="10">
        <v>60.08</v>
      </c>
      <c r="O65" t="s">
        <v>68</v>
      </c>
      <c r="P65" s="5">
        <v>45774</v>
      </c>
      <c r="Q65" s="5">
        <v>45784</v>
      </c>
      <c r="R65" s="5">
        <v>45781</v>
      </c>
      <c r="S65" t="s">
        <v>33</v>
      </c>
      <c r="T65" s="6">
        <v>5</v>
      </c>
      <c r="U65" t="s">
        <v>77</v>
      </c>
      <c r="V65" s="10">
        <v>832.03</v>
      </c>
      <c r="W65" s="10">
        <v>313.64999999999998</v>
      </c>
      <c r="X65" s="10">
        <v>458.3</v>
      </c>
      <c r="Y65" s="11">
        <v>0.5508214848022307</v>
      </c>
      <c r="Z65" s="6">
        <v>-3</v>
      </c>
      <c r="AA65" t="s">
        <v>35</v>
      </c>
    </row>
    <row r="66" spans="1:27" x14ac:dyDescent="0.25">
      <c r="A66" t="s">
        <v>195</v>
      </c>
      <c r="B66">
        <v>127</v>
      </c>
      <c r="C66" s="9">
        <v>45773.011053240742</v>
      </c>
      <c r="D66" t="s">
        <v>50</v>
      </c>
      <c r="E66" t="s">
        <v>51</v>
      </c>
      <c r="F66" t="s">
        <v>52</v>
      </c>
      <c r="G66">
        <v>607</v>
      </c>
      <c r="H66" s="6">
        <v>2</v>
      </c>
      <c r="I66" s="10">
        <v>124.95</v>
      </c>
      <c r="J66" s="10">
        <v>199.5</v>
      </c>
      <c r="L66" s="3">
        <v>0</v>
      </c>
      <c r="M66" t="s">
        <v>31</v>
      </c>
      <c r="N66" s="10">
        <v>48.82</v>
      </c>
      <c r="O66" t="s">
        <v>47</v>
      </c>
      <c r="P66" s="5">
        <v>45774</v>
      </c>
      <c r="Q66" s="5">
        <v>45779</v>
      </c>
      <c r="R66" s="5">
        <v>45776</v>
      </c>
      <c r="S66" t="s">
        <v>33</v>
      </c>
      <c r="T66" s="6">
        <v>5</v>
      </c>
      <c r="U66" t="s">
        <v>117</v>
      </c>
      <c r="V66" s="10">
        <v>399</v>
      </c>
      <c r="W66" s="10">
        <v>249.9</v>
      </c>
      <c r="X66" s="10">
        <v>100.28</v>
      </c>
      <c r="Y66" s="11">
        <v>0.25132832080200501</v>
      </c>
      <c r="Z66" s="6">
        <v>-3</v>
      </c>
      <c r="AA66" t="s">
        <v>35</v>
      </c>
    </row>
    <row r="67" spans="1:27" x14ac:dyDescent="0.25">
      <c r="A67" t="s">
        <v>196</v>
      </c>
      <c r="B67">
        <v>35</v>
      </c>
      <c r="C67" s="9">
        <v>45773.101238425923</v>
      </c>
      <c r="D67" t="s">
        <v>43</v>
      </c>
      <c r="E67" t="s">
        <v>44</v>
      </c>
      <c r="F67" t="s">
        <v>45</v>
      </c>
      <c r="G67">
        <v>0</v>
      </c>
      <c r="H67" s="6">
        <v>1</v>
      </c>
      <c r="I67" s="10">
        <v>68.34</v>
      </c>
      <c r="J67" s="10">
        <v>92.69</v>
      </c>
      <c r="L67" s="3">
        <v>0</v>
      </c>
      <c r="M67" t="s">
        <v>31</v>
      </c>
      <c r="N67" s="10">
        <v>18.170000000000002</v>
      </c>
      <c r="O67" t="s">
        <v>32</v>
      </c>
      <c r="P67" s="5">
        <v>45775</v>
      </c>
      <c r="Q67" s="5">
        <v>45785</v>
      </c>
      <c r="R67" s="5">
        <v>45783</v>
      </c>
      <c r="S67" t="s">
        <v>33</v>
      </c>
      <c r="T67" s="6">
        <v>5</v>
      </c>
      <c r="U67" t="s">
        <v>172</v>
      </c>
      <c r="V67" s="10">
        <v>92.69</v>
      </c>
      <c r="W67" s="10">
        <v>68.34</v>
      </c>
      <c r="X67" s="10">
        <v>6.1799999999999926</v>
      </c>
      <c r="Y67" s="11">
        <v>6.6673859100226482E-2</v>
      </c>
      <c r="Z67" s="6">
        <v>-2</v>
      </c>
      <c r="AA67" t="s">
        <v>35</v>
      </c>
    </row>
    <row r="68" spans="1:27" x14ac:dyDescent="0.25">
      <c r="A68" t="s">
        <v>197</v>
      </c>
      <c r="B68">
        <v>38</v>
      </c>
      <c r="C68" s="9">
        <v>45773.287002314813</v>
      </c>
      <c r="D68" t="s">
        <v>198</v>
      </c>
      <c r="E68" t="s">
        <v>199</v>
      </c>
      <c r="F68" t="s">
        <v>116</v>
      </c>
      <c r="G68">
        <v>0</v>
      </c>
      <c r="H68" s="6">
        <v>2</v>
      </c>
      <c r="I68" s="10">
        <v>305.45999999999998</v>
      </c>
      <c r="J68" s="10">
        <v>658.66</v>
      </c>
      <c r="L68" s="3">
        <v>0</v>
      </c>
      <c r="M68" t="s">
        <v>31</v>
      </c>
      <c r="N68" s="10">
        <v>17.82</v>
      </c>
      <c r="O68" t="s">
        <v>47</v>
      </c>
      <c r="P68" s="5">
        <v>45774</v>
      </c>
      <c r="Q68" s="5">
        <v>45780</v>
      </c>
      <c r="R68" s="5">
        <v>45778</v>
      </c>
      <c r="S68" t="s">
        <v>33</v>
      </c>
      <c r="T68" s="6">
        <v>5</v>
      </c>
      <c r="U68" t="s">
        <v>112</v>
      </c>
      <c r="V68" s="10">
        <v>1317.32</v>
      </c>
      <c r="W68" s="10">
        <v>610.91999999999996</v>
      </c>
      <c r="X68" s="10">
        <v>688.57999999999993</v>
      </c>
      <c r="Y68" s="11">
        <v>0.52271278049372971</v>
      </c>
      <c r="Z68" s="6">
        <v>-2</v>
      </c>
      <c r="AA68" t="s">
        <v>35</v>
      </c>
    </row>
    <row r="69" spans="1:27" x14ac:dyDescent="0.25">
      <c r="A69" t="s">
        <v>200</v>
      </c>
      <c r="B69">
        <v>99</v>
      </c>
      <c r="C69" s="9">
        <v>45773.70244212963</v>
      </c>
      <c r="D69" t="s">
        <v>58</v>
      </c>
      <c r="E69" t="s">
        <v>59</v>
      </c>
      <c r="F69" t="s">
        <v>30</v>
      </c>
      <c r="G69">
        <v>4212</v>
      </c>
      <c r="H69" s="6">
        <v>2</v>
      </c>
      <c r="I69" s="10">
        <v>266.77</v>
      </c>
      <c r="J69" s="10">
        <v>697.61</v>
      </c>
      <c r="K69" t="s">
        <v>60</v>
      </c>
      <c r="L69" s="3">
        <v>0.2</v>
      </c>
      <c r="M69" t="s">
        <v>61</v>
      </c>
      <c r="N69" s="10">
        <v>85.96</v>
      </c>
      <c r="O69" t="s">
        <v>53</v>
      </c>
      <c r="P69" s="5">
        <v>45774</v>
      </c>
      <c r="Q69" s="5">
        <v>45781</v>
      </c>
      <c r="R69" s="5">
        <v>45778</v>
      </c>
      <c r="S69" t="s">
        <v>33</v>
      </c>
      <c r="T69" s="6">
        <v>4</v>
      </c>
      <c r="U69" t="s">
        <v>117</v>
      </c>
      <c r="V69" s="10">
        <v>1116.1759999999999</v>
      </c>
      <c r="W69" s="10">
        <v>533.54</v>
      </c>
      <c r="X69" s="10">
        <v>496.67600000000022</v>
      </c>
      <c r="Y69" s="11">
        <v>0.44498000315362463</v>
      </c>
      <c r="Z69" s="6">
        <v>-3</v>
      </c>
      <c r="AA69" t="s">
        <v>35</v>
      </c>
    </row>
    <row r="70" spans="1:27" x14ac:dyDescent="0.25">
      <c r="A70" t="s">
        <v>201</v>
      </c>
      <c r="B70">
        <v>43</v>
      </c>
      <c r="C70" s="9">
        <v>45773.734340277777</v>
      </c>
      <c r="D70" t="s">
        <v>148</v>
      </c>
      <c r="E70" t="s">
        <v>149</v>
      </c>
      <c r="F70" t="s">
        <v>30</v>
      </c>
      <c r="G70">
        <v>3333</v>
      </c>
      <c r="H70" s="6">
        <v>2</v>
      </c>
      <c r="I70" s="10">
        <v>584.94000000000005</v>
      </c>
      <c r="J70" s="10">
        <v>963.23</v>
      </c>
      <c r="K70" t="s">
        <v>60</v>
      </c>
      <c r="L70" s="3">
        <v>0.2</v>
      </c>
      <c r="M70" t="s">
        <v>76</v>
      </c>
      <c r="N70" s="10">
        <v>62.21</v>
      </c>
      <c r="O70" t="s">
        <v>133</v>
      </c>
      <c r="P70" s="5">
        <v>45775</v>
      </c>
      <c r="Q70" s="5">
        <v>45785</v>
      </c>
      <c r="R70" s="5">
        <v>45783</v>
      </c>
      <c r="S70" t="s">
        <v>33</v>
      </c>
      <c r="T70" s="6">
        <v>4</v>
      </c>
      <c r="U70" t="s">
        <v>48</v>
      </c>
      <c r="V70" s="10">
        <v>1541.1679999999999</v>
      </c>
      <c r="W70" s="10">
        <v>1169.8800000000001</v>
      </c>
      <c r="X70" s="10">
        <v>309.07799999999997</v>
      </c>
      <c r="Y70" s="11">
        <v>0.2005478961411086</v>
      </c>
      <c r="Z70" s="6">
        <v>-2</v>
      </c>
      <c r="AA70" t="s">
        <v>35</v>
      </c>
    </row>
    <row r="71" spans="1:27" x14ac:dyDescent="0.25">
      <c r="A71" t="s">
        <v>202</v>
      </c>
      <c r="B71">
        <v>122</v>
      </c>
      <c r="C71" s="9">
        <v>45773.868703703702</v>
      </c>
      <c r="D71" t="s">
        <v>43</v>
      </c>
      <c r="E71" t="s">
        <v>44</v>
      </c>
      <c r="F71" t="s">
        <v>45</v>
      </c>
      <c r="G71">
        <v>0</v>
      </c>
      <c r="H71" s="6">
        <v>1</v>
      </c>
      <c r="I71" s="10">
        <v>63.81</v>
      </c>
      <c r="J71" s="10">
        <v>80.19</v>
      </c>
      <c r="L71" s="3">
        <v>0</v>
      </c>
      <c r="M71" t="s">
        <v>31</v>
      </c>
      <c r="N71" s="10">
        <v>28.56</v>
      </c>
      <c r="O71" t="s">
        <v>47</v>
      </c>
      <c r="P71" s="5">
        <v>45774</v>
      </c>
      <c r="Q71" s="5">
        <v>45780</v>
      </c>
      <c r="R71" s="5">
        <v>45785</v>
      </c>
      <c r="S71" t="s">
        <v>33</v>
      </c>
      <c r="T71" s="6">
        <v>1</v>
      </c>
      <c r="U71" t="s">
        <v>129</v>
      </c>
      <c r="V71" s="10">
        <v>80.19</v>
      </c>
      <c r="W71" s="10">
        <v>63.81</v>
      </c>
      <c r="X71" s="10">
        <v>-12.18</v>
      </c>
      <c r="Y71" s="11">
        <v>-0.1518892630003742</v>
      </c>
      <c r="Z71" s="6">
        <v>5</v>
      </c>
      <c r="AA71" t="s">
        <v>103</v>
      </c>
    </row>
    <row r="72" spans="1:27" x14ac:dyDescent="0.25">
      <c r="A72" t="s">
        <v>203</v>
      </c>
      <c r="B72">
        <v>133</v>
      </c>
      <c r="C72" s="9">
        <v>45774.196898148148</v>
      </c>
      <c r="D72" t="s">
        <v>89</v>
      </c>
      <c r="E72" t="s">
        <v>90</v>
      </c>
      <c r="F72" t="s">
        <v>52</v>
      </c>
      <c r="G72">
        <v>226</v>
      </c>
      <c r="H72" s="6">
        <v>2</v>
      </c>
      <c r="I72" s="10">
        <v>60.53</v>
      </c>
      <c r="J72" s="10">
        <v>201.24</v>
      </c>
      <c r="L72" s="3">
        <v>0</v>
      </c>
      <c r="M72" t="s">
        <v>76</v>
      </c>
      <c r="N72" s="10">
        <v>23.08</v>
      </c>
      <c r="O72" t="s">
        <v>83</v>
      </c>
      <c r="P72" s="5">
        <v>45775</v>
      </c>
      <c r="Q72" s="5">
        <v>45781</v>
      </c>
      <c r="R72" s="5">
        <v>45779</v>
      </c>
      <c r="S72" t="s">
        <v>33</v>
      </c>
      <c r="T72" s="6">
        <v>4</v>
      </c>
      <c r="U72" t="s">
        <v>69</v>
      </c>
      <c r="V72" s="10">
        <v>402.48</v>
      </c>
      <c r="W72" s="10">
        <v>121.06</v>
      </c>
      <c r="X72" s="10">
        <v>258.33999999999997</v>
      </c>
      <c r="Y72" s="11">
        <v>0.64187040349831048</v>
      </c>
      <c r="Z72" s="6">
        <v>-2</v>
      </c>
      <c r="AA72" t="s">
        <v>35</v>
      </c>
    </row>
    <row r="73" spans="1:27" x14ac:dyDescent="0.25">
      <c r="A73" t="s">
        <v>204</v>
      </c>
      <c r="B73">
        <v>139</v>
      </c>
      <c r="C73" s="9">
        <v>45774.664664351847</v>
      </c>
      <c r="D73" t="s">
        <v>74</v>
      </c>
      <c r="E73" t="s">
        <v>75</v>
      </c>
      <c r="F73" t="s">
        <v>30</v>
      </c>
      <c r="G73">
        <v>2642</v>
      </c>
      <c r="H73" s="6">
        <v>2</v>
      </c>
      <c r="I73" s="10">
        <v>2983.3</v>
      </c>
      <c r="J73" s="10">
        <v>4541.8</v>
      </c>
      <c r="L73" s="3">
        <v>0</v>
      </c>
      <c r="M73" t="s">
        <v>61</v>
      </c>
      <c r="N73" s="10">
        <v>125.87</v>
      </c>
      <c r="O73" t="s">
        <v>83</v>
      </c>
      <c r="P73" s="5">
        <v>45775</v>
      </c>
      <c r="Q73" s="5">
        <v>45783</v>
      </c>
      <c r="R73" s="5">
        <v>45782</v>
      </c>
      <c r="S73" t="s">
        <v>33</v>
      </c>
      <c r="T73" s="6">
        <v>4</v>
      </c>
      <c r="U73" t="s">
        <v>77</v>
      </c>
      <c r="V73" s="10">
        <v>9083.6</v>
      </c>
      <c r="W73" s="10">
        <v>5966.6</v>
      </c>
      <c r="X73" s="10">
        <v>2991.13</v>
      </c>
      <c r="Y73" s="11">
        <v>0.32928904839490952</v>
      </c>
      <c r="Z73" s="6">
        <v>-1</v>
      </c>
      <c r="AA73" t="s">
        <v>35</v>
      </c>
    </row>
    <row r="74" spans="1:27" x14ac:dyDescent="0.25">
      <c r="A74" t="s">
        <v>205</v>
      </c>
      <c r="B74">
        <v>46</v>
      </c>
      <c r="C74" s="9">
        <v>45774.92019675926</v>
      </c>
      <c r="D74" t="s">
        <v>74</v>
      </c>
      <c r="E74" t="s">
        <v>75</v>
      </c>
      <c r="F74" t="s">
        <v>30</v>
      </c>
      <c r="G74">
        <v>2628</v>
      </c>
      <c r="H74" s="6">
        <v>1</v>
      </c>
      <c r="I74" s="10">
        <v>2257.4</v>
      </c>
      <c r="J74" s="10">
        <v>4909.6400000000003</v>
      </c>
      <c r="K74" t="s">
        <v>46</v>
      </c>
      <c r="L74" s="3">
        <v>0.1</v>
      </c>
      <c r="M74" t="s">
        <v>76</v>
      </c>
      <c r="N74" s="10">
        <v>76.650000000000006</v>
      </c>
      <c r="O74" t="s">
        <v>53</v>
      </c>
      <c r="P74" s="5">
        <v>45776</v>
      </c>
      <c r="Q74" s="5">
        <v>45784</v>
      </c>
      <c r="R74" s="5">
        <v>45783</v>
      </c>
      <c r="S74" t="s">
        <v>33</v>
      </c>
      <c r="T74" s="6">
        <v>5</v>
      </c>
      <c r="U74" t="s">
        <v>166</v>
      </c>
      <c r="V74" s="10">
        <v>4418.6760000000004</v>
      </c>
      <c r="W74" s="10">
        <v>2257.4</v>
      </c>
      <c r="X74" s="10">
        <v>2084.6260000000002</v>
      </c>
      <c r="Y74" s="11">
        <v>0.47177616100388442</v>
      </c>
      <c r="Z74" s="6">
        <v>-1</v>
      </c>
      <c r="AA74" t="s">
        <v>35</v>
      </c>
    </row>
    <row r="75" spans="1:27" x14ac:dyDescent="0.25">
      <c r="A75" t="s">
        <v>206</v>
      </c>
      <c r="B75">
        <v>191</v>
      </c>
      <c r="C75" s="9">
        <v>45775.033460648148</v>
      </c>
      <c r="D75" t="s">
        <v>177</v>
      </c>
      <c r="E75" t="s">
        <v>178</v>
      </c>
      <c r="F75" t="s">
        <v>116</v>
      </c>
      <c r="G75">
        <v>0</v>
      </c>
      <c r="H75" s="6">
        <v>2</v>
      </c>
      <c r="I75" s="10">
        <v>154.25</v>
      </c>
      <c r="J75" s="10">
        <v>429.57</v>
      </c>
      <c r="L75" s="3">
        <v>0</v>
      </c>
      <c r="M75" t="s">
        <v>31</v>
      </c>
      <c r="N75" s="10">
        <v>23.41</v>
      </c>
      <c r="O75" t="s">
        <v>157</v>
      </c>
      <c r="P75" s="5">
        <v>45776</v>
      </c>
      <c r="Q75" s="5">
        <v>45784</v>
      </c>
      <c r="R75" s="5">
        <v>45779</v>
      </c>
      <c r="S75" t="s">
        <v>33</v>
      </c>
      <c r="T75" s="6">
        <v>4</v>
      </c>
      <c r="U75" t="s">
        <v>166</v>
      </c>
      <c r="V75" s="10">
        <v>859.14</v>
      </c>
      <c r="W75" s="10">
        <v>308.5</v>
      </c>
      <c r="X75" s="10">
        <v>527.23</v>
      </c>
      <c r="Y75" s="11">
        <v>0.61367181134622995</v>
      </c>
      <c r="Z75" s="6">
        <v>-5</v>
      </c>
      <c r="AA75" t="s">
        <v>35</v>
      </c>
    </row>
    <row r="76" spans="1:27" x14ac:dyDescent="0.25">
      <c r="A76" t="s">
        <v>207</v>
      </c>
      <c r="B76">
        <v>78</v>
      </c>
      <c r="C76" s="9">
        <v>45775.27553240741</v>
      </c>
      <c r="D76" t="s">
        <v>155</v>
      </c>
      <c r="E76" t="s">
        <v>156</v>
      </c>
      <c r="F76" t="s">
        <v>30</v>
      </c>
      <c r="G76">
        <v>3915</v>
      </c>
      <c r="H76" s="6">
        <v>3</v>
      </c>
      <c r="I76" s="10">
        <v>937.47</v>
      </c>
      <c r="J76" s="10">
        <v>1640.48</v>
      </c>
      <c r="L76" s="3">
        <v>0</v>
      </c>
      <c r="M76" t="s">
        <v>76</v>
      </c>
      <c r="N76" s="10">
        <v>91.25</v>
      </c>
      <c r="O76" t="s">
        <v>97</v>
      </c>
      <c r="P76" s="5">
        <v>45776</v>
      </c>
      <c r="Q76" s="5">
        <v>45786</v>
      </c>
      <c r="R76" s="5">
        <v>45780</v>
      </c>
      <c r="S76" t="s">
        <v>33</v>
      </c>
      <c r="T76" s="6">
        <v>5</v>
      </c>
      <c r="U76" t="s">
        <v>119</v>
      </c>
      <c r="V76" s="10">
        <v>4921.4400000000014</v>
      </c>
      <c r="W76" s="10">
        <v>2812.41</v>
      </c>
      <c r="X76" s="10">
        <v>2017.7800000000011</v>
      </c>
      <c r="Y76" s="11">
        <v>0.40999788679736021</v>
      </c>
      <c r="Z76" s="6">
        <v>-6</v>
      </c>
      <c r="AA76" t="s">
        <v>35</v>
      </c>
    </row>
    <row r="77" spans="1:27" x14ac:dyDescent="0.25">
      <c r="A77" t="s">
        <v>208</v>
      </c>
      <c r="B77">
        <v>107</v>
      </c>
      <c r="C77" s="9">
        <v>45775.376493055563</v>
      </c>
      <c r="D77" t="s">
        <v>81</v>
      </c>
      <c r="E77" t="s">
        <v>82</v>
      </c>
      <c r="F77" t="s">
        <v>45</v>
      </c>
      <c r="G77">
        <v>0</v>
      </c>
      <c r="H77" s="6">
        <v>3</v>
      </c>
      <c r="I77" s="10">
        <v>97.25</v>
      </c>
      <c r="J77" s="10">
        <v>116.33</v>
      </c>
      <c r="L77" s="3">
        <v>0</v>
      </c>
      <c r="M77" t="s">
        <v>61</v>
      </c>
      <c r="N77" s="10">
        <v>16.420000000000002</v>
      </c>
      <c r="O77" t="s">
        <v>150</v>
      </c>
      <c r="P77" s="5">
        <v>45776</v>
      </c>
      <c r="Q77" s="5">
        <v>45782</v>
      </c>
      <c r="R77" s="5">
        <v>45778</v>
      </c>
      <c r="S77" t="s">
        <v>33</v>
      </c>
      <c r="T77" s="6">
        <v>5</v>
      </c>
      <c r="U77" t="s">
        <v>79</v>
      </c>
      <c r="V77" s="10">
        <v>348.99</v>
      </c>
      <c r="W77" s="10">
        <v>291.75</v>
      </c>
      <c r="X77" s="10">
        <v>40.820000000000007</v>
      </c>
      <c r="Y77" s="11">
        <v>0.1169661021805783</v>
      </c>
      <c r="Z77" s="6">
        <v>-4</v>
      </c>
      <c r="AA77" t="s">
        <v>35</v>
      </c>
    </row>
    <row r="78" spans="1:27" x14ac:dyDescent="0.25">
      <c r="A78" t="s">
        <v>209</v>
      </c>
      <c r="B78">
        <v>77</v>
      </c>
      <c r="C78" s="9">
        <v>45775.468854166669</v>
      </c>
      <c r="D78" t="s">
        <v>28</v>
      </c>
      <c r="E78" t="s">
        <v>29</v>
      </c>
      <c r="F78" t="s">
        <v>30</v>
      </c>
      <c r="G78">
        <v>2587</v>
      </c>
      <c r="H78" s="6">
        <v>2</v>
      </c>
      <c r="I78" s="10">
        <v>1978</v>
      </c>
      <c r="J78" s="10">
        <v>3298.55</v>
      </c>
      <c r="L78" s="3">
        <v>0</v>
      </c>
      <c r="M78" t="s">
        <v>39</v>
      </c>
      <c r="N78" s="10">
        <v>86.18</v>
      </c>
      <c r="O78" t="s">
        <v>32</v>
      </c>
      <c r="P78" s="5">
        <v>45777</v>
      </c>
      <c r="Q78" s="5">
        <v>45783</v>
      </c>
      <c r="R78" s="5">
        <v>45782</v>
      </c>
      <c r="S78" t="s">
        <v>33</v>
      </c>
      <c r="T78" s="6">
        <v>4</v>
      </c>
      <c r="U78" t="s">
        <v>172</v>
      </c>
      <c r="V78" s="10">
        <v>6597.1</v>
      </c>
      <c r="W78" s="10">
        <v>3956</v>
      </c>
      <c r="X78" s="10">
        <v>2554.920000000001</v>
      </c>
      <c r="Y78" s="11">
        <v>0.38727925906837862</v>
      </c>
      <c r="Z78" s="6">
        <v>-1</v>
      </c>
      <c r="AA78" t="s">
        <v>35</v>
      </c>
    </row>
    <row r="79" spans="1:27" x14ac:dyDescent="0.25">
      <c r="A79" t="s">
        <v>210</v>
      </c>
      <c r="B79">
        <v>8</v>
      </c>
      <c r="C79" s="9">
        <v>45776.039861111109</v>
      </c>
      <c r="D79" t="s">
        <v>105</v>
      </c>
      <c r="E79" t="s">
        <v>106</v>
      </c>
      <c r="F79" t="s">
        <v>30</v>
      </c>
      <c r="G79">
        <v>2039</v>
      </c>
      <c r="H79" s="6">
        <v>2</v>
      </c>
      <c r="I79" s="10">
        <v>201.81</v>
      </c>
      <c r="J79" s="10">
        <v>540.57000000000005</v>
      </c>
      <c r="K79" t="s">
        <v>60</v>
      </c>
      <c r="L79" s="3">
        <v>0.2</v>
      </c>
      <c r="M79" t="s">
        <v>39</v>
      </c>
      <c r="N79" s="10">
        <v>92.63</v>
      </c>
      <c r="O79" t="s">
        <v>157</v>
      </c>
      <c r="P79" s="5">
        <v>45777</v>
      </c>
      <c r="Q79" s="5">
        <v>45787</v>
      </c>
      <c r="R79" s="5">
        <v>45786</v>
      </c>
      <c r="S79" t="s">
        <v>33</v>
      </c>
      <c r="T79" s="6">
        <v>4</v>
      </c>
      <c r="U79" t="s">
        <v>211</v>
      </c>
      <c r="V79" s="10">
        <v>864.91200000000015</v>
      </c>
      <c r="W79" s="10">
        <v>403.62</v>
      </c>
      <c r="X79" s="10">
        <v>368.66200000000009</v>
      </c>
      <c r="Y79" s="11">
        <v>0.42624220729970219</v>
      </c>
      <c r="Z79" s="6">
        <v>-1</v>
      </c>
      <c r="AA79" t="s">
        <v>35</v>
      </c>
    </row>
    <row r="80" spans="1:27" x14ac:dyDescent="0.25">
      <c r="A80" t="s">
        <v>212</v>
      </c>
      <c r="B80">
        <v>29</v>
      </c>
      <c r="C80" s="9">
        <v>45776.174108796287</v>
      </c>
      <c r="D80" t="s">
        <v>50</v>
      </c>
      <c r="E80" t="s">
        <v>51</v>
      </c>
      <c r="F80" t="s">
        <v>52</v>
      </c>
      <c r="G80">
        <v>639</v>
      </c>
      <c r="H80" s="6">
        <v>1</v>
      </c>
      <c r="I80" s="10">
        <v>132.44</v>
      </c>
      <c r="J80" s="10">
        <v>218.82</v>
      </c>
      <c r="L80" s="3">
        <v>0</v>
      </c>
      <c r="M80" t="s">
        <v>76</v>
      </c>
      <c r="N80" s="10">
        <v>43.13</v>
      </c>
      <c r="O80" t="s">
        <v>99</v>
      </c>
      <c r="P80" s="5">
        <v>45778</v>
      </c>
      <c r="Q80" s="5">
        <v>45783</v>
      </c>
      <c r="R80" s="5">
        <v>45783</v>
      </c>
      <c r="S80" t="s">
        <v>33</v>
      </c>
      <c r="T80" s="6">
        <v>5</v>
      </c>
      <c r="U80" t="s">
        <v>48</v>
      </c>
      <c r="V80" s="10">
        <v>218.82</v>
      </c>
      <c r="W80" s="10">
        <v>132.44</v>
      </c>
      <c r="X80" s="10">
        <v>43.249999999999993</v>
      </c>
      <c r="Y80" s="11">
        <v>0.19765103738232331</v>
      </c>
      <c r="Z80" s="6">
        <v>0</v>
      </c>
      <c r="AA80" t="s">
        <v>35</v>
      </c>
    </row>
    <row r="81" spans="1:27" x14ac:dyDescent="0.25">
      <c r="A81" t="s">
        <v>213</v>
      </c>
      <c r="B81">
        <v>11</v>
      </c>
      <c r="C81" s="9">
        <v>45777.444178240738</v>
      </c>
      <c r="D81" t="s">
        <v>37</v>
      </c>
      <c r="E81" t="s">
        <v>38</v>
      </c>
      <c r="F81" t="s">
        <v>30</v>
      </c>
      <c r="G81">
        <v>2728</v>
      </c>
      <c r="H81" s="6">
        <v>1</v>
      </c>
      <c r="I81" s="10">
        <v>833.7</v>
      </c>
      <c r="J81" s="10">
        <v>1034.9000000000001</v>
      </c>
      <c r="L81" s="3">
        <v>0</v>
      </c>
      <c r="M81" t="s">
        <v>39</v>
      </c>
      <c r="N81" s="10">
        <v>67.98</v>
      </c>
      <c r="O81" t="s">
        <v>47</v>
      </c>
      <c r="P81" s="5">
        <v>45779</v>
      </c>
      <c r="Q81" s="5">
        <v>45784</v>
      </c>
      <c r="R81" s="5">
        <v>45784</v>
      </c>
      <c r="S81" t="s">
        <v>33</v>
      </c>
      <c r="T81" s="6">
        <v>5</v>
      </c>
      <c r="U81" t="s">
        <v>117</v>
      </c>
      <c r="V81" s="10">
        <v>1034.9000000000001</v>
      </c>
      <c r="W81" s="10">
        <v>833.7</v>
      </c>
      <c r="X81" s="10">
        <v>133.22</v>
      </c>
      <c r="Y81" s="11">
        <v>0.12872741327664511</v>
      </c>
      <c r="Z81" s="6">
        <v>0</v>
      </c>
      <c r="AA81" t="s">
        <v>35</v>
      </c>
    </row>
    <row r="82" spans="1:27" x14ac:dyDescent="0.25">
      <c r="A82" t="s">
        <v>214</v>
      </c>
      <c r="B82">
        <v>90</v>
      </c>
      <c r="C82" s="9">
        <v>45777.958773148152</v>
      </c>
      <c r="D82" t="s">
        <v>198</v>
      </c>
      <c r="E82" t="s">
        <v>199</v>
      </c>
      <c r="F82" t="s">
        <v>116</v>
      </c>
      <c r="G82">
        <v>0</v>
      </c>
      <c r="H82" s="6">
        <v>1</v>
      </c>
      <c r="I82" s="10">
        <v>345.99</v>
      </c>
      <c r="J82" s="10">
        <v>577.88</v>
      </c>
      <c r="K82" t="s">
        <v>46</v>
      </c>
      <c r="L82" s="3">
        <v>0.1</v>
      </c>
      <c r="M82" t="s">
        <v>31</v>
      </c>
      <c r="N82" s="10">
        <v>24.59</v>
      </c>
      <c r="O82" t="s">
        <v>99</v>
      </c>
      <c r="P82" s="5">
        <v>45779</v>
      </c>
      <c r="Q82" s="5">
        <v>45786</v>
      </c>
      <c r="R82" s="5">
        <v>45783</v>
      </c>
      <c r="S82" t="s">
        <v>33</v>
      </c>
      <c r="T82" s="6">
        <v>5</v>
      </c>
      <c r="U82" t="s">
        <v>69</v>
      </c>
      <c r="V82" s="10">
        <v>520.09199999999998</v>
      </c>
      <c r="W82" s="10">
        <v>345.99</v>
      </c>
      <c r="X82" s="10">
        <v>149.512</v>
      </c>
      <c r="Y82" s="11">
        <v>0.28747221645401189</v>
      </c>
      <c r="Z82" s="6">
        <v>-3</v>
      </c>
      <c r="AA82" t="s">
        <v>35</v>
      </c>
    </row>
    <row r="83" spans="1:27" x14ac:dyDescent="0.25">
      <c r="A83" t="s">
        <v>215</v>
      </c>
      <c r="B83">
        <v>87</v>
      </c>
      <c r="C83" s="9">
        <v>45778.03465277778</v>
      </c>
      <c r="D83" t="s">
        <v>164</v>
      </c>
      <c r="E83" t="s">
        <v>165</v>
      </c>
      <c r="F83" t="s">
        <v>116</v>
      </c>
      <c r="G83">
        <v>0</v>
      </c>
      <c r="H83" s="6">
        <v>1</v>
      </c>
      <c r="I83" s="10">
        <v>357.05</v>
      </c>
      <c r="J83" s="10">
        <v>473.88</v>
      </c>
      <c r="K83" t="s">
        <v>46</v>
      </c>
      <c r="L83" s="3">
        <v>0.1</v>
      </c>
      <c r="M83" t="s">
        <v>76</v>
      </c>
      <c r="N83" s="10">
        <v>19.329999999999998</v>
      </c>
      <c r="O83" t="s">
        <v>99</v>
      </c>
      <c r="P83" s="5">
        <v>45779</v>
      </c>
      <c r="Q83" s="5">
        <v>45789</v>
      </c>
      <c r="R83" s="5">
        <v>45789</v>
      </c>
      <c r="S83" t="s">
        <v>33</v>
      </c>
      <c r="T83" s="6">
        <v>4</v>
      </c>
      <c r="U83" t="s">
        <v>211</v>
      </c>
      <c r="V83" s="10">
        <v>426.49200000000002</v>
      </c>
      <c r="W83" s="10">
        <v>357.05</v>
      </c>
      <c r="X83" s="10">
        <v>50.112000000000009</v>
      </c>
      <c r="Y83" s="11">
        <v>0.1174981007850089</v>
      </c>
      <c r="Z83" s="6">
        <v>0</v>
      </c>
      <c r="AA83" t="s">
        <v>35</v>
      </c>
    </row>
    <row r="84" spans="1:27" x14ac:dyDescent="0.25">
      <c r="A84" t="s">
        <v>216</v>
      </c>
      <c r="B84">
        <v>178</v>
      </c>
      <c r="C84" s="9">
        <v>45778.713541666657</v>
      </c>
      <c r="D84" t="s">
        <v>81</v>
      </c>
      <c r="E84" t="s">
        <v>82</v>
      </c>
      <c r="F84" t="s">
        <v>45</v>
      </c>
      <c r="G84">
        <v>0</v>
      </c>
      <c r="H84" s="6">
        <v>2</v>
      </c>
      <c r="I84" s="10">
        <v>99.42</v>
      </c>
      <c r="J84" s="10">
        <v>213.36</v>
      </c>
      <c r="L84" s="3">
        <v>0</v>
      </c>
      <c r="M84" t="s">
        <v>39</v>
      </c>
      <c r="N84" s="10">
        <v>17.18</v>
      </c>
      <c r="O84" t="s">
        <v>157</v>
      </c>
      <c r="P84" s="5">
        <v>45780</v>
      </c>
      <c r="Q84" s="5">
        <v>45789</v>
      </c>
      <c r="S84" t="s">
        <v>161</v>
      </c>
      <c r="T84" s="6">
        <v>1</v>
      </c>
      <c r="U84" t="s">
        <v>140</v>
      </c>
      <c r="V84" s="10">
        <v>426.72</v>
      </c>
      <c r="W84" s="10">
        <v>198.84</v>
      </c>
      <c r="X84" s="10">
        <v>210.7</v>
      </c>
      <c r="Y84" s="11">
        <v>0.4937664041994751</v>
      </c>
      <c r="Z84" s="6"/>
      <c r="AA84" t="s">
        <v>56</v>
      </c>
    </row>
    <row r="85" spans="1:27" x14ac:dyDescent="0.25">
      <c r="A85" t="s">
        <v>217</v>
      </c>
      <c r="B85">
        <v>180</v>
      </c>
      <c r="C85" s="9">
        <v>45779.398981481478</v>
      </c>
      <c r="D85" t="s">
        <v>123</v>
      </c>
      <c r="E85" t="s">
        <v>124</v>
      </c>
      <c r="F85" t="s">
        <v>45</v>
      </c>
      <c r="G85">
        <v>0</v>
      </c>
      <c r="H85" s="6">
        <v>2</v>
      </c>
      <c r="I85" s="10">
        <v>218.88</v>
      </c>
      <c r="J85" s="10">
        <v>339.9</v>
      </c>
      <c r="K85" t="s">
        <v>60</v>
      </c>
      <c r="L85" s="3">
        <v>0.2</v>
      </c>
      <c r="M85" t="s">
        <v>61</v>
      </c>
      <c r="N85" s="10">
        <v>21.96</v>
      </c>
      <c r="O85" t="s">
        <v>47</v>
      </c>
      <c r="P85" s="5">
        <v>45781</v>
      </c>
      <c r="Q85" s="5">
        <v>45791</v>
      </c>
      <c r="R85" s="5">
        <v>45783</v>
      </c>
      <c r="S85" t="s">
        <v>33</v>
      </c>
      <c r="T85" s="6">
        <v>4</v>
      </c>
      <c r="U85" t="s">
        <v>77</v>
      </c>
      <c r="V85" s="10">
        <v>543.84</v>
      </c>
      <c r="W85" s="10">
        <v>437.76</v>
      </c>
      <c r="X85" s="10">
        <v>84.120000000000033</v>
      </c>
      <c r="Y85" s="11">
        <v>0.15467784642541929</v>
      </c>
      <c r="Z85" s="6">
        <v>-8</v>
      </c>
      <c r="AA85" t="s">
        <v>35</v>
      </c>
    </row>
    <row r="86" spans="1:27" x14ac:dyDescent="0.25">
      <c r="A86" t="s">
        <v>218</v>
      </c>
      <c r="B86">
        <v>32</v>
      </c>
      <c r="C86" s="9">
        <v>45780.269745370373</v>
      </c>
      <c r="D86" t="s">
        <v>58</v>
      </c>
      <c r="E86" t="s">
        <v>59</v>
      </c>
      <c r="F86" t="s">
        <v>30</v>
      </c>
      <c r="G86">
        <v>4331</v>
      </c>
      <c r="H86" s="6">
        <v>3</v>
      </c>
      <c r="I86" s="10">
        <v>485.8</v>
      </c>
      <c r="J86" s="10">
        <v>779.13</v>
      </c>
      <c r="L86" s="3">
        <v>0</v>
      </c>
      <c r="M86" t="s">
        <v>76</v>
      </c>
      <c r="N86" s="10">
        <v>50.5</v>
      </c>
      <c r="O86" t="s">
        <v>47</v>
      </c>
      <c r="P86" s="5">
        <v>45781</v>
      </c>
      <c r="Q86" s="5">
        <v>45790</v>
      </c>
      <c r="R86" s="5">
        <v>45790</v>
      </c>
      <c r="S86" t="s">
        <v>33</v>
      </c>
      <c r="T86" s="6">
        <v>5</v>
      </c>
      <c r="U86" t="s">
        <v>117</v>
      </c>
      <c r="V86" s="10">
        <v>2337.39</v>
      </c>
      <c r="W86" s="10">
        <v>1457.4</v>
      </c>
      <c r="X86" s="10">
        <v>829.48999999999978</v>
      </c>
      <c r="Y86" s="11">
        <v>0.35487873226119732</v>
      </c>
      <c r="Z86" s="6">
        <v>0</v>
      </c>
      <c r="AA86" t="s">
        <v>35</v>
      </c>
    </row>
    <row r="87" spans="1:27" x14ac:dyDescent="0.25">
      <c r="A87" t="s">
        <v>219</v>
      </c>
      <c r="B87">
        <v>181</v>
      </c>
      <c r="C87" s="9">
        <v>45780.429444444453</v>
      </c>
      <c r="D87" t="s">
        <v>37</v>
      </c>
      <c r="E87" t="s">
        <v>38</v>
      </c>
      <c r="F87" t="s">
        <v>30</v>
      </c>
      <c r="G87">
        <v>2132</v>
      </c>
      <c r="H87" s="6">
        <v>3</v>
      </c>
      <c r="I87" s="10">
        <v>895.66</v>
      </c>
      <c r="J87" s="10">
        <v>1092.25</v>
      </c>
      <c r="L87" s="3">
        <v>0</v>
      </c>
      <c r="M87" t="s">
        <v>76</v>
      </c>
      <c r="N87" s="10">
        <v>92.94</v>
      </c>
      <c r="O87" t="s">
        <v>97</v>
      </c>
      <c r="P87" s="5">
        <v>45781</v>
      </c>
      <c r="Q87" s="5">
        <v>45787</v>
      </c>
      <c r="R87" s="5">
        <v>45791</v>
      </c>
      <c r="S87" t="s">
        <v>33</v>
      </c>
      <c r="T87" s="6">
        <v>1</v>
      </c>
      <c r="U87" t="s">
        <v>180</v>
      </c>
      <c r="V87" s="10">
        <v>3276.75</v>
      </c>
      <c r="W87" s="10">
        <v>2686.98</v>
      </c>
      <c r="X87" s="10">
        <v>496.83</v>
      </c>
      <c r="Y87" s="11">
        <v>0.1516227969787137</v>
      </c>
      <c r="Z87" s="6">
        <v>4</v>
      </c>
      <c r="AA87" t="s">
        <v>103</v>
      </c>
    </row>
    <row r="88" spans="1:27" x14ac:dyDescent="0.25">
      <c r="A88" t="s">
        <v>220</v>
      </c>
      <c r="B88">
        <v>31</v>
      </c>
      <c r="C88" s="9">
        <v>45780.644502314812</v>
      </c>
      <c r="D88" t="s">
        <v>164</v>
      </c>
      <c r="E88" t="s">
        <v>165</v>
      </c>
      <c r="F88" t="s">
        <v>116</v>
      </c>
      <c r="G88">
        <v>0</v>
      </c>
      <c r="H88" s="6">
        <v>3</v>
      </c>
      <c r="I88" s="10">
        <v>384.89</v>
      </c>
      <c r="J88" s="10">
        <v>592.37</v>
      </c>
      <c r="K88" t="s">
        <v>46</v>
      </c>
      <c r="L88" s="3">
        <v>0.1</v>
      </c>
      <c r="M88" t="s">
        <v>31</v>
      </c>
      <c r="N88" s="10">
        <v>22.03</v>
      </c>
      <c r="O88" t="s">
        <v>62</v>
      </c>
      <c r="P88" s="5">
        <v>45781</v>
      </c>
      <c r="Q88" s="5">
        <v>45788</v>
      </c>
      <c r="R88" s="5">
        <v>45783</v>
      </c>
      <c r="S88" t="s">
        <v>33</v>
      </c>
      <c r="T88" s="6">
        <v>4</v>
      </c>
      <c r="U88" t="s">
        <v>48</v>
      </c>
      <c r="V88" s="10">
        <v>1599.3989999999999</v>
      </c>
      <c r="W88" s="10">
        <v>1154.67</v>
      </c>
      <c r="X88" s="10">
        <v>422.69900000000013</v>
      </c>
      <c r="Y88" s="11">
        <v>0.26428614748414869</v>
      </c>
      <c r="Z88" s="6">
        <v>-5</v>
      </c>
      <c r="AA88" t="s">
        <v>35</v>
      </c>
    </row>
    <row r="89" spans="1:27" x14ac:dyDescent="0.25">
      <c r="A89" t="s">
        <v>221</v>
      </c>
      <c r="B89">
        <v>185</v>
      </c>
      <c r="C89" s="9">
        <v>45780.755208333343</v>
      </c>
      <c r="D89" t="s">
        <v>92</v>
      </c>
      <c r="E89" t="s">
        <v>93</v>
      </c>
      <c r="F89" t="s">
        <v>52</v>
      </c>
      <c r="G89">
        <v>230</v>
      </c>
      <c r="H89" s="6">
        <v>3</v>
      </c>
      <c r="I89" s="10">
        <v>46.36</v>
      </c>
      <c r="J89" s="10">
        <v>79.84</v>
      </c>
      <c r="L89" s="3">
        <v>0</v>
      </c>
      <c r="M89" t="s">
        <v>61</v>
      </c>
      <c r="N89" s="10">
        <v>29.98</v>
      </c>
      <c r="O89" t="s">
        <v>99</v>
      </c>
      <c r="P89" s="5">
        <v>45781</v>
      </c>
      <c r="Q89" s="5">
        <v>45790</v>
      </c>
      <c r="R89" s="5">
        <v>45789</v>
      </c>
      <c r="S89" t="s">
        <v>33</v>
      </c>
      <c r="T89" s="6">
        <v>5</v>
      </c>
      <c r="U89" t="s">
        <v>79</v>
      </c>
      <c r="V89" s="10">
        <v>239.52</v>
      </c>
      <c r="W89" s="10">
        <v>139.08000000000001</v>
      </c>
      <c r="X89" s="10">
        <v>70.460000000000022</v>
      </c>
      <c r="Y89" s="11">
        <v>0.29417167668670691</v>
      </c>
      <c r="Z89" s="6">
        <v>-1</v>
      </c>
      <c r="AA89" t="s">
        <v>35</v>
      </c>
    </row>
    <row r="90" spans="1:27" x14ac:dyDescent="0.25">
      <c r="A90" t="s">
        <v>222</v>
      </c>
      <c r="B90">
        <v>48</v>
      </c>
      <c r="C90" s="9">
        <v>45780.995509259257</v>
      </c>
      <c r="D90" t="s">
        <v>198</v>
      </c>
      <c r="E90" t="s">
        <v>199</v>
      </c>
      <c r="F90" t="s">
        <v>116</v>
      </c>
      <c r="G90">
        <v>0</v>
      </c>
      <c r="H90" s="6">
        <v>2</v>
      </c>
      <c r="I90" s="10">
        <v>472.37</v>
      </c>
      <c r="J90" s="10">
        <v>606.87</v>
      </c>
      <c r="K90" t="s">
        <v>60</v>
      </c>
      <c r="L90" s="3">
        <v>0.2</v>
      </c>
      <c r="M90" t="s">
        <v>61</v>
      </c>
      <c r="N90" s="10">
        <v>25.58</v>
      </c>
      <c r="O90" t="s">
        <v>62</v>
      </c>
      <c r="P90" s="5">
        <v>45781</v>
      </c>
      <c r="Q90" s="5">
        <v>45787</v>
      </c>
      <c r="R90" s="5">
        <v>45785</v>
      </c>
      <c r="S90" t="s">
        <v>33</v>
      </c>
      <c r="T90" s="6">
        <v>5</v>
      </c>
      <c r="U90" t="s">
        <v>34</v>
      </c>
      <c r="V90" s="10">
        <v>970.99200000000008</v>
      </c>
      <c r="W90" s="10">
        <v>944.74</v>
      </c>
      <c r="X90" s="10">
        <v>0.6720000000000681</v>
      </c>
      <c r="Y90" s="11">
        <v>6.920757328588372E-4</v>
      </c>
      <c r="Z90" s="6">
        <v>-2</v>
      </c>
      <c r="AA90" t="s">
        <v>35</v>
      </c>
    </row>
    <row r="91" spans="1:27" x14ac:dyDescent="0.25">
      <c r="A91" t="s">
        <v>223</v>
      </c>
      <c r="B91">
        <v>118</v>
      </c>
      <c r="C91" s="9">
        <v>45781.817569444444</v>
      </c>
      <c r="D91" t="s">
        <v>137</v>
      </c>
      <c r="E91" t="s">
        <v>138</v>
      </c>
      <c r="F91" t="s">
        <v>52</v>
      </c>
      <c r="G91">
        <v>444</v>
      </c>
      <c r="H91" s="6">
        <v>2</v>
      </c>
      <c r="I91" s="10">
        <v>65.64</v>
      </c>
      <c r="J91" s="10">
        <v>189.77</v>
      </c>
      <c r="L91" s="3">
        <v>0</v>
      </c>
      <c r="M91" t="s">
        <v>39</v>
      </c>
      <c r="N91" s="10">
        <v>53.9</v>
      </c>
      <c r="O91" t="s">
        <v>40</v>
      </c>
      <c r="P91" s="5">
        <v>45783</v>
      </c>
      <c r="Q91" s="5">
        <v>45789</v>
      </c>
      <c r="R91" s="5">
        <v>45788</v>
      </c>
      <c r="S91" t="s">
        <v>33</v>
      </c>
      <c r="T91" s="6">
        <v>4</v>
      </c>
      <c r="U91" t="s">
        <v>117</v>
      </c>
      <c r="V91" s="10">
        <v>379.54</v>
      </c>
      <c r="W91" s="10">
        <v>131.28</v>
      </c>
      <c r="X91" s="10">
        <v>194.36</v>
      </c>
      <c r="Y91" s="11">
        <v>0.512093586973705</v>
      </c>
      <c r="Z91" s="6">
        <v>-1</v>
      </c>
      <c r="AA91" t="s">
        <v>35</v>
      </c>
    </row>
    <row r="92" spans="1:27" x14ac:dyDescent="0.25">
      <c r="A92" t="s">
        <v>224</v>
      </c>
      <c r="B92">
        <v>90</v>
      </c>
      <c r="C92" s="9">
        <v>45782.23978009259</v>
      </c>
      <c r="D92" t="s">
        <v>164</v>
      </c>
      <c r="E92" t="s">
        <v>165</v>
      </c>
      <c r="F92" t="s">
        <v>116</v>
      </c>
      <c r="G92">
        <v>0</v>
      </c>
      <c r="H92" s="6">
        <v>2</v>
      </c>
      <c r="I92" s="10">
        <v>444.43</v>
      </c>
      <c r="J92" s="10">
        <v>719.86</v>
      </c>
      <c r="L92" s="3">
        <v>0</v>
      </c>
      <c r="M92" t="s">
        <v>76</v>
      </c>
      <c r="N92" s="10">
        <v>23.88</v>
      </c>
      <c r="O92" t="s">
        <v>47</v>
      </c>
      <c r="P92" s="5">
        <v>45783</v>
      </c>
      <c r="Q92" s="5">
        <v>45792</v>
      </c>
      <c r="R92" s="5">
        <v>45797</v>
      </c>
      <c r="S92" t="s">
        <v>33</v>
      </c>
      <c r="T92" s="6">
        <v>3</v>
      </c>
      <c r="U92" t="s">
        <v>55</v>
      </c>
      <c r="V92" s="10">
        <v>1439.72</v>
      </c>
      <c r="W92" s="10">
        <v>888.86</v>
      </c>
      <c r="X92" s="10">
        <v>526.98</v>
      </c>
      <c r="Y92" s="11">
        <v>0.3660295057372267</v>
      </c>
      <c r="Z92" s="6">
        <v>5</v>
      </c>
      <c r="AA92" t="s">
        <v>103</v>
      </c>
    </row>
    <row r="93" spans="1:27" x14ac:dyDescent="0.25">
      <c r="A93" t="s">
        <v>225</v>
      </c>
      <c r="B93">
        <v>67</v>
      </c>
      <c r="C93" s="9">
        <v>45782.826550925929</v>
      </c>
      <c r="D93" t="s">
        <v>110</v>
      </c>
      <c r="E93" t="s">
        <v>111</v>
      </c>
      <c r="F93" t="s">
        <v>30</v>
      </c>
      <c r="G93">
        <v>2111</v>
      </c>
      <c r="H93" s="6">
        <v>2</v>
      </c>
      <c r="I93" s="10">
        <v>1438.72</v>
      </c>
      <c r="J93" s="10">
        <v>1957.07</v>
      </c>
      <c r="K93" t="s">
        <v>60</v>
      </c>
      <c r="L93" s="3">
        <v>0.2</v>
      </c>
      <c r="M93" t="s">
        <v>76</v>
      </c>
      <c r="N93" s="10">
        <v>66.84</v>
      </c>
      <c r="O93" t="s">
        <v>157</v>
      </c>
      <c r="P93" s="5">
        <v>45783</v>
      </c>
      <c r="Q93" s="5">
        <v>45790</v>
      </c>
      <c r="R93" s="5">
        <v>45787</v>
      </c>
      <c r="S93" t="s">
        <v>33</v>
      </c>
      <c r="T93" s="6">
        <v>5</v>
      </c>
      <c r="U93" t="s">
        <v>41</v>
      </c>
      <c r="V93" s="10">
        <v>3131.3119999999999</v>
      </c>
      <c r="W93" s="10">
        <v>2877.44</v>
      </c>
      <c r="X93" s="10">
        <v>187.03199999999981</v>
      </c>
      <c r="Y93" s="11">
        <v>5.9729595773273261E-2</v>
      </c>
      <c r="Z93" s="6">
        <v>-3</v>
      </c>
      <c r="AA93" t="s">
        <v>35</v>
      </c>
    </row>
    <row r="94" spans="1:27" x14ac:dyDescent="0.25">
      <c r="A94" t="s">
        <v>226</v>
      </c>
      <c r="B94">
        <v>25</v>
      </c>
      <c r="C94" s="9">
        <v>45783.22215277778</v>
      </c>
      <c r="D94" t="s">
        <v>95</v>
      </c>
      <c r="E94" t="s">
        <v>96</v>
      </c>
      <c r="F94" t="s">
        <v>52</v>
      </c>
      <c r="G94">
        <v>519</v>
      </c>
      <c r="H94" s="6">
        <v>2</v>
      </c>
      <c r="I94" s="10">
        <v>47.07</v>
      </c>
      <c r="J94" s="10">
        <v>58.55</v>
      </c>
      <c r="L94" s="3">
        <v>0</v>
      </c>
      <c r="M94" t="s">
        <v>76</v>
      </c>
      <c r="N94" s="10">
        <v>49.29</v>
      </c>
      <c r="O94" t="s">
        <v>62</v>
      </c>
      <c r="P94" s="5">
        <v>45785</v>
      </c>
      <c r="Q94" s="5">
        <v>45793</v>
      </c>
      <c r="S94" t="s">
        <v>63</v>
      </c>
      <c r="T94" s="6">
        <v>1</v>
      </c>
      <c r="U94" t="s">
        <v>185</v>
      </c>
      <c r="V94" s="10">
        <v>117.1</v>
      </c>
      <c r="W94" s="10">
        <v>94.14</v>
      </c>
      <c r="X94" s="10">
        <v>-26.330000000000009</v>
      </c>
      <c r="Y94" s="11">
        <v>-0.22485055508112731</v>
      </c>
      <c r="Z94" s="6"/>
      <c r="AA94" t="s">
        <v>56</v>
      </c>
    </row>
    <row r="95" spans="1:27" x14ac:dyDescent="0.25">
      <c r="A95" t="s">
        <v>227</v>
      </c>
      <c r="B95">
        <v>79</v>
      </c>
      <c r="C95" s="9">
        <v>45783.62222222222</v>
      </c>
      <c r="D95" t="s">
        <v>50</v>
      </c>
      <c r="E95" t="s">
        <v>51</v>
      </c>
      <c r="F95" t="s">
        <v>52</v>
      </c>
      <c r="G95">
        <v>762</v>
      </c>
      <c r="H95" s="6">
        <v>2</v>
      </c>
      <c r="I95" s="10">
        <v>120.39</v>
      </c>
      <c r="J95" s="10">
        <v>300.2</v>
      </c>
      <c r="L95" s="3">
        <v>0</v>
      </c>
      <c r="M95" t="s">
        <v>31</v>
      </c>
      <c r="N95" s="10">
        <v>53.71</v>
      </c>
      <c r="O95" t="s">
        <v>101</v>
      </c>
      <c r="P95" s="5">
        <v>45784</v>
      </c>
      <c r="Q95" s="5">
        <v>45794</v>
      </c>
      <c r="R95" s="5">
        <v>45793</v>
      </c>
      <c r="S95" t="s">
        <v>33</v>
      </c>
      <c r="T95" s="6">
        <v>5</v>
      </c>
      <c r="U95" t="s">
        <v>127</v>
      </c>
      <c r="V95" s="10">
        <v>600.4</v>
      </c>
      <c r="W95" s="10">
        <v>240.78</v>
      </c>
      <c r="X95" s="10">
        <v>305.91000000000003</v>
      </c>
      <c r="Y95" s="11">
        <v>0.50951032644903405</v>
      </c>
      <c r="Z95" s="6">
        <v>-1</v>
      </c>
      <c r="AA95" t="s">
        <v>35</v>
      </c>
    </row>
    <row r="96" spans="1:27" x14ac:dyDescent="0.25">
      <c r="A96" t="s">
        <v>228</v>
      </c>
      <c r="B96">
        <v>8</v>
      </c>
      <c r="C96" s="9">
        <v>45783.748402777783</v>
      </c>
      <c r="D96" t="s">
        <v>43</v>
      </c>
      <c r="E96" t="s">
        <v>44</v>
      </c>
      <c r="F96" t="s">
        <v>45</v>
      </c>
      <c r="G96">
        <v>0</v>
      </c>
      <c r="H96" s="6">
        <v>1</v>
      </c>
      <c r="I96" s="10">
        <v>32.07</v>
      </c>
      <c r="J96" s="10">
        <v>119.62</v>
      </c>
      <c r="L96" s="3">
        <v>0</v>
      </c>
      <c r="M96" t="s">
        <v>61</v>
      </c>
      <c r="N96" s="10">
        <v>22.63</v>
      </c>
      <c r="O96" t="s">
        <v>62</v>
      </c>
      <c r="P96" s="5">
        <v>45785</v>
      </c>
      <c r="Q96" s="5">
        <v>45795</v>
      </c>
      <c r="R96" s="5">
        <v>45793</v>
      </c>
      <c r="S96" t="s">
        <v>33</v>
      </c>
      <c r="T96" s="6">
        <v>5</v>
      </c>
      <c r="U96" t="s">
        <v>79</v>
      </c>
      <c r="V96" s="10">
        <v>119.62</v>
      </c>
      <c r="W96" s="10">
        <v>32.07</v>
      </c>
      <c r="X96" s="10">
        <v>64.920000000000016</v>
      </c>
      <c r="Y96" s="11">
        <v>0.54271860892827295</v>
      </c>
      <c r="Z96" s="6">
        <v>-2</v>
      </c>
      <c r="AA96" t="s">
        <v>35</v>
      </c>
    </row>
    <row r="97" spans="1:27" x14ac:dyDescent="0.25">
      <c r="A97" t="s">
        <v>229</v>
      </c>
      <c r="B97">
        <v>26</v>
      </c>
      <c r="C97" s="9">
        <v>45783.753460648149</v>
      </c>
      <c r="D97" t="s">
        <v>66</v>
      </c>
      <c r="E97" t="s">
        <v>67</v>
      </c>
      <c r="F97" t="s">
        <v>52</v>
      </c>
      <c r="G97">
        <v>258</v>
      </c>
      <c r="H97" s="6">
        <v>1</v>
      </c>
      <c r="I97" s="10">
        <v>27.38</v>
      </c>
      <c r="J97" s="10">
        <v>60.24</v>
      </c>
      <c r="L97" s="3">
        <v>0</v>
      </c>
      <c r="M97" t="s">
        <v>76</v>
      </c>
      <c r="N97" s="10">
        <v>42.88</v>
      </c>
      <c r="O97" t="s">
        <v>101</v>
      </c>
      <c r="P97" s="5">
        <v>45785</v>
      </c>
      <c r="Q97" s="5">
        <v>45792</v>
      </c>
      <c r="S97" t="s">
        <v>63</v>
      </c>
      <c r="T97" s="6">
        <v>3</v>
      </c>
      <c r="U97" t="s">
        <v>230</v>
      </c>
      <c r="V97" s="10">
        <v>60.24</v>
      </c>
      <c r="W97" s="10">
        <v>27.38</v>
      </c>
      <c r="X97" s="10">
        <v>-10.02</v>
      </c>
      <c r="Y97" s="11">
        <v>-0.16633466135458169</v>
      </c>
      <c r="Z97" s="6"/>
      <c r="AA97" t="s">
        <v>56</v>
      </c>
    </row>
    <row r="98" spans="1:27" x14ac:dyDescent="0.25">
      <c r="A98" t="s">
        <v>231</v>
      </c>
      <c r="B98">
        <v>2</v>
      </c>
      <c r="C98" s="9">
        <v>45784.411863425928</v>
      </c>
      <c r="D98" t="s">
        <v>89</v>
      </c>
      <c r="E98" t="s">
        <v>90</v>
      </c>
      <c r="F98" t="s">
        <v>52</v>
      </c>
      <c r="G98">
        <v>200</v>
      </c>
      <c r="H98" s="6">
        <v>3</v>
      </c>
      <c r="I98" s="10">
        <v>81.37</v>
      </c>
      <c r="J98" s="10">
        <v>208.93</v>
      </c>
      <c r="K98" t="s">
        <v>46</v>
      </c>
      <c r="L98" s="3">
        <v>0.1</v>
      </c>
      <c r="M98" t="s">
        <v>39</v>
      </c>
      <c r="N98" s="10">
        <v>48.53</v>
      </c>
      <c r="O98" t="s">
        <v>62</v>
      </c>
      <c r="P98" s="5">
        <v>45786</v>
      </c>
      <c r="Q98" s="5">
        <v>45794</v>
      </c>
      <c r="S98" t="s">
        <v>161</v>
      </c>
      <c r="T98" s="6">
        <v>1</v>
      </c>
      <c r="U98" t="s">
        <v>129</v>
      </c>
      <c r="V98" s="10">
        <v>564.11099999999999</v>
      </c>
      <c r="W98" s="10">
        <v>244.11</v>
      </c>
      <c r="X98" s="10">
        <v>271.471</v>
      </c>
      <c r="Y98" s="11">
        <v>0.48123684877621598</v>
      </c>
      <c r="Z98" s="6"/>
      <c r="AA98" t="s">
        <v>56</v>
      </c>
    </row>
    <row r="99" spans="1:27" x14ac:dyDescent="0.25">
      <c r="A99" t="s">
        <v>232</v>
      </c>
      <c r="B99">
        <v>78</v>
      </c>
      <c r="C99" s="9">
        <v>45784.587812500002</v>
      </c>
      <c r="D99" t="s">
        <v>137</v>
      </c>
      <c r="E99" t="s">
        <v>138</v>
      </c>
      <c r="F99" t="s">
        <v>52</v>
      </c>
      <c r="G99">
        <v>338</v>
      </c>
      <c r="H99" s="6">
        <v>2</v>
      </c>
      <c r="I99" s="10">
        <v>78.37</v>
      </c>
      <c r="J99" s="10">
        <v>191.65</v>
      </c>
      <c r="L99" s="3">
        <v>0</v>
      </c>
      <c r="M99" t="s">
        <v>39</v>
      </c>
      <c r="N99" s="10">
        <v>42.59</v>
      </c>
      <c r="O99" t="s">
        <v>83</v>
      </c>
      <c r="P99" s="5">
        <v>45786</v>
      </c>
      <c r="Q99" s="5">
        <v>45793</v>
      </c>
      <c r="R99" s="5">
        <v>45798</v>
      </c>
      <c r="S99" t="s">
        <v>33</v>
      </c>
      <c r="T99" s="6">
        <v>1</v>
      </c>
      <c r="U99" t="s">
        <v>168</v>
      </c>
      <c r="V99" s="10">
        <v>383.3</v>
      </c>
      <c r="W99" s="10">
        <v>156.74</v>
      </c>
      <c r="X99" s="10">
        <v>183.97</v>
      </c>
      <c r="Y99" s="11">
        <v>0.47996347508478998</v>
      </c>
      <c r="Z99" s="6">
        <v>5</v>
      </c>
      <c r="AA99" t="s">
        <v>103</v>
      </c>
    </row>
    <row r="100" spans="1:27" x14ac:dyDescent="0.25">
      <c r="A100" t="s">
        <v>233</v>
      </c>
      <c r="B100">
        <v>165</v>
      </c>
      <c r="C100" s="9">
        <v>45784.889097222222</v>
      </c>
      <c r="D100" t="s">
        <v>71</v>
      </c>
      <c r="E100" t="s">
        <v>72</v>
      </c>
      <c r="F100" t="s">
        <v>52</v>
      </c>
      <c r="G100">
        <v>202</v>
      </c>
      <c r="H100" s="6">
        <v>2</v>
      </c>
      <c r="I100" s="10">
        <v>32.15</v>
      </c>
      <c r="J100" s="10">
        <v>140.16999999999999</v>
      </c>
      <c r="L100" s="3">
        <v>0</v>
      </c>
      <c r="M100" t="s">
        <v>61</v>
      </c>
      <c r="N100" s="10">
        <v>27.01</v>
      </c>
      <c r="O100" t="s">
        <v>62</v>
      </c>
      <c r="P100" s="5">
        <v>45785</v>
      </c>
      <c r="Q100" s="5">
        <v>45791</v>
      </c>
      <c r="R100" s="5">
        <v>45789</v>
      </c>
      <c r="S100" t="s">
        <v>33</v>
      </c>
      <c r="T100" s="6">
        <v>4</v>
      </c>
      <c r="U100" t="s">
        <v>34</v>
      </c>
      <c r="V100" s="10">
        <v>280.33999999999997</v>
      </c>
      <c r="W100" s="10">
        <v>64.3</v>
      </c>
      <c r="X100" s="10">
        <v>189.03</v>
      </c>
      <c r="Y100" s="11">
        <v>0.67428836412927151</v>
      </c>
      <c r="Z100" s="6">
        <v>-2</v>
      </c>
      <c r="AA100" t="s">
        <v>35</v>
      </c>
    </row>
    <row r="101" spans="1:27" x14ac:dyDescent="0.25">
      <c r="A101" t="s">
        <v>234</v>
      </c>
      <c r="B101">
        <v>13</v>
      </c>
      <c r="C101" s="9">
        <v>45785.157013888893</v>
      </c>
      <c r="D101" t="s">
        <v>43</v>
      </c>
      <c r="E101" t="s">
        <v>44</v>
      </c>
      <c r="F101" t="s">
        <v>45</v>
      </c>
      <c r="G101">
        <v>0</v>
      </c>
      <c r="H101" s="6">
        <v>3</v>
      </c>
      <c r="I101" s="10">
        <v>30.24</v>
      </c>
      <c r="J101" s="10">
        <v>59.5</v>
      </c>
      <c r="L101" s="3">
        <v>0</v>
      </c>
      <c r="M101" t="s">
        <v>31</v>
      </c>
      <c r="N101" s="10">
        <v>21.4</v>
      </c>
      <c r="O101" t="s">
        <v>40</v>
      </c>
      <c r="P101" s="5">
        <v>45787</v>
      </c>
      <c r="Q101" s="5">
        <v>45792</v>
      </c>
      <c r="R101" s="5">
        <v>45790</v>
      </c>
      <c r="S101" t="s">
        <v>33</v>
      </c>
      <c r="T101" s="6">
        <v>4</v>
      </c>
      <c r="U101" t="s">
        <v>166</v>
      </c>
      <c r="V101" s="10">
        <v>178.5</v>
      </c>
      <c r="W101" s="10">
        <v>90.72</v>
      </c>
      <c r="X101" s="10">
        <v>66.38</v>
      </c>
      <c r="Y101" s="11">
        <v>0.37187675070028009</v>
      </c>
      <c r="Z101" s="6">
        <v>-2</v>
      </c>
      <c r="AA101" t="s">
        <v>35</v>
      </c>
    </row>
    <row r="102" spans="1:27" x14ac:dyDescent="0.25">
      <c r="A102" t="s">
        <v>235</v>
      </c>
      <c r="B102">
        <v>145</v>
      </c>
      <c r="C102" s="9">
        <v>45785.272152777783</v>
      </c>
      <c r="D102" t="s">
        <v>92</v>
      </c>
      <c r="E102" t="s">
        <v>93</v>
      </c>
      <c r="F102" t="s">
        <v>52</v>
      </c>
      <c r="G102">
        <v>291</v>
      </c>
      <c r="H102" s="6">
        <v>3</v>
      </c>
      <c r="I102" s="10">
        <v>29.51</v>
      </c>
      <c r="J102" s="10">
        <v>55.78</v>
      </c>
      <c r="K102" t="s">
        <v>46</v>
      </c>
      <c r="L102" s="3">
        <v>0.1</v>
      </c>
      <c r="M102" t="s">
        <v>61</v>
      </c>
      <c r="N102" s="10">
        <v>33.979999999999997</v>
      </c>
      <c r="O102" t="s">
        <v>126</v>
      </c>
      <c r="P102" s="5">
        <v>45786</v>
      </c>
      <c r="Q102" s="5">
        <v>45796</v>
      </c>
      <c r="R102" s="5">
        <v>45797</v>
      </c>
      <c r="S102" t="s">
        <v>33</v>
      </c>
      <c r="T102" s="6">
        <v>3</v>
      </c>
      <c r="U102" t="s">
        <v>230</v>
      </c>
      <c r="V102" s="10">
        <v>150.60599999999999</v>
      </c>
      <c r="W102" s="10">
        <v>88.53</v>
      </c>
      <c r="X102" s="10">
        <v>28.096</v>
      </c>
      <c r="Y102" s="11">
        <v>0.18655299257665689</v>
      </c>
      <c r="Z102" s="6">
        <v>1</v>
      </c>
      <c r="AA102" t="s">
        <v>103</v>
      </c>
    </row>
    <row r="103" spans="1:27" x14ac:dyDescent="0.25">
      <c r="A103" t="s">
        <v>236</v>
      </c>
      <c r="B103">
        <v>80</v>
      </c>
      <c r="C103" s="9">
        <v>45785.527002314811</v>
      </c>
      <c r="D103" t="s">
        <v>148</v>
      </c>
      <c r="E103" t="s">
        <v>149</v>
      </c>
      <c r="F103" t="s">
        <v>30</v>
      </c>
      <c r="G103">
        <v>3092</v>
      </c>
      <c r="H103" s="6">
        <v>2</v>
      </c>
      <c r="I103" s="10">
        <v>420.73</v>
      </c>
      <c r="J103" s="10">
        <v>627.35</v>
      </c>
      <c r="K103" t="s">
        <v>60</v>
      </c>
      <c r="L103" s="3">
        <v>0.2</v>
      </c>
      <c r="M103" t="s">
        <v>31</v>
      </c>
      <c r="N103" s="10">
        <v>130.26</v>
      </c>
      <c r="O103" t="s">
        <v>62</v>
      </c>
      <c r="P103" s="5">
        <v>45786</v>
      </c>
      <c r="Q103" s="5">
        <v>45793</v>
      </c>
      <c r="R103" s="5">
        <v>45788</v>
      </c>
      <c r="S103" t="s">
        <v>33</v>
      </c>
      <c r="T103" s="6">
        <v>4</v>
      </c>
      <c r="U103" t="s">
        <v>34</v>
      </c>
      <c r="V103" s="10">
        <v>1003.76</v>
      </c>
      <c r="W103" s="10">
        <v>841.46</v>
      </c>
      <c r="X103" s="10">
        <v>32.040000000000077</v>
      </c>
      <c r="Y103" s="11">
        <v>3.1919980871921647E-2</v>
      </c>
      <c r="Z103" s="6">
        <v>-5</v>
      </c>
      <c r="AA103" t="s">
        <v>35</v>
      </c>
    </row>
    <row r="104" spans="1:27" x14ac:dyDescent="0.25">
      <c r="A104" t="s">
        <v>237</v>
      </c>
      <c r="B104">
        <v>15</v>
      </c>
      <c r="C104" s="9">
        <v>45785.834270833337</v>
      </c>
      <c r="D104" t="s">
        <v>110</v>
      </c>
      <c r="E104" t="s">
        <v>111</v>
      </c>
      <c r="F104" t="s">
        <v>30</v>
      </c>
      <c r="G104">
        <v>2166</v>
      </c>
      <c r="H104" s="6">
        <v>3</v>
      </c>
      <c r="I104" s="10">
        <v>927.86</v>
      </c>
      <c r="J104" s="10">
        <v>1741.95</v>
      </c>
      <c r="L104" s="3">
        <v>0</v>
      </c>
      <c r="M104" t="s">
        <v>61</v>
      </c>
      <c r="N104" s="10">
        <v>71.53</v>
      </c>
      <c r="O104" t="s">
        <v>47</v>
      </c>
      <c r="P104" s="5">
        <v>45786</v>
      </c>
      <c r="Q104" s="5">
        <v>45793</v>
      </c>
      <c r="S104" t="s">
        <v>54</v>
      </c>
      <c r="T104" s="6">
        <v>3</v>
      </c>
      <c r="U104" t="s">
        <v>238</v>
      </c>
      <c r="V104" s="10">
        <v>5225.8500000000004</v>
      </c>
      <c r="W104" s="10">
        <v>2783.58</v>
      </c>
      <c r="X104" s="10">
        <v>2370.7399999999998</v>
      </c>
      <c r="Y104" s="11">
        <v>0.45365634298726532</v>
      </c>
      <c r="Z104" s="6"/>
      <c r="AA104" t="s">
        <v>56</v>
      </c>
    </row>
    <row r="105" spans="1:27" x14ac:dyDescent="0.25">
      <c r="A105" t="s">
        <v>239</v>
      </c>
      <c r="B105">
        <v>56</v>
      </c>
      <c r="C105" s="9">
        <v>45785.911817129629</v>
      </c>
      <c r="D105" t="s">
        <v>164</v>
      </c>
      <c r="E105" t="s">
        <v>165</v>
      </c>
      <c r="F105" t="s">
        <v>116</v>
      </c>
      <c r="G105">
        <v>0</v>
      </c>
      <c r="H105" s="6">
        <v>3</v>
      </c>
      <c r="I105" s="10">
        <v>234.8</v>
      </c>
      <c r="J105" s="10">
        <v>713.42</v>
      </c>
      <c r="L105" s="3">
        <v>0</v>
      </c>
      <c r="M105" t="s">
        <v>39</v>
      </c>
      <c r="N105" s="10">
        <v>29.68</v>
      </c>
      <c r="O105" t="s">
        <v>40</v>
      </c>
      <c r="P105" s="5">
        <v>45786</v>
      </c>
      <c r="Q105" s="5">
        <v>45791</v>
      </c>
      <c r="R105" s="5">
        <v>45790</v>
      </c>
      <c r="S105" t="s">
        <v>33</v>
      </c>
      <c r="T105" s="6">
        <v>5</v>
      </c>
      <c r="U105" t="s">
        <v>77</v>
      </c>
      <c r="V105" s="10">
        <v>2140.2600000000002</v>
      </c>
      <c r="W105" s="10">
        <v>704.40000000000009</v>
      </c>
      <c r="X105" s="10">
        <v>1406.18</v>
      </c>
      <c r="Y105" s="11">
        <v>0.65701363385756861</v>
      </c>
      <c r="Z105" s="6">
        <v>-1</v>
      </c>
      <c r="AA105" t="s">
        <v>35</v>
      </c>
    </row>
    <row r="106" spans="1:27" x14ac:dyDescent="0.25">
      <c r="A106" t="s">
        <v>240</v>
      </c>
      <c r="B106">
        <v>200</v>
      </c>
      <c r="C106" s="9">
        <v>45785.983275462961</v>
      </c>
      <c r="D106" t="s">
        <v>105</v>
      </c>
      <c r="E106" t="s">
        <v>106</v>
      </c>
      <c r="F106" t="s">
        <v>30</v>
      </c>
      <c r="G106">
        <v>2079</v>
      </c>
      <c r="H106" s="6">
        <v>3</v>
      </c>
      <c r="I106" s="10">
        <v>370.55</v>
      </c>
      <c r="J106" s="10">
        <v>653.96</v>
      </c>
      <c r="K106" t="s">
        <v>46</v>
      </c>
      <c r="L106" s="3">
        <v>0.1</v>
      </c>
      <c r="M106" t="s">
        <v>61</v>
      </c>
      <c r="N106" s="10">
        <v>52.37</v>
      </c>
      <c r="O106" t="s">
        <v>97</v>
      </c>
      <c r="P106" s="5">
        <v>45787</v>
      </c>
      <c r="Q106" s="5">
        <v>45796</v>
      </c>
      <c r="R106" s="5">
        <v>45801</v>
      </c>
      <c r="S106" t="s">
        <v>33</v>
      </c>
      <c r="T106" s="6">
        <v>2</v>
      </c>
      <c r="U106" t="s">
        <v>108</v>
      </c>
      <c r="V106" s="10">
        <v>1765.692</v>
      </c>
      <c r="W106" s="10">
        <v>1111.6500000000001</v>
      </c>
      <c r="X106" s="10">
        <v>601.67200000000014</v>
      </c>
      <c r="Y106" s="11">
        <v>0.34075705162621789</v>
      </c>
      <c r="Z106" s="6">
        <v>5</v>
      </c>
      <c r="AA106" t="s">
        <v>103</v>
      </c>
    </row>
    <row r="107" spans="1:27" x14ac:dyDescent="0.25">
      <c r="A107" t="s">
        <v>241</v>
      </c>
      <c r="B107">
        <v>26</v>
      </c>
      <c r="C107" s="9">
        <v>45786.003506944442</v>
      </c>
      <c r="D107" t="s">
        <v>155</v>
      </c>
      <c r="E107" t="s">
        <v>156</v>
      </c>
      <c r="F107" t="s">
        <v>30</v>
      </c>
      <c r="G107">
        <v>4135</v>
      </c>
      <c r="H107" s="6">
        <v>2</v>
      </c>
      <c r="I107" s="10">
        <v>1095.01</v>
      </c>
      <c r="J107" s="10">
        <v>1315.82</v>
      </c>
      <c r="K107" t="s">
        <v>46</v>
      </c>
      <c r="L107" s="3">
        <v>0.1</v>
      </c>
      <c r="M107" t="s">
        <v>39</v>
      </c>
      <c r="N107" s="10">
        <v>127.01</v>
      </c>
      <c r="O107" t="s">
        <v>126</v>
      </c>
      <c r="P107" s="5">
        <v>45787</v>
      </c>
      <c r="Q107" s="5">
        <v>45795</v>
      </c>
      <c r="R107" s="5">
        <v>45799</v>
      </c>
      <c r="S107" t="s">
        <v>33</v>
      </c>
      <c r="T107" s="6">
        <v>2</v>
      </c>
      <c r="U107" t="s">
        <v>131</v>
      </c>
      <c r="V107" s="10">
        <v>2368.4760000000001</v>
      </c>
      <c r="W107" s="10">
        <v>2190.02</v>
      </c>
      <c r="X107" s="10">
        <v>51.446000000000133</v>
      </c>
      <c r="Y107" s="11">
        <v>2.172114051398457E-2</v>
      </c>
      <c r="Z107" s="6">
        <v>4</v>
      </c>
      <c r="AA107" t="s">
        <v>103</v>
      </c>
    </row>
    <row r="108" spans="1:27" x14ac:dyDescent="0.25">
      <c r="A108" t="s">
        <v>242</v>
      </c>
      <c r="B108">
        <v>173</v>
      </c>
      <c r="C108" s="9">
        <v>45786.547002314823</v>
      </c>
      <c r="D108" t="s">
        <v>95</v>
      </c>
      <c r="E108" t="s">
        <v>96</v>
      </c>
      <c r="F108" t="s">
        <v>52</v>
      </c>
      <c r="G108">
        <v>310</v>
      </c>
      <c r="H108" s="6">
        <v>1</v>
      </c>
      <c r="I108" s="10">
        <v>33.770000000000003</v>
      </c>
      <c r="J108" s="10">
        <v>47.17</v>
      </c>
      <c r="K108" t="s">
        <v>46</v>
      </c>
      <c r="L108" s="3">
        <v>0.1</v>
      </c>
      <c r="M108" t="s">
        <v>39</v>
      </c>
      <c r="N108" s="10">
        <v>50.56</v>
      </c>
      <c r="O108" t="s">
        <v>40</v>
      </c>
      <c r="P108" s="5">
        <v>45787</v>
      </c>
      <c r="Q108" s="5">
        <v>45793</v>
      </c>
      <c r="S108" t="s">
        <v>161</v>
      </c>
      <c r="T108" s="6">
        <v>3</v>
      </c>
      <c r="U108" t="s">
        <v>243</v>
      </c>
      <c r="V108" s="10">
        <v>42.453000000000003</v>
      </c>
      <c r="W108" s="10">
        <v>33.770000000000003</v>
      </c>
      <c r="X108" s="10">
        <v>-41.877000000000002</v>
      </c>
      <c r="Y108" s="11">
        <v>-0.98643205427178293</v>
      </c>
      <c r="Z108" s="6"/>
      <c r="AA108" t="s">
        <v>56</v>
      </c>
    </row>
    <row r="109" spans="1:27" x14ac:dyDescent="0.25">
      <c r="A109" t="s">
        <v>244</v>
      </c>
      <c r="B109">
        <v>88</v>
      </c>
      <c r="C109" s="9">
        <v>45786.55878472222</v>
      </c>
      <c r="D109" t="s">
        <v>71</v>
      </c>
      <c r="E109" t="s">
        <v>72</v>
      </c>
      <c r="F109" t="s">
        <v>52</v>
      </c>
      <c r="G109">
        <v>276</v>
      </c>
      <c r="H109" s="6">
        <v>1</v>
      </c>
      <c r="I109" s="10">
        <v>79.63</v>
      </c>
      <c r="J109" s="10">
        <v>98.9</v>
      </c>
      <c r="K109" t="s">
        <v>46</v>
      </c>
      <c r="L109" s="3">
        <v>0.1</v>
      </c>
      <c r="M109" t="s">
        <v>61</v>
      </c>
      <c r="N109" s="10">
        <v>40.39</v>
      </c>
      <c r="O109" t="s">
        <v>68</v>
      </c>
      <c r="P109" s="5">
        <v>45788</v>
      </c>
      <c r="Q109" s="5">
        <v>45795</v>
      </c>
      <c r="S109" t="s">
        <v>63</v>
      </c>
      <c r="T109" s="6">
        <v>3</v>
      </c>
      <c r="U109" t="s">
        <v>146</v>
      </c>
      <c r="V109" s="10">
        <v>89.01</v>
      </c>
      <c r="W109" s="10">
        <v>79.63</v>
      </c>
      <c r="X109" s="10">
        <v>-31.009999999999991</v>
      </c>
      <c r="Y109" s="11">
        <v>-0.34838782159307929</v>
      </c>
      <c r="Z109" s="6"/>
      <c r="AA109" t="s">
        <v>56</v>
      </c>
    </row>
    <row r="110" spans="1:27" x14ac:dyDescent="0.25">
      <c r="A110" t="s">
        <v>245</v>
      </c>
      <c r="B110">
        <v>53</v>
      </c>
      <c r="C110" s="9">
        <v>45786.612546296303</v>
      </c>
      <c r="D110" t="s">
        <v>86</v>
      </c>
      <c r="E110" t="s">
        <v>87</v>
      </c>
      <c r="F110" t="s">
        <v>45</v>
      </c>
      <c r="G110">
        <v>0</v>
      </c>
      <c r="H110" s="6">
        <v>3</v>
      </c>
      <c r="I110" s="10">
        <v>76.760000000000005</v>
      </c>
      <c r="J110" s="10">
        <v>129.33000000000001</v>
      </c>
      <c r="K110" t="s">
        <v>46</v>
      </c>
      <c r="L110" s="3">
        <v>0.1</v>
      </c>
      <c r="M110" t="s">
        <v>31</v>
      </c>
      <c r="N110" s="10">
        <v>27.07</v>
      </c>
      <c r="O110" t="s">
        <v>97</v>
      </c>
      <c r="P110" s="5">
        <v>45788</v>
      </c>
      <c r="Q110" s="5">
        <v>45794</v>
      </c>
      <c r="R110" s="5">
        <v>45793</v>
      </c>
      <c r="S110" t="s">
        <v>33</v>
      </c>
      <c r="T110" s="6">
        <v>5</v>
      </c>
      <c r="U110" t="s">
        <v>117</v>
      </c>
      <c r="V110" s="10">
        <v>349.19099999999997</v>
      </c>
      <c r="W110" s="10">
        <v>230.28</v>
      </c>
      <c r="X110" s="10">
        <v>91.841000000000008</v>
      </c>
      <c r="Y110" s="11">
        <v>0.26301078779235432</v>
      </c>
      <c r="Z110" s="6">
        <v>-1</v>
      </c>
      <c r="AA110" t="s">
        <v>35</v>
      </c>
    </row>
    <row r="111" spans="1:27" x14ac:dyDescent="0.25">
      <c r="A111" t="s">
        <v>246</v>
      </c>
      <c r="B111">
        <v>154</v>
      </c>
      <c r="C111" s="9">
        <v>45786.65520833333</v>
      </c>
      <c r="D111" t="s">
        <v>86</v>
      </c>
      <c r="E111" t="s">
        <v>87</v>
      </c>
      <c r="F111" t="s">
        <v>45</v>
      </c>
      <c r="G111">
        <v>0</v>
      </c>
      <c r="H111" s="6">
        <v>2</v>
      </c>
      <c r="I111" s="10">
        <v>86.51</v>
      </c>
      <c r="J111" s="10">
        <v>112.57</v>
      </c>
      <c r="K111" t="s">
        <v>46</v>
      </c>
      <c r="L111" s="3">
        <v>0.1</v>
      </c>
      <c r="M111" t="s">
        <v>31</v>
      </c>
      <c r="N111" s="10">
        <v>22.15</v>
      </c>
      <c r="O111" t="s">
        <v>150</v>
      </c>
      <c r="P111" s="5">
        <v>45787</v>
      </c>
      <c r="Q111" s="5">
        <v>45792</v>
      </c>
      <c r="R111" s="5">
        <v>45792</v>
      </c>
      <c r="S111" t="s">
        <v>33</v>
      </c>
      <c r="T111" s="6">
        <v>5</v>
      </c>
      <c r="U111" t="s">
        <v>166</v>
      </c>
      <c r="V111" s="10">
        <v>202.626</v>
      </c>
      <c r="W111" s="10">
        <v>173.02</v>
      </c>
      <c r="X111" s="10">
        <v>7.455999999999996</v>
      </c>
      <c r="Y111" s="11">
        <v>3.6796857264122053E-2</v>
      </c>
      <c r="Z111" s="6">
        <v>0</v>
      </c>
      <c r="AA111" t="s">
        <v>35</v>
      </c>
    </row>
    <row r="112" spans="1:27" x14ac:dyDescent="0.25">
      <c r="A112" t="s">
        <v>247</v>
      </c>
      <c r="B112">
        <v>71</v>
      </c>
      <c r="C112" s="9">
        <v>45786.774131944447</v>
      </c>
      <c r="D112" t="s">
        <v>114</v>
      </c>
      <c r="E112" t="s">
        <v>115</v>
      </c>
      <c r="F112" t="s">
        <v>116</v>
      </c>
      <c r="G112">
        <v>0</v>
      </c>
      <c r="H112" s="6">
        <v>1</v>
      </c>
      <c r="I112" s="10">
        <v>462.83</v>
      </c>
      <c r="J112" s="10">
        <v>715.71</v>
      </c>
      <c r="L112" s="3">
        <v>0</v>
      </c>
      <c r="M112" t="s">
        <v>76</v>
      </c>
      <c r="N112" s="10">
        <v>20.64</v>
      </c>
      <c r="O112" t="s">
        <v>47</v>
      </c>
      <c r="P112" s="5">
        <v>45787</v>
      </c>
      <c r="Q112" s="5">
        <v>45793</v>
      </c>
      <c r="R112" s="5">
        <v>45795</v>
      </c>
      <c r="S112" t="s">
        <v>33</v>
      </c>
      <c r="T112" s="6">
        <v>1</v>
      </c>
      <c r="U112" t="s">
        <v>248</v>
      </c>
      <c r="V112" s="10">
        <v>715.71</v>
      </c>
      <c r="W112" s="10">
        <v>462.83</v>
      </c>
      <c r="X112" s="10">
        <v>232.24000000000009</v>
      </c>
      <c r="Y112" s="11">
        <v>0.32448896899582241</v>
      </c>
      <c r="Z112" s="6">
        <v>2</v>
      </c>
      <c r="AA112" t="s">
        <v>103</v>
      </c>
    </row>
    <row r="113" spans="1:27" x14ac:dyDescent="0.25">
      <c r="A113" t="s">
        <v>249</v>
      </c>
      <c r="B113">
        <v>104</v>
      </c>
      <c r="C113" s="9">
        <v>45786.970972222232</v>
      </c>
      <c r="D113" t="s">
        <v>37</v>
      </c>
      <c r="E113" t="s">
        <v>38</v>
      </c>
      <c r="F113" t="s">
        <v>30</v>
      </c>
      <c r="G113">
        <v>2604</v>
      </c>
      <c r="H113" s="6">
        <v>2</v>
      </c>
      <c r="I113" s="10">
        <v>503.33</v>
      </c>
      <c r="J113" s="10">
        <v>922.66</v>
      </c>
      <c r="L113" s="3">
        <v>0</v>
      </c>
      <c r="M113" t="s">
        <v>39</v>
      </c>
      <c r="N113" s="10">
        <v>90.59</v>
      </c>
      <c r="O113" t="s">
        <v>40</v>
      </c>
      <c r="P113" s="5">
        <v>45787</v>
      </c>
      <c r="Q113" s="5">
        <v>45795</v>
      </c>
      <c r="R113" s="5">
        <v>45789</v>
      </c>
      <c r="S113" t="s">
        <v>33</v>
      </c>
      <c r="T113" s="6">
        <v>4</v>
      </c>
      <c r="U113" t="s">
        <v>48</v>
      </c>
      <c r="V113" s="10">
        <v>1845.32</v>
      </c>
      <c r="W113" s="10">
        <v>1006.66</v>
      </c>
      <c r="X113" s="10">
        <v>748.06999999999994</v>
      </c>
      <c r="Y113" s="11">
        <v>0.40538768343701898</v>
      </c>
      <c r="Z113" s="6">
        <v>-6</v>
      </c>
      <c r="AA113" t="s">
        <v>35</v>
      </c>
    </row>
    <row r="114" spans="1:27" x14ac:dyDescent="0.25">
      <c r="A114" t="s">
        <v>250</v>
      </c>
      <c r="B114">
        <v>167</v>
      </c>
      <c r="C114" s="9">
        <v>45787.047476851847</v>
      </c>
      <c r="D114" t="s">
        <v>164</v>
      </c>
      <c r="E114" t="s">
        <v>165</v>
      </c>
      <c r="F114" t="s">
        <v>116</v>
      </c>
      <c r="G114">
        <v>0</v>
      </c>
      <c r="H114" s="6">
        <v>1</v>
      </c>
      <c r="I114" s="10">
        <v>287.68</v>
      </c>
      <c r="J114" s="10">
        <v>683.42</v>
      </c>
      <c r="K114" t="s">
        <v>60</v>
      </c>
      <c r="L114" s="3">
        <v>0.2</v>
      </c>
      <c r="M114" t="s">
        <v>31</v>
      </c>
      <c r="N114" s="10">
        <v>28.52</v>
      </c>
      <c r="O114" t="s">
        <v>47</v>
      </c>
      <c r="P114" s="5">
        <v>45789</v>
      </c>
      <c r="Q114" s="5">
        <v>45799</v>
      </c>
      <c r="S114" t="s">
        <v>54</v>
      </c>
      <c r="T114" s="6">
        <v>4</v>
      </c>
      <c r="U114" t="s">
        <v>79</v>
      </c>
      <c r="V114" s="10">
        <v>546.73599999999999</v>
      </c>
      <c r="W114" s="10">
        <v>287.68</v>
      </c>
      <c r="X114" s="10">
        <v>230.536</v>
      </c>
      <c r="Y114" s="11">
        <v>0.42165871645547393</v>
      </c>
      <c r="Z114" s="6"/>
      <c r="AA114" t="s">
        <v>56</v>
      </c>
    </row>
    <row r="115" spans="1:27" x14ac:dyDescent="0.25">
      <c r="A115" t="s">
        <v>251</v>
      </c>
      <c r="B115">
        <v>99</v>
      </c>
      <c r="C115" s="9">
        <v>45787.409004629633</v>
      </c>
      <c r="D115" t="s">
        <v>105</v>
      </c>
      <c r="E115" t="s">
        <v>106</v>
      </c>
      <c r="F115" t="s">
        <v>30</v>
      </c>
      <c r="G115">
        <v>2060</v>
      </c>
      <c r="H115" s="6">
        <v>2</v>
      </c>
      <c r="I115" s="10">
        <v>231.23</v>
      </c>
      <c r="J115" s="10">
        <v>687.92</v>
      </c>
      <c r="L115" s="3">
        <v>0</v>
      </c>
      <c r="M115" t="s">
        <v>31</v>
      </c>
      <c r="N115" s="10">
        <v>130.63</v>
      </c>
      <c r="O115" t="s">
        <v>83</v>
      </c>
      <c r="P115" s="5">
        <v>45788</v>
      </c>
      <c r="Q115" s="5">
        <v>45797</v>
      </c>
      <c r="R115" s="5">
        <v>45791</v>
      </c>
      <c r="S115" t="s">
        <v>33</v>
      </c>
      <c r="T115" s="6">
        <v>5</v>
      </c>
      <c r="U115" t="s">
        <v>84</v>
      </c>
      <c r="V115" s="10">
        <v>1375.84</v>
      </c>
      <c r="W115" s="10">
        <v>462.46</v>
      </c>
      <c r="X115" s="10">
        <v>782.74999999999989</v>
      </c>
      <c r="Y115" s="11">
        <v>0.56892516571694374</v>
      </c>
      <c r="Z115" s="6">
        <v>-6</v>
      </c>
      <c r="AA115" t="s">
        <v>35</v>
      </c>
    </row>
    <row r="116" spans="1:27" x14ac:dyDescent="0.25">
      <c r="A116" t="s">
        <v>252</v>
      </c>
      <c r="B116">
        <v>50</v>
      </c>
      <c r="C116" s="9">
        <v>45787.479409722233</v>
      </c>
      <c r="D116" t="s">
        <v>71</v>
      </c>
      <c r="E116" t="s">
        <v>72</v>
      </c>
      <c r="F116" t="s">
        <v>52</v>
      </c>
      <c r="G116">
        <v>209</v>
      </c>
      <c r="H116" s="6">
        <v>3</v>
      </c>
      <c r="I116" s="10">
        <v>39.94</v>
      </c>
      <c r="J116" s="10">
        <v>82.03</v>
      </c>
      <c r="L116" s="3">
        <v>0</v>
      </c>
      <c r="M116" t="s">
        <v>61</v>
      </c>
      <c r="N116" s="10">
        <v>50.05</v>
      </c>
      <c r="O116" t="s">
        <v>62</v>
      </c>
      <c r="P116" s="5">
        <v>45788</v>
      </c>
      <c r="Q116" s="5">
        <v>45795</v>
      </c>
      <c r="R116" s="5">
        <v>45792</v>
      </c>
      <c r="S116" t="s">
        <v>33</v>
      </c>
      <c r="T116" s="6">
        <v>5</v>
      </c>
      <c r="U116" t="s">
        <v>211</v>
      </c>
      <c r="V116" s="10">
        <v>246.09</v>
      </c>
      <c r="W116" s="10">
        <v>119.82</v>
      </c>
      <c r="X116" s="10">
        <v>76.220000000000013</v>
      </c>
      <c r="Y116" s="11">
        <v>0.30972408468446511</v>
      </c>
      <c r="Z116" s="6">
        <v>-3</v>
      </c>
      <c r="AA116" t="s">
        <v>35</v>
      </c>
    </row>
    <row r="117" spans="1:27" x14ac:dyDescent="0.25">
      <c r="A117" t="s">
        <v>253</v>
      </c>
      <c r="B117">
        <v>194</v>
      </c>
      <c r="C117" s="9">
        <v>45787.883368055547</v>
      </c>
      <c r="D117" t="s">
        <v>137</v>
      </c>
      <c r="E117" t="s">
        <v>138</v>
      </c>
      <c r="F117" t="s">
        <v>52</v>
      </c>
      <c r="G117">
        <v>318</v>
      </c>
      <c r="H117" s="6">
        <v>2</v>
      </c>
      <c r="I117" s="10">
        <v>98.38</v>
      </c>
      <c r="J117" s="10">
        <v>162.72</v>
      </c>
      <c r="L117" s="3">
        <v>0</v>
      </c>
      <c r="M117" t="s">
        <v>76</v>
      </c>
      <c r="N117" s="10">
        <v>33.9</v>
      </c>
      <c r="O117" t="s">
        <v>133</v>
      </c>
      <c r="P117" s="5">
        <v>45789</v>
      </c>
      <c r="Q117" s="5">
        <v>45799</v>
      </c>
      <c r="R117" s="5">
        <v>45794</v>
      </c>
      <c r="S117" t="s">
        <v>33</v>
      </c>
      <c r="T117" s="6">
        <v>5</v>
      </c>
      <c r="U117" t="s">
        <v>77</v>
      </c>
      <c r="V117" s="10">
        <v>325.44</v>
      </c>
      <c r="W117" s="10">
        <v>196.76</v>
      </c>
      <c r="X117" s="10">
        <v>94.78</v>
      </c>
      <c r="Y117" s="11">
        <v>0.29123647984267448</v>
      </c>
      <c r="Z117" s="6">
        <v>-5</v>
      </c>
      <c r="AA117" t="s">
        <v>35</v>
      </c>
    </row>
    <row r="118" spans="1:27" x14ac:dyDescent="0.25">
      <c r="A118" t="s">
        <v>254</v>
      </c>
      <c r="B118">
        <v>90</v>
      </c>
      <c r="C118" s="9">
        <v>45787.904456018521</v>
      </c>
      <c r="D118" t="s">
        <v>137</v>
      </c>
      <c r="E118" t="s">
        <v>138</v>
      </c>
      <c r="F118" t="s">
        <v>52</v>
      </c>
      <c r="G118">
        <v>467</v>
      </c>
      <c r="H118" s="6">
        <v>1</v>
      </c>
      <c r="I118" s="10">
        <v>120.23</v>
      </c>
      <c r="J118" s="10">
        <v>172.14</v>
      </c>
      <c r="K118" t="s">
        <v>60</v>
      </c>
      <c r="L118" s="3">
        <v>0.2</v>
      </c>
      <c r="M118" t="s">
        <v>39</v>
      </c>
      <c r="N118" s="10">
        <v>59.16</v>
      </c>
      <c r="O118" t="s">
        <v>62</v>
      </c>
      <c r="P118" s="5">
        <v>45789</v>
      </c>
      <c r="Q118" s="5">
        <v>45799</v>
      </c>
      <c r="R118" s="5">
        <v>45799</v>
      </c>
      <c r="S118" t="s">
        <v>33</v>
      </c>
      <c r="T118" s="6">
        <v>4</v>
      </c>
      <c r="U118" t="s">
        <v>48</v>
      </c>
      <c r="V118" s="10">
        <v>137.71199999999999</v>
      </c>
      <c r="W118" s="10">
        <v>120.23</v>
      </c>
      <c r="X118" s="10">
        <v>-41.678000000000011</v>
      </c>
      <c r="Y118" s="11">
        <v>-0.30264610200999198</v>
      </c>
      <c r="Z118" s="6">
        <v>0</v>
      </c>
      <c r="AA118" t="s">
        <v>35</v>
      </c>
    </row>
    <row r="119" spans="1:27" x14ac:dyDescent="0.25">
      <c r="A119" t="s">
        <v>255</v>
      </c>
      <c r="B119">
        <v>39</v>
      </c>
      <c r="C119" s="9">
        <v>45788.673518518517</v>
      </c>
      <c r="D119" t="s">
        <v>81</v>
      </c>
      <c r="E119" t="s">
        <v>82</v>
      </c>
      <c r="F119" t="s">
        <v>45</v>
      </c>
      <c r="G119">
        <v>0</v>
      </c>
      <c r="H119" s="6">
        <v>1</v>
      </c>
      <c r="I119" s="10">
        <v>30.35</v>
      </c>
      <c r="J119" s="10">
        <v>191.41</v>
      </c>
      <c r="L119" s="3">
        <v>0</v>
      </c>
      <c r="M119" t="s">
        <v>39</v>
      </c>
      <c r="N119" s="10">
        <v>24.26</v>
      </c>
      <c r="O119" t="s">
        <v>40</v>
      </c>
      <c r="P119" s="5">
        <v>45789</v>
      </c>
      <c r="Q119" s="5">
        <v>45796</v>
      </c>
      <c r="R119" s="5">
        <v>45791</v>
      </c>
      <c r="S119" t="s">
        <v>33</v>
      </c>
      <c r="T119" s="6">
        <v>5</v>
      </c>
      <c r="U119" t="s">
        <v>119</v>
      </c>
      <c r="V119" s="10">
        <v>191.41</v>
      </c>
      <c r="W119" s="10">
        <v>30.35</v>
      </c>
      <c r="X119" s="10">
        <v>136.80000000000001</v>
      </c>
      <c r="Y119" s="11">
        <v>0.71469620187033078</v>
      </c>
      <c r="Z119" s="6">
        <v>-5</v>
      </c>
      <c r="AA119" t="s">
        <v>35</v>
      </c>
    </row>
    <row r="120" spans="1:27" x14ac:dyDescent="0.25">
      <c r="A120" t="s">
        <v>256</v>
      </c>
      <c r="B120">
        <v>52</v>
      </c>
      <c r="C120" s="9">
        <v>45788.792175925933</v>
      </c>
      <c r="D120" t="s">
        <v>110</v>
      </c>
      <c r="E120" t="s">
        <v>111</v>
      </c>
      <c r="F120" t="s">
        <v>30</v>
      </c>
      <c r="G120">
        <v>2129</v>
      </c>
      <c r="H120" s="6">
        <v>2</v>
      </c>
      <c r="I120" s="10">
        <v>935.02</v>
      </c>
      <c r="J120" s="10">
        <v>1974.19</v>
      </c>
      <c r="L120" s="3">
        <v>0</v>
      </c>
      <c r="M120" t="s">
        <v>61</v>
      </c>
      <c r="N120" s="10">
        <v>74.39</v>
      </c>
      <c r="O120" t="s">
        <v>150</v>
      </c>
      <c r="P120" s="5">
        <v>45790</v>
      </c>
      <c r="Q120" s="5">
        <v>45800</v>
      </c>
      <c r="R120" s="5">
        <v>45797</v>
      </c>
      <c r="S120" t="s">
        <v>33</v>
      </c>
      <c r="T120" s="6">
        <v>4</v>
      </c>
      <c r="U120" t="s">
        <v>48</v>
      </c>
      <c r="V120" s="10">
        <v>3948.38</v>
      </c>
      <c r="W120" s="10">
        <v>1870.04</v>
      </c>
      <c r="X120" s="10">
        <v>2003.95</v>
      </c>
      <c r="Y120" s="11">
        <v>0.50753726844933866</v>
      </c>
      <c r="Z120" s="6">
        <v>-3</v>
      </c>
      <c r="AA120" t="s">
        <v>35</v>
      </c>
    </row>
    <row r="121" spans="1:27" x14ac:dyDescent="0.25">
      <c r="A121" t="s">
        <v>257</v>
      </c>
      <c r="B121">
        <v>105</v>
      </c>
      <c r="C121" s="9">
        <v>45788.949606481481</v>
      </c>
      <c r="D121" t="s">
        <v>137</v>
      </c>
      <c r="E121" t="s">
        <v>138</v>
      </c>
      <c r="F121" t="s">
        <v>52</v>
      </c>
      <c r="G121">
        <v>474</v>
      </c>
      <c r="H121" s="6">
        <v>1</v>
      </c>
      <c r="I121" s="10">
        <v>101.09</v>
      </c>
      <c r="J121" s="10">
        <v>275.27999999999997</v>
      </c>
      <c r="L121" s="3">
        <v>0</v>
      </c>
      <c r="M121" t="s">
        <v>61</v>
      </c>
      <c r="N121" s="10">
        <v>38.75</v>
      </c>
      <c r="O121" t="s">
        <v>62</v>
      </c>
      <c r="P121" s="5">
        <v>45790</v>
      </c>
      <c r="Q121" s="5">
        <v>45796</v>
      </c>
      <c r="R121" s="5">
        <v>45800</v>
      </c>
      <c r="S121" t="s">
        <v>33</v>
      </c>
      <c r="T121" s="6">
        <v>2</v>
      </c>
      <c r="U121" t="s">
        <v>258</v>
      </c>
      <c r="V121" s="10">
        <v>275.27999999999997</v>
      </c>
      <c r="W121" s="10">
        <v>101.09</v>
      </c>
      <c r="X121" s="10">
        <v>135.44</v>
      </c>
      <c r="Y121" s="11">
        <v>0.49200813716942737</v>
      </c>
      <c r="Z121" s="6">
        <v>4</v>
      </c>
      <c r="AA121" t="s">
        <v>103</v>
      </c>
    </row>
    <row r="122" spans="1:27" x14ac:dyDescent="0.25">
      <c r="A122" t="s">
        <v>259</v>
      </c>
      <c r="B122">
        <v>38</v>
      </c>
      <c r="C122" s="9">
        <v>45789.080358796287</v>
      </c>
      <c r="D122" t="s">
        <v>137</v>
      </c>
      <c r="E122" t="s">
        <v>138</v>
      </c>
      <c r="F122" t="s">
        <v>52</v>
      </c>
      <c r="G122">
        <v>388</v>
      </c>
      <c r="H122" s="6">
        <v>1</v>
      </c>
      <c r="I122" s="10">
        <v>128.41</v>
      </c>
      <c r="J122" s="10">
        <v>263.5</v>
      </c>
      <c r="K122" t="s">
        <v>60</v>
      </c>
      <c r="L122" s="3">
        <v>0.2</v>
      </c>
      <c r="M122" t="s">
        <v>61</v>
      </c>
      <c r="N122" s="10">
        <v>59.17</v>
      </c>
      <c r="O122" t="s">
        <v>126</v>
      </c>
      <c r="P122" s="5">
        <v>45790</v>
      </c>
      <c r="Q122" s="5">
        <v>45798</v>
      </c>
      <c r="R122" s="5">
        <v>45797</v>
      </c>
      <c r="S122" t="s">
        <v>33</v>
      </c>
      <c r="T122" s="6">
        <v>4</v>
      </c>
      <c r="U122" t="s">
        <v>112</v>
      </c>
      <c r="V122" s="10">
        <v>210.8</v>
      </c>
      <c r="W122" s="10">
        <v>128.41</v>
      </c>
      <c r="X122" s="10">
        <v>23.22000000000001</v>
      </c>
      <c r="Y122" s="11">
        <v>0.1101518026565465</v>
      </c>
      <c r="Z122" s="6">
        <v>-1</v>
      </c>
      <c r="AA122" t="s">
        <v>35</v>
      </c>
    </row>
    <row r="123" spans="1:27" x14ac:dyDescent="0.25">
      <c r="A123" t="s">
        <v>260</v>
      </c>
      <c r="B123">
        <v>10</v>
      </c>
      <c r="C123" s="9">
        <v>45789.191145833327</v>
      </c>
      <c r="D123" t="s">
        <v>37</v>
      </c>
      <c r="E123" t="s">
        <v>38</v>
      </c>
      <c r="F123" t="s">
        <v>30</v>
      </c>
      <c r="G123">
        <v>2720</v>
      </c>
      <c r="H123" s="6">
        <v>3</v>
      </c>
      <c r="I123" s="10">
        <v>613.24</v>
      </c>
      <c r="J123" s="10">
        <v>1093.08</v>
      </c>
      <c r="K123" t="s">
        <v>60</v>
      </c>
      <c r="L123" s="3">
        <v>0.2</v>
      </c>
      <c r="M123" t="s">
        <v>76</v>
      </c>
      <c r="N123" s="10">
        <v>115.54</v>
      </c>
      <c r="O123" t="s">
        <v>150</v>
      </c>
      <c r="P123" s="5">
        <v>45790</v>
      </c>
      <c r="Q123" s="5">
        <v>45795</v>
      </c>
      <c r="R123" s="5">
        <v>45793</v>
      </c>
      <c r="S123" t="s">
        <v>33</v>
      </c>
      <c r="T123" s="6">
        <v>4</v>
      </c>
      <c r="U123" t="s">
        <v>41</v>
      </c>
      <c r="V123" s="10">
        <v>2623.3919999999998</v>
      </c>
      <c r="W123" s="10">
        <v>1839.72</v>
      </c>
      <c r="X123" s="10">
        <v>668.13199999999983</v>
      </c>
      <c r="Y123" s="11">
        <v>0.25468248740561827</v>
      </c>
      <c r="Z123" s="6">
        <v>-2</v>
      </c>
      <c r="AA123" t="s">
        <v>35</v>
      </c>
    </row>
    <row r="124" spans="1:27" x14ac:dyDescent="0.25">
      <c r="A124" t="s">
        <v>261</v>
      </c>
      <c r="B124">
        <v>46</v>
      </c>
      <c r="C124" s="9">
        <v>45789.523576388892</v>
      </c>
      <c r="D124" t="s">
        <v>86</v>
      </c>
      <c r="E124" t="s">
        <v>87</v>
      </c>
      <c r="F124" t="s">
        <v>45</v>
      </c>
      <c r="G124">
        <v>0</v>
      </c>
      <c r="H124" s="6">
        <v>1</v>
      </c>
      <c r="I124" s="10">
        <v>68.25</v>
      </c>
      <c r="J124" s="10">
        <v>166.83</v>
      </c>
      <c r="L124" s="3">
        <v>0</v>
      </c>
      <c r="M124" t="s">
        <v>76</v>
      </c>
      <c r="N124" s="10">
        <v>17.260000000000002</v>
      </c>
      <c r="O124" t="s">
        <v>47</v>
      </c>
      <c r="P124" s="5">
        <v>45791</v>
      </c>
      <c r="Q124" s="5">
        <v>45801</v>
      </c>
      <c r="R124" s="5">
        <v>45797</v>
      </c>
      <c r="S124" t="s">
        <v>33</v>
      </c>
      <c r="T124" s="6">
        <v>4</v>
      </c>
      <c r="U124" t="s">
        <v>69</v>
      </c>
      <c r="V124" s="10">
        <v>166.83</v>
      </c>
      <c r="W124" s="10">
        <v>68.25</v>
      </c>
      <c r="X124" s="10">
        <v>81.320000000000007</v>
      </c>
      <c r="Y124" s="11">
        <v>0.4874423065395912</v>
      </c>
      <c r="Z124" s="6">
        <v>-4</v>
      </c>
      <c r="AA124" t="s">
        <v>35</v>
      </c>
    </row>
    <row r="125" spans="1:27" x14ac:dyDescent="0.25">
      <c r="A125" t="s">
        <v>262</v>
      </c>
      <c r="B125">
        <v>119</v>
      </c>
      <c r="C125" s="9">
        <v>45790.134398148148</v>
      </c>
      <c r="D125" t="s">
        <v>198</v>
      </c>
      <c r="E125" t="s">
        <v>199</v>
      </c>
      <c r="F125" t="s">
        <v>116</v>
      </c>
      <c r="G125">
        <v>0</v>
      </c>
      <c r="H125" s="6">
        <v>1</v>
      </c>
      <c r="I125" s="10">
        <v>378.7</v>
      </c>
      <c r="J125" s="10">
        <v>565.74</v>
      </c>
      <c r="L125" s="3">
        <v>0</v>
      </c>
      <c r="M125" t="s">
        <v>39</v>
      </c>
      <c r="N125" s="10">
        <v>16.579999999999998</v>
      </c>
      <c r="O125" t="s">
        <v>62</v>
      </c>
      <c r="P125" s="5">
        <v>45792</v>
      </c>
      <c r="Q125" s="5">
        <v>45799</v>
      </c>
      <c r="R125" s="5">
        <v>45799</v>
      </c>
      <c r="S125" t="s">
        <v>33</v>
      </c>
      <c r="T125" s="6">
        <v>5</v>
      </c>
      <c r="U125" t="s">
        <v>117</v>
      </c>
      <c r="V125" s="10">
        <v>565.74</v>
      </c>
      <c r="W125" s="10">
        <v>378.7</v>
      </c>
      <c r="X125" s="10">
        <v>170.46</v>
      </c>
      <c r="Y125" s="11">
        <v>0.30130448615972011</v>
      </c>
      <c r="Z125" s="6">
        <v>0</v>
      </c>
      <c r="AA125" t="s">
        <v>35</v>
      </c>
    </row>
    <row r="126" spans="1:27" x14ac:dyDescent="0.25">
      <c r="A126" t="s">
        <v>263</v>
      </c>
      <c r="B126">
        <v>38</v>
      </c>
      <c r="C126" s="9">
        <v>45790.366643518522</v>
      </c>
      <c r="D126" t="s">
        <v>164</v>
      </c>
      <c r="E126" t="s">
        <v>165</v>
      </c>
      <c r="F126" t="s">
        <v>116</v>
      </c>
      <c r="G126">
        <v>0</v>
      </c>
      <c r="H126" s="6">
        <v>2</v>
      </c>
      <c r="I126" s="10">
        <v>274.13</v>
      </c>
      <c r="J126" s="10">
        <v>592.48</v>
      </c>
      <c r="K126" t="s">
        <v>46</v>
      </c>
      <c r="L126" s="3">
        <v>0.1</v>
      </c>
      <c r="M126" t="s">
        <v>39</v>
      </c>
      <c r="N126" s="10">
        <v>24.28</v>
      </c>
      <c r="O126" t="s">
        <v>264</v>
      </c>
      <c r="P126" s="5">
        <v>45791</v>
      </c>
      <c r="Q126" s="5">
        <v>45801</v>
      </c>
      <c r="S126" t="s">
        <v>54</v>
      </c>
      <c r="T126" s="6">
        <v>4</v>
      </c>
      <c r="U126" t="s">
        <v>41</v>
      </c>
      <c r="V126" s="10">
        <v>1066.4639999999999</v>
      </c>
      <c r="W126" s="10">
        <v>548.26</v>
      </c>
      <c r="X126" s="10">
        <v>493.92400000000021</v>
      </c>
      <c r="Y126" s="11">
        <v>0.46314174693191718</v>
      </c>
      <c r="Z126" s="6"/>
      <c r="AA126" t="s">
        <v>56</v>
      </c>
    </row>
    <row r="127" spans="1:27" x14ac:dyDescent="0.25">
      <c r="A127" t="s">
        <v>265</v>
      </c>
      <c r="B127">
        <v>20</v>
      </c>
      <c r="C127" s="9">
        <v>45790.391643518517</v>
      </c>
      <c r="D127" t="s">
        <v>43</v>
      </c>
      <c r="E127" t="s">
        <v>44</v>
      </c>
      <c r="F127" t="s">
        <v>45</v>
      </c>
      <c r="G127">
        <v>0</v>
      </c>
      <c r="H127" s="6">
        <v>3</v>
      </c>
      <c r="I127" s="10">
        <v>69.91</v>
      </c>
      <c r="J127" s="10">
        <v>108.66</v>
      </c>
      <c r="K127" t="s">
        <v>60</v>
      </c>
      <c r="L127" s="3">
        <v>0.2</v>
      </c>
      <c r="M127" t="s">
        <v>76</v>
      </c>
      <c r="N127" s="10">
        <v>16.98</v>
      </c>
      <c r="O127" t="s">
        <v>47</v>
      </c>
      <c r="P127" s="5">
        <v>45791</v>
      </c>
      <c r="Q127" s="5">
        <v>45798</v>
      </c>
      <c r="R127" s="5">
        <v>45798</v>
      </c>
      <c r="S127" t="s">
        <v>33</v>
      </c>
      <c r="T127" s="6">
        <v>5</v>
      </c>
      <c r="U127" t="s">
        <v>117</v>
      </c>
      <c r="V127" s="10">
        <v>260.78399999999999</v>
      </c>
      <c r="W127" s="10">
        <v>209.73</v>
      </c>
      <c r="X127" s="10">
        <v>34.074000000000048</v>
      </c>
      <c r="Y127" s="11">
        <v>0.1306598564329102</v>
      </c>
      <c r="Z127" s="6">
        <v>0</v>
      </c>
      <c r="AA127" t="s">
        <v>35</v>
      </c>
    </row>
    <row r="128" spans="1:27" x14ac:dyDescent="0.25">
      <c r="A128" t="s">
        <v>266</v>
      </c>
      <c r="B128">
        <v>84</v>
      </c>
      <c r="C128" s="9">
        <v>45790.502962962957</v>
      </c>
      <c r="D128" t="s">
        <v>71</v>
      </c>
      <c r="E128" t="s">
        <v>72</v>
      </c>
      <c r="F128" t="s">
        <v>52</v>
      </c>
      <c r="G128">
        <v>202</v>
      </c>
      <c r="H128" s="6">
        <v>1</v>
      </c>
      <c r="I128" s="10">
        <v>60.86</v>
      </c>
      <c r="J128" s="10">
        <v>130.65</v>
      </c>
      <c r="L128" s="3">
        <v>0</v>
      </c>
      <c r="M128" t="s">
        <v>31</v>
      </c>
      <c r="N128" s="10">
        <v>59.38</v>
      </c>
      <c r="O128" t="s">
        <v>264</v>
      </c>
      <c r="P128" s="5">
        <v>45791</v>
      </c>
      <c r="Q128" s="5">
        <v>45799</v>
      </c>
      <c r="S128" t="s">
        <v>54</v>
      </c>
      <c r="T128" s="6">
        <v>2</v>
      </c>
      <c r="U128" t="s">
        <v>153</v>
      </c>
      <c r="V128" s="10">
        <v>130.65</v>
      </c>
      <c r="W128" s="10">
        <v>60.86</v>
      </c>
      <c r="X128" s="10">
        <v>10.41</v>
      </c>
      <c r="Y128" s="11">
        <v>7.967853042479911E-2</v>
      </c>
      <c r="Z128" s="6"/>
      <c r="AA128" t="s">
        <v>56</v>
      </c>
    </row>
    <row r="129" spans="1:27" x14ac:dyDescent="0.25">
      <c r="A129" t="s">
        <v>267</v>
      </c>
      <c r="B129">
        <v>122</v>
      </c>
      <c r="C129" s="9">
        <v>45790.51599537037</v>
      </c>
      <c r="D129" t="s">
        <v>50</v>
      </c>
      <c r="E129" t="s">
        <v>51</v>
      </c>
      <c r="F129" t="s">
        <v>52</v>
      </c>
      <c r="G129">
        <v>725</v>
      </c>
      <c r="H129" s="6">
        <v>1</v>
      </c>
      <c r="I129" s="10">
        <v>174.05</v>
      </c>
      <c r="J129" s="10">
        <v>287.11</v>
      </c>
      <c r="K129" t="s">
        <v>60</v>
      </c>
      <c r="L129" s="3">
        <v>0.2</v>
      </c>
      <c r="M129" t="s">
        <v>39</v>
      </c>
      <c r="N129" s="10">
        <v>36.69</v>
      </c>
      <c r="O129" t="s">
        <v>68</v>
      </c>
      <c r="P129" s="5">
        <v>45792</v>
      </c>
      <c r="Q129" s="5">
        <v>45797</v>
      </c>
      <c r="S129" t="s">
        <v>63</v>
      </c>
      <c r="T129" s="6">
        <v>1</v>
      </c>
      <c r="U129" t="s">
        <v>153</v>
      </c>
      <c r="V129" s="10">
        <v>229.68799999999999</v>
      </c>
      <c r="W129" s="10">
        <v>174.05</v>
      </c>
      <c r="X129" s="10">
        <v>18.948000000000011</v>
      </c>
      <c r="Y129" s="11">
        <v>8.2494514297655974E-2</v>
      </c>
      <c r="Z129" s="6"/>
      <c r="AA129" t="s">
        <v>56</v>
      </c>
    </row>
    <row r="130" spans="1:27" x14ac:dyDescent="0.25">
      <c r="A130" t="s">
        <v>268</v>
      </c>
      <c r="B130">
        <v>13</v>
      </c>
      <c r="C130" s="9">
        <v>45790.987500000003</v>
      </c>
      <c r="D130" t="s">
        <v>110</v>
      </c>
      <c r="E130" t="s">
        <v>111</v>
      </c>
      <c r="F130" t="s">
        <v>30</v>
      </c>
      <c r="G130">
        <v>2023</v>
      </c>
      <c r="H130" s="6">
        <v>3</v>
      </c>
      <c r="I130" s="10">
        <v>942.25</v>
      </c>
      <c r="J130" s="10">
        <v>1204.7</v>
      </c>
      <c r="L130" s="3">
        <v>0</v>
      </c>
      <c r="M130" t="s">
        <v>61</v>
      </c>
      <c r="N130" s="10">
        <v>103.31</v>
      </c>
      <c r="O130" t="s">
        <v>97</v>
      </c>
      <c r="P130" s="5">
        <v>45792</v>
      </c>
      <c r="Q130" s="5">
        <v>45801</v>
      </c>
      <c r="R130" s="5">
        <v>45797</v>
      </c>
      <c r="S130" t="s">
        <v>33</v>
      </c>
      <c r="T130" s="6">
        <v>4</v>
      </c>
      <c r="U130" t="s">
        <v>112</v>
      </c>
      <c r="V130" s="10">
        <v>3614.1</v>
      </c>
      <c r="W130" s="10">
        <v>2826.75</v>
      </c>
      <c r="X130" s="10">
        <v>684.04000000000042</v>
      </c>
      <c r="Y130" s="11">
        <v>0.18926980437730009</v>
      </c>
      <c r="Z130" s="6">
        <v>-4</v>
      </c>
      <c r="AA130" t="s">
        <v>35</v>
      </c>
    </row>
    <row r="131" spans="1:27" x14ac:dyDescent="0.25">
      <c r="A131" t="s">
        <v>269</v>
      </c>
      <c r="B131">
        <v>154</v>
      </c>
      <c r="C131" s="9">
        <v>45791.794872685183</v>
      </c>
      <c r="D131" t="s">
        <v>43</v>
      </c>
      <c r="E131" t="s">
        <v>44</v>
      </c>
      <c r="F131" t="s">
        <v>45</v>
      </c>
      <c r="G131">
        <v>0</v>
      </c>
      <c r="H131" s="6">
        <v>1</v>
      </c>
      <c r="I131" s="10">
        <v>60.88</v>
      </c>
      <c r="J131" s="10">
        <v>120.3</v>
      </c>
      <c r="L131" s="3">
        <v>0</v>
      </c>
      <c r="M131" t="s">
        <v>31</v>
      </c>
      <c r="N131" s="10">
        <v>22.44</v>
      </c>
      <c r="O131" t="s">
        <v>68</v>
      </c>
      <c r="P131" s="5">
        <v>45792</v>
      </c>
      <c r="Q131" s="5">
        <v>45797</v>
      </c>
      <c r="R131" s="5">
        <v>45795</v>
      </c>
      <c r="S131" t="s">
        <v>33</v>
      </c>
      <c r="T131" s="6">
        <v>4</v>
      </c>
      <c r="U131" t="s">
        <v>77</v>
      </c>
      <c r="V131" s="10">
        <v>120.3</v>
      </c>
      <c r="W131" s="10">
        <v>60.88</v>
      </c>
      <c r="X131" s="10">
        <v>36.97999999999999</v>
      </c>
      <c r="Y131" s="11">
        <v>0.30739817123857022</v>
      </c>
      <c r="Z131" s="6">
        <v>-2</v>
      </c>
      <c r="AA131" t="s">
        <v>35</v>
      </c>
    </row>
    <row r="132" spans="1:27" x14ac:dyDescent="0.25">
      <c r="A132" t="s">
        <v>270</v>
      </c>
      <c r="B132">
        <v>181</v>
      </c>
      <c r="C132" s="9">
        <v>45791.862037037034</v>
      </c>
      <c r="D132" t="s">
        <v>74</v>
      </c>
      <c r="E132" t="s">
        <v>75</v>
      </c>
      <c r="F132" t="s">
        <v>30</v>
      </c>
      <c r="G132">
        <v>2421</v>
      </c>
      <c r="H132" s="6">
        <v>1</v>
      </c>
      <c r="I132" s="10">
        <v>2133.0100000000002</v>
      </c>
      <c r="J132" s="10">
        <v>3222.91</v>
      </c>
      <c r="L132" s="3">
        <v>0</v>
      </c>
      <c r="M132" t="s">
        <v>76</v>
      </c>
      <c r="N132" s="10">
        <v>63.74</v>
      </c>
      <c r="O132" t="s">
        <v>97</v>
      </c>
      <c r="P132" s="5">
        <v>45793</v>
      </c>
      <c r="Q132" s="5">
        <v>45801</v>
      </c>
      <c r="R132" s="5">
        <v>45795</v>
      </c>
      <c r="S132" t="s">
        <v>33</v>
      </c>
      <c r="T132" s="6">
        <v>5</v>
      </c>
      <c r="U132" t="s">
        <v>112</v>
      </c>
      <c r="V132" s="10">
        <v>3222.91</v>
      </c>
      <c r="W132" s="10">
        <v>2133.0100000000002</v>
      </c>
      <c r="X132" s="10">
        <v>1026.1600000000001</v>
      </c>
      <c r="Y132" s="11">
        <v>0.31839548730805378</v>
      </c>
      <c r="Z132" s="6">
        <v>-6</v>
      </c>
      <c r="AA132" t="s">
        <v>35</v>
      </c>
    </row>
    <row r="133" spans="1:27" x14ac:dyDescent="0.25">
      <c r="A133" t="s">
        <v>271</v>
      </c>
      <c r="B133">
        <v>191</v>
      </c>
      <c r="C133" s="9">
        <v>45791.86996527778</v>
      </c>
      <c r="D133" t="s">
        <v>74</v>
      </c>
      <c r="E133" t="s">
        <v>75</v>
      </c>
      <c r="F133" t="s">
        <v>30</v>
      </c>
      <c r="G133">
        <v>2859</v>
      </c>
      <c r="H133" s="6">
        <v>3</v>
      </c>
      <c r="I133" s="10">
        <v>2232.11</v>
      </c>
      <c r="J133" s="10">
        <v>4470.1899999999996</v>
      </c>
      <c r="K133" t="s">
        <v>46</v>
      </c>
      <c r="L133" s="3">
        <v>0.1</v>
      </c>
      <c r="M133" t="s">
        <v>39</v>
      </c>
      <c r="N133" s="10">
        <v>111.63</v>
      </c>
      <c r="O133" t="s">
        <v>40</v>
      </c>
      <c r="P133" s="5">
        <v>45793</v>
      </c>
      <c r="Q133" s="5">
        <v>45802</v>
      </c>
      <c r="R133" s="5">
        <v>45800</v>
      </c>
      <c r="S133" t="s">
        <v>33</v>
      </c>
      <c r="T133" s="6">
        <v>5</v>
      </c>
      <c r="U133" t="s">
        <v>172</v>
      </c>
      <c r="V133" s="10">
        <v>12069.513000000001</v>
      </c>
      <c r="W133" s="10">
        <v>6696.33</v>
      </c>
      <c r="X133" s="10">
        <v>5261.5530000000008</v>
      </c>
      <c r="Y133" s="11">
        <v>0.43593747320210852</v>
      </c>
      <c r="Z133" s="6">
        <v>-2</v>
      </c>
      <c r="AA133" t="s">
        <v>35</v>
      </c>
    </row>
    <row r="134" spans="1:27" x14ac:dyDescent="0.25">
      <c r="A134" t="s">
        <v>272</v>
      </c>
      <c r="B134">
        <v>155</v>
      </c>
      <c r="C134" s="9">
        <v>45791.917673611111</v>
      </c>
      <c r="D134" t="s">
        <v>37</v>
      </c>
      <c r="E134" t="s">
        <v>38</v>
      </c>
      <c r="F134" t="s">
        <v>30</v>
      </c>
      <c r="G134">
        <v>2273</v>
      </c>
      <c r="H134" s="6">
        <v>1</v>
      </c>
      <c r="I134" s="10">
        <v>636.25</v>
      </c>
      <c r="J134" s="10">
        <v>1133.6300000000001</v>
      </c>
      <c r="L134" s="3">
        <v>0</v>
      </c>
      <c r="M134" t="s">
        <v>76</v>
      </c>
      <c r="N134" s="10">
        <v>118.31</v>
      </c>
      <c r="O134" t="s">
        <v>47</v>
      </c>
      <c r="P134" s="5">
        <v>45792</v>
      </c>
      <c r="Q134" s="5">
        <v>45802</v>
      </c>
      <c r="R134" s="5">
        <v>45797</v>
      </c>
      <c r="S134" t="s">
        <v>33</v>
      </c>
      <c r="T134" s="6">
        <v>5</v>
      </c>
      <c r="U134" t="s">
        <v>69</v>
      </c>
      <c r="V134" s="10">
        <v>1133.6300000000001</v>
      </c>
      <c r="W134" s="10">
        <v>636.25</v>
      </c>
      <c r="X134" s="10">
        <v>379.07000000000011</v>
      </c>
      <c r="Y134" s="11">
        <v>0.33438599895909599</v>
      </c>
      <c r="Z134" s="6">
        <v>-5</v>
      </c>
      <c r="AA134" t="s">
        <v>35</v>
      </c>
    </row>
    <row r="135" spans="1:27" x14ac:dyDescent="0.25">
      <c r="A135" t="s">
        <v>273</v>
      </c>
      <c r="B135">
        <v>121</v>
      </c>
      <c r="C135" s="9">
        <v>45792.070601851847</v>
      </c>
      <c r="D135" t="s">
        <v>50</v>
      </c>
      <c r="E135" t="s">
        <v>51</v>
      </c>
      <c r="F135" t="s">
        <v>52</v>
      </c>
      <c r="G135">
        <v>666</v>
      </c>
      <c r="H135" s="6">
        <v>1</v>
      </c>
      <c r="I135" s="10">
        <v>188.35</v>
      </c>
      <c r="J135" s="10">
        <v>309.45</v>
      </c>
      <c r="K135" t="s">
        <v>60</v>
      </c>
      <c r="L135" s="3">
        <v>0.2</v>
      </c>
      <c r="M135" t="s">
        <v>39</v>
      </c>
      <c r="N135" s="10">
        <v>38.409999999999997</v>
      </c>
      <c r="O135" t="s">
        <v>47</v>
      </c>
      <c r="P135" s="5">
        <v>45793</v>
      </c>
      <c r="Q135" s="5">
        <v>45801</v>
      </c>
      <c r="R135" s="5">
        <v>45799</v>
      </c>
      <c r="S135" t="s">
        <v>33</v>
      </c>
      <c r="T135" s="6">
        <v>5</v>
      </c>
      <c r="U135" t="s">
        <v>117</v>
      </c>
      <c r="V135" s="10">
        <v>247.56</v>
      </c>
      <c r="W135" s="10">
        <v>188.35</v>
      </c>
      <c r="X135" s="10">
        <v>20.800000000000011</v>
      </c>
      <c r="Y135" s="11">
        <v>8.4020035546938154E-2</v>
      </c>
      <c r="Z135" s="6">
        <v>-2</v>
      </c>
      <c r="AA135" t="s">
        <v>35</v>
      </c>
    </row>
    <row r="136" spans="1:27" x14ac:dyDescent="0.25">
      <c r="A136" t="s">
        <v>274</v>
      </c>
      <c r="B136">
        <v>92</v>
      </c>
      <c r="C136" s="9">
        <v>45792.3827662037</v>
      </c>
      <c r="D136" t="s">
        <v>66</v>
      </c>
      <c r="E136" t="s">
        <v>67</v>
      </c>
      <c r="F136" t="s">
        <v>52</v>
      </c>
      <c r="G136">
        <v>251</v>
      </c>
      <c r="H136" s="6">
        <v>3</v>
      </c>
      <c r="I136" s="10">
        <v>48.22</v>
      </c>
      <c r="J136" s="10">
        <v>147.31</v>
      </c>
      <c r="K136" t="s">
        <v>60</v>
      </c>
      <c r="L136" s="3">
        <v>0.2</v>
      </c>
      <c r="M136" t="s">
        <v>61</v>
      </c>
      <c r="N136" s="10">
        <v>53.12</v>
      </c>
      <c r="O136" t="s">
        <v>157</v>
      </c>
      <c r="P136" s="5">
        <v>45793</v>
      </c>
      <c r="Q136" s="5">
        <v>45799</v>
      </c>
      <c r="S136" t="s">
        <v>54</v>
      </c>
      <c r="T136" s="6">
        <v>4</v>
      </c>
      <c r="U136" t="s">
        <v>112</v>
      </c>
      <c r="V136" s="10">
        <v>353.54399999999998</v>
      </c>
      <c r="W136" s="10">
        <v>144.66</v>
      </c>
      <c r="X136" s="10">
        <v>155.76400000000001</v>
      </c>
      <c r="Y136" s="11">
        <v>0.4405788247007445</v>
      </c>
      <c r="Z136" s="6"/>
      <c r="AA136" t="s">
        <v>56</v>
      </c>
    </row>
    <row r="137" spans="1:27" x14ac:dyDescent="0.25">
      <c r="A137" t="s">
        <v>275</v>
      </c>
      <c r="B137">
        <v>127</v>
      </c>
      <c r="C137" s="9">
        <v>45792.637858796297</v>
      </c>
      <c r="D137" t="s">
        <v>110</v>
      </c>
      <c r="E137" t="s">
        <v>111</v>
      </c>
      <c r="F137" t="s">
        <v>30</v>
      </c>
      <c r="G137">
        <v>2104</v>
      </c>
      <c r="H137" s="6">
        <v>2</v>
      </c>
      <c r="I137" s="10">
        <v>1414.04</v>
      </c>
      <c r="J137" s="10">
        <v>1764.96</v>
      </c>
      <c r="K137" t="s">
        <v>46</v>
      </c>
      <c r="L137" s="3">
        <v>0.1</v>
      </c>
      <c r="M137" t="s">
        <v>39</v>
      </c>
      <c r="N137" s="10">
        <v>87.81</v>
      </c>
      <c r="O137" t="s">
        <v>101</v>
      </c>
      <c r="P137" s="5">
        <v>45793</v>
      </c>
      <c r="Q137" s="5">
        <v>45803</v>
      </c>
      <c r="S137" t="s">
        <v>54</v>
      </c>
      <c r="T137" s="6">
        <v>3</v>
      </c>
      <c r="U137" t="s">
        <v>243</v>
      </c>
      <c r="V137" s="10">
        <v>3176.9279999999999</v>
      </c>
      <c r="W137" s="10">
        <v>2828.08</v>
      </c>
      <c r="X137" s="10">
        <v>261.03800000000041</v>
      </c>
      <c r="Y137" s="11">
        <v>8.2166797610773792E-2</v>
      </c>
      <c r="Z137" s="6"/>
      <c r="AA137" t="s">
        <v>56</v>
      </c>
    </row>
    <row r="138" spans="1:27" x14ac:dyDescent="0.25">
      <c r="A138" t="s">
        <v>276</v>
      </c>
      <c r="B138">
        <v>5</v>
      </c>
      <c r="C138" s="9">
        <v>45792.686354166668</v>
      </c>
      <c r="D138" t="s">
        <v>105</v>
      </c>
      <c r="E138" t="s">
        <v>106</v>
      </c>
      <c r="F138" t="s">
        <v>30</v>
      </c>
      <c r="G138">
        <v>2042</v>
      </c>
      <c r="H138" s="6">
        <v>3</v>
      </c>
      <c r="I138" s="10">
        <v>310.92</v>
      </c>
      <c r="J138" s="10">
        <v>454.85</v>
      </c>
      <c r="L138" s="3">
        <v>0</v>
      </c>
      <c r="M138" t="s">
        <v>39</v>
      </c>
      <c r="N138" s="10">
        <v>141.05000000000001</v>
      </c>
      <c r="O138" t="s">
        <v>62</v>
      </c>
      <c r="P138" s="5">
        <v>45794</v>
      </c>
      <c r="Q138" s="5">
        <v>45799</v>
      </c>
      <c r="R138" s="5">
        <v>45801</v>
      </c>
      <c r="S138" t="s">
        <v>33</v>
      </c>
      <c r="T138" s="6">
        <v>2</v>
      </c>
      <c r="U138" t="s">
        <v>180</v>
      </c>
      <c r="V138" s="10">
        <v>1364.55</v>
      </c>
      <c r="W138" s="10">
        <v>932.76</v>
      </c>
      <c r="X138" s="10">
        <v>290.74000000000018</v>
      </c>
      <c r="Y138" s="11">
        <v>0.21306657872558729</v>
      </c>
      <c r="Z138" s="6">
        <v>2</v>
      </c>
      <c r="AA138" t="s">
        <v>103</v>
      </c>
    </row>
    <row r="139" spans="1:27" x14ac:dyDescent="0.25">
      <c r="A139" t="s">
        <v>277</v>
      </c>
      <c r="B139">
        <v>32</v>
      </c>
      <c r="C139" s="9">
        <v>45792.773611111108</v>
      </c>
      <c r="D139" t="s">
        <v>74</v>
      </c>
      <c r="E139" t="s">
        <v>75</v>
      </c>
      <c r="F139" t="s">
        <v>30</v>
      </c>
      <c r="G139">
        <v>2874</v>
      </c>
      <c r="H139" s="6">
        <v>3</v>
      </c>
      <c r="I139" s="10">
        <v>2381.94</v>
      </c>
      <c r="J139" s="10">
        <v>4296.76</v>
      </c>
      <c r="K139" t="s">
        <v>60</v>
      </c>
      <c r="L139" s="3">
        <v>0.2</v>
      </c>
      <c r="M139" t="s">
        <v>76</v>
      </c>
      <c r="N139" s="10">
        <v>138.19999999999999</v>
      </c>
      <c r="O139" t="s">
        <v>40</v>
      </c>
      <c r="P139" s="5">
        <v>45794</v>
      </c>
      <c r="Q139" s="5">
        <v>45801</v>
      </c>
      <c r="R139" s="5">
        <v>45800</v>
      </c>
      <c r="S139" t="s">
        <v>33</v>
      </c>
      <c r="T139" s="6">
        <v>4</v>
      </c>
      <c r="U139" t="s">
        <v>34</v>
      </c>
      <c r="V139" s="10">
        <v>10312.224</v>
      </c>
      <c r="W139" s="10">
        <v>7145.82</v>
      </c>
      <c r="X139" s="10">
        <v>3028.204000000002</v>
      </c>
      <c r="Y139" s="11">
        <v>0.29365188343465021</v>
      </c>
      <c r="Z139" s="6">
        <v>-1</v>
      </c>
      <c r="AA139" t="s">
        <v>35</v>
      </c>
    </row>
    <row r="140" spans="1:27" x14ac:dyDescent="0.25">
      <c r="A140" t="s">
        <v>278</v>
      </c>
      <c r="B140">
        <v>102</v>
      </c>
      <c r="C140" s="9">
        <v>45792.823437500003</v>
      </c>
      <c r="D140" t="s">
        <v>95</v>
      </c>
      <c r="E140" t="s">
        <v>96</v>
      </c>
      <c r="F140" t="s">
        <v>52</v>
      </c>
      <c r="G140">
        <v>347</v>
      </c>
      <c r="H140" s="6">
        <v>1</v>
      </c>
      <c r="I140" s="10">
        <v>26.66</v>
      </c>
      <c r="J140" s="10">
        <v>67.83</v>
      </c>
      <c r="K140" t="s">
        <v>60</v>
      </c>
      <c r="L140" s="3">
        <v>0.2</v>
      </c>
      <c r="M140" t="s">
        <v>31</v>
      </c>
      <c r="N140" s="10">
        <v>32.61</v>
      </c>
      <c r="O140" t="s">
        <v>40</v>
      </c>
      <c r="P140" s="5">
        <v>45794</v>
      </c>
      <c r="Q140" s="5">
        <v>45801</v>
      </c>
      <c r="R140" s="5">
        <v>45799</v>
      </c>
      <c r="S140" t="s">
        <v>33</v>
      </c>
      <c r="T140" s="6">
        <v>5</v>
      </c>
      <c r="U140" t="s">
        <v>211</v>
      </c>
      <c r="V140" s="10">
        <v>54.264000000000003</v>
      </c>
      <c r="W140" s="10">
        <v>26.66</v>
      </c>
      <c r="X140" s="10">
        <v>-5.0059999999999967</v>
      </c>
      <c r="Y140" s="11">
        <v>-9.2252690549904107E-2</v>
      </c>
      <c r="Z140" s="6">
        <v>-2</v>
      </c>
      <c r="AA140" t="s">
        <v>35</v>
      </c>
    </row>
    <row r="141" spans="1:27" x14ac:dyDescent="0.25">
      <c r="A141" t="s">
        <v>279</v>
      </c>
      <c r="B141">
        <v>177</v>
      </c>
      <c r="C141" s="9">
        <v>45793.498622685183</v>
      </c>
      <c r="D141" t="s">
        <v>74</v>
      </c>
      <c r="E141" t="s">
        <v>75</v>
      </c>
      <c r="F141" t="s">
        <v>30</v>
      </c>
      <c r="G141">
        <v>2895</v>
      </c>
      <c r="H141" s="6">
        <v>3</v>
      </c>
      <c r="I141" s="10">
        <v>2761.99</v>
      </c>
      <c r="J141" s="10">
        <v>3631.78</v>
      </c>
      <c r="K141" t="s">
        <v>46</v>
      </c>
      <c r="L141" s="3">
        <v>0.1</v>
      </c>
      <c r="M141" t="s">
        <v>39</v>
      </c>
      <c r="N141" s="10">
        <v>148.13999999999999</v>
      </c>
      <c r="O141" t="s">
        <v>32</v>
      </c>
      <c r="P141" s="5">
        <v>45794</v>
      </c>
      <c r="Q141" s="5">
        <v>45800</v>
      </c>
      <c r="R141" s="5">
        <v>45799</v>
      </c>
      <c r="S141" t="s">
        <v>33</v>
      </c>
      <c r="T141" s="6">
        <v>5</v>
      </c>
      <c r="U141" t="s">
        <v>112</v>
      </c>
      <c r="V141" s="10">
        <v>9805.8060000000005</v>
      </c>
      <c r="W141" s="10">
        <v>8285.9699999999993</v>
      </c>
      <c r="X141" s="10">
        <v>1371.696000000001</v>
      </c>
      <c r="Y141" s="11">
        <v>0.13988610421213729</v>
      </c>
      <c r="Z141" s="6">
        <v>-1</v>
      </c>
      <c r="AA141" t="s">
        <v>35</v>
      </c>
    </row>
    <row r="142" spans="1:27" x14ac:dyDescent="0.25">
      <c r="A142" t="s">
        <v>280</v>
      </c>
      <c r="B142">
        <v>17</v>
      </c>
      <c r="C142" s="9">
        <v>45794.564756944441</v>
      </c>
      <c r="D142" t="s">
        <v>105</v>
      </c>
      <c r="E142" t="s">
        <v>106</v>
      </c>
      <c r="F142" t="s">
        <v>30</v>
      </c>
      <c r="G142">
        <v>2001</v>
      </c>
      <c r="H142" s="6">
        <v>3</v>
      </c>
      <c r="I142" s="10">
        <v>288.69</v>
      </c>
      <c r="J142" s="10">
        <v>544.53</v>
      </c>
      <c r="K142" t="s">
        <v>46</v>
      </c>
      <c r="L142" s="3">
        <v>0.1</v>
      </c>
      <c r="M142" t="s">
        <v>39</v>
      </c>
      <c r="N142" s="10">
        <v>137.77000000000001</v>
      </c>
      <c r="O142" t="s">
        <v>99</v>
      </c>
      <c r="P142" s="5">
        <v>45796</v>
      </c>
      <c r="Q142" s="5">
        <v>45802</v>
      </c>
      <c r="R142" s="5">
        <v>45799</v>
      </c>
      <c r="S142" t="s">
        <v>33</v>
      </c>
      <c r="T142" s="6">
        <v>4</v>
      </c>
      <c r="U142" t="s">
        <v>41</v>
      </c>
      <c r="V142" s="10">
        <v>1470.231</v>
      </c>
      <c r="W142" s="10">
        <v>866.06999999999994</v>
      </c>
      <c r="X142" s="10">
        <v>466.39100000000008</v>
      </c>
      <c r="Y142" s="11">
        <v>0.31722293979653537</v>
      </c>
      <c r="Z142" s="6">
        <v>-3</v>
      </c>
      <c r="AA142" t="s">
        <v>35</v>
      </c>
    </row>
    <row r="143" spans="1:27" x14ac:dyDescent="0.25">
      <c r="A143" t="s">
        <v>281</v>
      </c>
      <c r="B143">
        <v>187</v>
      </c>
      <c r="C143" s="9">
        <v>45795.072824074072</v>
      </c>
      <c r="D143" t="s">
        <v>198</v>
      </c>
      <c r="E143" t="s">
        <v>199</v>
      </c>
      <c r="F143" t="s">
        <v>116</v>
      </c>
      <c r="G143">
        <v>0</v>
      </c>
      <c r="H143" s="6">
        <v>1</v>
      </c>
      <c r="I143" s="10">
        <v>428.34</v>
      </c>
      <c r="J143" s="10">
        <v>605.9</v>
      </c>
      <c r="L143" s="3">
        <v>0</v>
      </c>
      <c r="M143" t="s">
        <v>61</v>
      </c>
      <c r="N143" s="10">
        <v>17.649999999999999</v>
      </c>
      <c r="O143" t="s">
        <v>47</v>
      </c>
      <c r="P143" s="5">
        <v>45797</v>
      </c>
      <c r="Q143" s="5">
        <v>45802</v>
      </c>
      <c r="R143" s="5">
        <v>45799</v>
      </c>
      <c r="S143" t="s">
        <v>33</v>
      </c>
      <c r="T143" s="6">
        <v>4</v>
      </c>
      <c r="U143" t="s">
        <v>119</v>
      </c>
      <c r="V143" s="10">
        <v>605.9</v>
      </c>
      <c r="W143" s="10">
        <v>428.34</v>
      </c>
      <c r="X143" s="10">
        <v>159.91</v>
      </c>
      <c r="Y143" s="11">
        <v>0.26392143918138311</v>
      </c>
      <c r="Z143" s="6">
        <v>-3</v>
      </c>
      <c r="AA143" t="s">
        <v>35</v>
      </c>
    </row>
    <row r="144" spans="1:27" x14ac:dyDescent="0.25">
      <c r="A144" t="s">
        <v>282</v>
      </c>
      <c r="B144">
        <v>44</v>
      </c>
      <c r="C144" s="9">
        <v>45795.167766203696</v>
      </c>
      <c r="D144" t="s">
        <v>58</v>
      </c>
      <c r="E144" t="s">
        <v>59</v>
      </c>
      <c r="F144" t="s">
        <v>30</v>
      </c>
      <c r="G144">
        <v>4989</v>
      </c>
      <c r="H144" s="6">
        <v>2</v>
      </c>
      <c r="I144" s="10">
        <v>333.05</v>
      </c>
      <c r="J144" s="10">
        <v>551.87</v>
      </c>
      <c r="K144" t="s">
        <v>46</v>
      </c>
      <c r="L144" s="3">
        <v>0.1</v>
      </c>
      <c r="M144" t="s">
        <v>76</v>
      </c>
      <c r="N144" s="10">
        <v>128.06</v>
      </c>
      <c r="O144" t="s">
        <v>97</v>
      </c>
      <c r="P144" s="5">
        <v>45796</v>
      </c>
      <c r="Q144" s="5">
        <v>45805</v>
      </c>
      <c r="R144" s="5">
        <v>45800</v>
      </c>
      <c r="S144" t="s">
        <v>33</v>
      </c>
      <c r="T144" s="6">
        <v>5</v>
      </c>
      <c r="U144" t="s">
        <v>119</v>
      </c>
      <c r="V144" s="10">
        <v>993.36599999999999</v>
      </c>
      <c r="W144" s="10">
        <v>666.1</v>
      </c>
      <c r="X144" s="10">
        <v>199.20599999999999</v>
      </c>
      <c r="Y144" s="11">
        <v>0.20053635820030069</v>
      </c>
      <c r="Z144" s="6">
        <v>-5</v>
      </c>
      <c r="AA144" t="s">
        <v>35</v>
      </c>
    </row>
    <row r="145" spans="1:27" x14ac:dyDescent="0.25">
      <c r="A145" t="s">
        <v>283</v>
      </c>
      <c r="B145">
        <v>69</v>
      </c>
      <c r="C145" s="9">
        <v>45796.22729166667</v>
      </c>
      <c r="D145" t="s">
        <v>110</v>
      </c>
      <c r="E145" t="s">
        <v>111</v>
      </c>
      <c r="F145" t="s">
        <v>30</v>
      </c>
      <c r="G145">
        <v>2062</v>
      </c>
      <c r="H145" s="6">
        <v>3</v>
      </c>
      <c r="I145" s="10">
        <v>1157.93</v>
      </c>
      <c r="J145" s="10">
        <v>1656.88</v>
      </c>
      <c r="L145" s="3">
        <v>0</v>
      </c>
      <c r="M145" t="s">
        <v>39</v>
      </c>
      <c r="N145" s="10">
        <v>58.93</v>
      </c>
      <c r="O145" t="s">
        <v>40</v>
      </c>
      <c r="P145" s="5">
        <v>45797</v>
      </c>
      <c r="Q145" s="5">
        <v>45803</v>
      </c>
      <c r="R145" s="5">
        <v>45799</v>
      </c>
      <c r="S145" t="s">
        <v>33</v>
      </c>
      <c r="T145" s="6">
        <v>5</v>
      </c>
      <c r="U145" t="s">
        <v>84</v>
      </c>
      <c r="V145" s="10">
        <v>4970.6400000000003</v>
      </c>
      <c r="W145" s="10">
        <v>3473.79</v>
      </c>
      <c r="X145" s="10">
        <v>1437.92</v>
      </c>
      <c r="Y145" s="11">
        <v>0.28928266782547118</v>
      </c>
      <c r="Z145" s="6">
        <v>-4</v>
      </c>
      <c r="AA145" t="s">
        <v>35</v>
      </c>
    </row>
    <row r="146" spans="1:27" x14ac:dyDescent="0.25">
      <c r="A146" t="s">
        <v>284</v>
      </c>
      <c r="B146">
        <v>47</v>
      </c>
      <c r="C146" s="9">
        <v>45796.291805555556</v>
      </c>
      <c r="D146" t="s">
        <v>74</v>
      </c>
      <c r="E146" t="s">
        <v>75</v>
      </c>
      <c r="F146" t="s">
        <v>30</v>
      </c>
      <c r="G146">
        <v>2730</v>
      </c>
      <c r="H146" s="6">
        <v>2</v>
      </c>
      <c r="I146" s="10">
        <v>2926.02</v>
      </c>
      <c r="J146" s="10">
        <v>3475.29</v>
      </c>
      <c r="L146" s="3">
        <v>0</v>
      </c>
      <c r="M146" t="s">
        <v>61</v>
      </c>
      <c r="N146" s="10">
        <v>126.27</v>
      </c>
      <c r="O146" t="s">
        <v>47</v>
      </c>
      <c r="P146" s="5">
        <v>45798</v>
      </c>
      <c r="Q146" s="5">
        <v>45803</v>
      </c>
      <c r="R146" s="5">
        <v>45800</v>
      </c>
      <c r="S146" t="s">
        <v>33</v>
      </c>
      <c r="T146" s="6">
        <v>5</v>
      </c>
      <c r="U146" t="s">
        <v>172</v>
      </c>
      <c r="V146" s="10">
        <v>6950.58</v>
      </c>
      <c r="W146" s="10">
        <v>5852.04</v>
      </c>
      <c r="X146" s="10">
        <v>972.27</v>
      </c>
      <c r="Y146" s="11">
        <v>0.13988329031534061</v>
      </c>
      <c r="Z146" s="6">
        <v>-3</v>
      </c>
      <c r="AA146" t="s">
        <v>35</v>
      </c>
    </row>
    <row r="147" spans="1:27" x14ac:dyDescent="0.25">
      <c r="A147" t="s">
        <v>285</v>
      </c>
      <c r="B147">
        <v>172</v>
      </c>
      <c r="C147" s="9">
        <v>45796.326724537037</v>
      </c>
      <c r="D147" t="s">
        <v>148</v>
      </c>
      <c r="E147" t="s">
        <v>149</v>
      </c>
      <c r="F147" t="s">
        <v>30</v>
      </c>
      <c r="G147">
        <v>3269</v>
      </c>
      <c r="H147" s="6">
        <v>1</v>
      </c>
      <c r="I147" s="10">
        <v>437.91</v>
      </c>
      <c r="J147" s="10">
        <v>955.82</v>
      </c>
      <c r="K147" t="s">
        <v>60</v>
      </c>
      <c r="L147" s="3">
        <v>0.2</v>
      </c>
      <c r="M147" t="s">
        <v>76</v>
      </c>
      <c r="N147" s="10">
        <v>108.18</v>
      </c>
      <c r="O147" t="s">
        <v>264</v>
      </c>
      <c r="P147" s="5">
        <v>45798</v>
      </c>
      <c r="Q147" s="5">
        <v>45803</v>
      </c>
      <c r="R147" s="5">
        <v>45805</v>
      </c>
      <c r="S147" t="s">
        <v>33</v>
      </c>
      <c r="T147" s="6">
        <v>2</v>
      </c>
      <c r="U147" t="s">
        <v>258</v>
      </c>
      <c r="V147" s="10">
        <v>764.65600000000006</v>
      </c>
      <c r="W147" s="10">
        <v>437.91</v>
      </c>
      <c r="X147" s="10">
        <v>218.566</v>
      </c>
      <c r="Y147" s="11">
        <v>0.28583572220711012</v>
      </c>
      <c r="Z147" s="6">
        <v>2</v>
      </c>
      <c r="AA147" t="s">
        <v>103</v>
      </c>
    </row>
    <row r="148" spans="1:27" x14ac:dyDescent="0.25">
      <c r="A148" t="s">
        <v>286</v>
      </c>
      <c r="B148">
        <v>135</v>
      </c>
      <c r="C148" s="9">
        <v>45796.43037037037</v>
      </c>
      <c r="D148" t="s">
        <v>28</v>
      </c>
      <c r="E148" t="s">
        <v>29</v>
      </c>
      <c r="F148" t="s">
        <v>30</v>
      </c>
      <c r="G148">
        <v>2214</v>
      </c>
      <c r="H148" s="6">
        <v>2</v>
      </c>
      <c r="I148" s="10">
        <v>1777.81</v>
      </c>
      <c r="J148" s="10">
        <v>3378.03</v>
      </c>
      <c r="K148" t="s">
        <v>46</v>
      </c>
      <c r="L148" s="3">
        <v>0.1</v>
      </c>
      <c r="M148" t="s">
        <v>76</v>
      </c>
      <c r="N148" s="10">
        <v>139.93</v>
      </c>
      <c r="O148" t="s">
        <v>133</v>
      </c>
      <c r="P148" s="5">
        <v>45798</v>
      </c>
      <c r="Q148" s="5">
        <v>45806</v>
      </c>
      <c r="R148" s="5">
        <v>45801</v>
      </c>
      <c r="S148" t="s">
        <v>33</v>
      </c>
      <c r="T148" s="6">
        <v>5</v>
      </c>
      <c r="U148" t="s">
        <v>112</v>
      </c>
      <c r="V148" s="10">
        <v>6080.4540000000006</v>
      </c>
      <c r="W148" s="10">
        <v>3555.62</v>
      </c>
      <c r="X148" s="10">
        <v>2384.9040000000009</v>
      </c>
      <c r="Y148" s="11">
        <v>0.39222465954022517</v>
      </c>
      <c r="Z148" s="6">
        <v>-5</v>
      </c>
      <c r="AA148" t="s">
        <v>35</v>
      </c>
    </row>
    <row r="149" spans="1:27" x14ac:dyDescent="0.25">
      <c r="A149" t="s">
        <v>287</v>
      </c>
      <c r="B149">
        <v>108</v>
      </c>
      <c r="C149" s="9">
        <v>45796.750937500001</v>
      </c>
      <c r="D149" t="s">
        <v>28</v>
      </c>
      <c r="E149" t="s">
        <v>29</v>
      </c>
      <c r="F149" t="s">
        <v>30</v>
      </c>
      <c r="G149">
        <v>2525</v>
      </c>
      <c r="H149" s="6">
        <v>2</v>
      </c>
      <c r="I149" s="10">
        <v>2369.13</v>
      </c>
      <c r="J149" s="10">
        <v>3409.71</v>
      </c>
      <c r="L149" s="3">
        <v>0</v>
      </c>
      <c r="M149" t="s">
        <v>39</v>
      </c>
      <c r="N149" s="10">
        <v>66.64</v>
      </c>
      <c r="O149" t="s">
        <v>62</v>
      </c>
      <c r="P149" s="5">
        <v>45798</v>
      </c>
      <c r="Q149" s="5">
        <v>45804</v>
      </c>
      <c r="R149" s="5">
        <v>45807</v>
      </c>
      <c r="S149" t="s">
        <v>33</v>
      </c>
      <c r="T149" s="6">
        <v>1</v>
      </c>
      <c r="U149" t="s">
        <v>258</v>
      </c>
      <c r="V149" s="10">
        <v>6819.42</v>
      </c>
      <c r="W149" s="10">
        <v>4738.26</v>
      </c>
      <c r="X149" s="10">
        <v>2014.52</v>
      </c>
      <c r="Y149" s="11">
        <v>0.29540928700681279</v>
      </c>
      <c r="Z149" s="6">
        <v>3</v>
      </c>
      <c r="AA149" t="s">
        <v>103</v>
      </c>
    </row>
    <row r="150" spans="1:27" x14ac:dyDescent="0.25">
      <c r="A150" t="s">
        <v>288</v>
      </c>
      <c r="B150">
        <v>19</v>
      </c>
      <c r="C150" s="9">
        <v>45797.116678240738</v>
      </c>
      <c r="D150" t="s">
        <v>137</v>
      </c>
      <c r="E150" t="s">
        <v>138</v>
      </c>
      <c r="F150" t="s">
        <v>52</v>
      </c>
      <c r="G150">
        <v>418</v>
      </c>
      <c r="H150" s="6">
        <v>3</v>
      </c>
      <c r="I150" s="10">
        <v>113.83</v>
      </c>
      <c r="J150" s="10">
        <v>156.77000000000001</v>
      </c>
      <c r="K150" t="s">
        <v>46</v>
      </c>
      <c r="L150" s="3">
        <v>0.1</v>
      </c>
      <c r="M150" t="s">
        <v>76</v>
      </c>
      <c r="N150" s="10">
        <v>22.13</v>
      </c>
      <c r="O150" t="s">
        <v>62</v>
      </c>
      <c r="P150" s="5">
        <v>45799</v>
      </c>
      <c r="Q150" s="5">
        <v>45809</v>
      </c>
      <c r="R150" s="5">
        <v>45804</v>
      </c>
      <c r="S150" t="s">
        <v>33</v>
      </c>
      <c r="T150" s="6">
        <v>4</v>
      </c>
      <c r="U150" t="s">
        <v>41</v>
      </c>
      <c r="V150" s="10">
        <v>423.27900000000011</v>
      </c>
      <c r="W150" s="10">
        <v>341.49</v>
      </c>
      <c r="X150" s="10">
        <v>59.659000000000049</v>
      </c>
      <c r="Y150" s="11">
        <v>0.14094486142709661</v>
      </c>
      <c r="Z150" s="6">
        <v>-5</v>
      </c>
      <c r="AA150" t="s">
        <v>35</v>
      </c>
    </row>
    <row r="151" spans="1:27" x14ac:dyDescent="0.25">
      <c r="A151" t="s">
        <v>289</v>
      </c>
      <c r="B151">
        <v>150</v>
      </c>
      <c r="C151" s="9">
        <v>45797.41946759259</v>
      </c>
      <c r="D151" t="s">
        <v>148</v>
      </c>
      <c r="E151" t="s">
        <v>149</v>
      </c>
      <c r="F151" t="s">
        <v>30</v>
      </c>
      <c r="G151">
        <v>3238</v>
      </c>
      <c r="H151" s="6">
        <v>2</v>
      </c>
      <c r="I151" s="10">
        <v>586.42999999999995</v>
      </c>
      <c r="J151" s="10">
        <v>883.06</v>
      </c>
      <c r="L151" s="3">
        <v>0</v>
      </c>
      <c r="M151" t="s">
        <v>31</v>
      </c>
      <c r="N151" s="10">
        <v>71.75</v>
      </c>
      <c r="O151" t="s">
        <v>47</v>
      </c>
      <c r="P151" s="5">
        <v>45799</v>
      </c>
      <c r="Q151" s="5">
        <v>45805</v>
      </c>
      <c r="S151" t="s">
        <v>63</v>
      </c>
      <c r="T151" s="6">
        <v>2</v>
      </c>
      <c r="U151" t="s">
        <v>258</v>
      </c>
      <c r="V151" s="10">
        <v>1766.12</v>
      </c>
      <c r="W151" s="10">
        <v>1172.8599999999999</v>
      </c>
      <c r="X151" s="10">
        <v>521.51</v>
      </c>
      <c r="Y151" s="11">
        <v>0.29528571105021179</v>
      </c>
      <c r="Z151" s="6"/>
      <c r="AA151" t="s">
        <v>56</v>
      </c>
    </row>
    <row r="152" spans="1:27" x14ac:dyDescent="0.25">
      <c r="A152" t="s">
        <v>290</v>
      </c>
      <c r="B152">
        <v>9</v>
      </c>
      <c r="C152" s="9">
        <v>45797.893333333333</v>
      </c>
      <c r="D152" t="s">
        <v>148</v>
      </c>
      <c r="E152" t="s">
        <v>149</v>
      </c>
      <c r="F152" t="s">
        <v>30</v>
      </c>
      <c r="G152">
        <v>2624</v>
      </c>
      <c r="H152" s="6">
        <v>2</v>
      </c>
      <c r="I152" s="10">
        <v>494.86</v>
      </c>
      <c r="J152" s="10">
        <v>616.91999999999996</v>
      </c>
      <c r="L152" s="3">
        <v>0</v>
      </c>
      <c r="M152" t="s">
        <v>39</v>
      </c>
      <c r="N152" s="10">
        <v>61.26</v>
      </c>
      <c r="O152" t="s">
        <v>126</v>
      </c>
      <c r="P152" s="5">
        <v>45799</v>
      </c>
      <c r="Q152" s="5">
        <v>45809</v>
      </c>
      <c r="S152" t="s">
        <v>54</v>
      </c>
      <c r="T152" s="6">
        <v>2</v>
      </c>
      <c r="U152" t="s">
        <v>180</v>
      </c>
      <c r="V152" s="10">
        <v>1233.8399999999999</v>
      </c>
      <c r="W152" s="10">
        <v>989.72</v>
      </c>
      <c r="X152" s="10">
        <v>182.8599999999999</v>
      </c>
      <c r="Y152" s="11">
        <v>0.1482039810672372</v>
      </c>
      <c r="Z152" s="6"/>
      <c r="AA152" t="s">
        <v>56</v>
      </c>
    </row>
    <row r="153" spans="1:27" x14ac:dyDescent="0.25">
      <c r="A153" t="s">
        <v>291</v>
      </c>
      <c r="B153">
        <v>19</v>
      </c>
      <c r="C153" s="9">
        <v>45798.089097222219</v>
      </c>
      <c r="D153" t="s">
        <v>105</v>
      </c>
      <c r="E153" t="s">
        <v>106</v>
      </c>
      <c r="F153" t="s">
        <v>30</v>
      </c>
      <c r="G153">
        <v>2049</v>
      </c>
      <c r="H153" s="6">
        <v>3</v>
      </c>
      <c r="I153" s="10">
        <v>211.93</v>
      </c>
      <c r="J153" s="10">
        <v>576.28</v>
      </c>
      <c r="L153" s="3">
        <v>0</v>
      </c>
      <c r="M153" t="s">
        <v>76</v>
      </c>
      <c r="N153" s="10">
        <v>113.79</v>
      </c>
      <c r="O153" t="s">
        <v>150</v>
      </c>
      <c r="P153" s="5">
        <v>45800</v>
      </c>
      <c r="Q153" s="5">
        <v>45805</v>
      </c>
      <c r="S153" t="s">
        <v>63</v>
      </c>
      <c r="T153" s="6">
        <v>2</v>
      </c>
      <c r="U153" t="s">
        <v>180</v>
      </c>
      <c r="V153" s="10">
        <v>1728.84</v>
      </c>
      <c r="W153" s="10">
        <v>635.79</v>
      </c>
      <c r="X153" s="10">
        <v>979.26</v>
      </c>
      <c r="Y153" s="11">
        <v>0.56642604289581455</v>
      </c>
      <c r="Z153" s="6"/>
      <c r="AA153" t="s">
        <v>56</v>
      </c>
    </row>
    <row r="154" spans="1:27" x14ac:dyDescent="0.25">
      <c r="A154" t="s">
        <v>292</v>
      </c>
      <c r="B154">
        <v>90</v>
      </c>
      <c r="C154" s="9">
        <v>45798.367789351847</v>
      </c>
      <c r="D154" t="s">
        <v>114</v>
      </c>
      <c r="E154" t="s">
        <v>115</v>
      </c>
      <c r="F154" t="s">
        <v>116</v>
      </c>
      <c r="G154">
        <v>0</v>
      </c>
      <c r="H154" s="6">
        <v>3</v>
      </c>
      <c r="I154" s="10">
        <v>449.86</v>
      </c>
      <c r="J154" s="10">
        <v>598.19000000000005</v>
      </c>
      <c r="L154" s="3">
        <v>0</v>
      </c>
      <c r="M154" t="s">
        <v>76</v>
      </c>
      <c r="N154" s="10">
        <v>19.82</v>
      </c>
      <c r="O154" t="s">
        <v>264</v>
      </c>
      <c r="P154" s="5">
        <v>45799</v>
      </c>
      <c r="Q154" s="5">
        <v>45807</v>
      </c>
      <c r="S154" t="s">
        <v>63</v>
      </c>
      <c r="T154" s="6">
        <v>2</v>
      </c>
      <c r="U154" t="s">
        <v>140</v>
      </c>
      <c r="V154" s="10">
        <v>1794.57</v>
      </c>
      <c r="W154" s="10">
        <v>1349.58</v>
      </c>
      <c r="X154" s="10">
        <v>425.17000000000019</v>
      </c>
      <c r="Y154" s="11">
        <v>0.23692026502170449</v>
      </c>
      <c r="Z154" s="6"/>
      <c r="AA154" t="s">
        <v>56</v>
      </c>
    </row>
    <row r="155" spans="1:27" x14ac:dyDescent="0.25">
      <c r="A155" t="s">
        <v>293</v>
      </c>
      <c r="B155">
        <v>103</v>
      </c>
      <c r="C155" s="9">
        <v>45798.428831018522</v>
      </c>
      <c r="D155" t="s">
        <v>66</v>
      </c>
      <c r="E155" t="s">
        <v>67</v>
      </c>
      <c r="F155" t="s">
        <v>52</v>
      </c>
      <c r="G155">
        <v>248</v>
      </c>
      <c r="H155" s="6">
        <v>2</v>
      </c>
      <c r="I155" s="10">
        <v>50.72</v>
      </c>
      <c r="J155" s="10">
        <v>66.849999999999994</v>
      </c>
      <c r="L155" s="3">
        <v>0</v>
      </c>
      <c r="M155" t="s">
        <v>76</v>
      </c>
      <c r="N155" s="10">
        <v>29.58</v>
      </c>
      <c r="O155" t="s">
        <v>157</v>
      </c>
      <c r="P155" s="5">
        <v>45800</v>
      </c>
      <c r="Q155" s="5">
        <v>45808</v>
      </c>
      <c r="R155" s="5">
        <v>45803</v>
      </c>
      <c r="S155" t="s">
        <v>33</v>
      </c>
      <c r="T155" s="6">
        <v>5</v>
      </c>
      <c r="U155" t="s">
        <v>117</v>
      </c>
      <c r="V155" s="10">
        <v>133.69999999999999</v>
      </c>
      <c r="W155" s="10">
        <v>101.44</v>
      </c>
      <c r="X155" s="10">
        <v>2.6799999999999931</v>
      </c>
      <c r="Y155" s="11">
        <v>2.0044876589379149E-2</v>
      </c>
      <c r="Z155" s="6">
        <v>-5</v>
      </c>
      <c r="AA155" t="s">
        <v>35</v>
      </c>
    </row>
    <row r="156" spans="1:27" x14ac:dyDescent="0.25">
      <c r="A156" t="s">
        <v>294</v>
      </c>
      <c r="B156">
        <v>154</v>
      </c>
      <c r="C156" s="9">
        <v>45798.482303240737</v>
      </c>
      <c r="D156" t="s">
        <v>86</v>
      </c>
      <c r="E156" t="s">
        <v>87</v>
      </c>
      <c r="F156" t="s">
        <v>45</v>
      </c>
      <c r="G156">
        <v>0</v>
      </c>
      <c r="H156" s="6">
        <v>3</v>
      </c>
      <c r="I156" s="10">
        <v>89.76</v>
      </c>
      <c r="J156" s="10">
        <v>161.49</v>
      </c>
      <c r="L156" s="3">
        <v>0</v>
      </c>
      <c r="M156" t="s">
        <v>39</v>
      </c>
      <c r="N156" s="10">
        <v>18.37</v>
      </c>
      <c r="O156" t="s">
        <v>40</v>
      </c>
      <c r="P156" s="5">
        <v>45799</v>
      </c>
      <c r="Q156" s="5">
        <v>45806</v>
      </c>
      <c r="R156" s="5">
        <v>45810</v>
      </c>
      <c r="S156" t="s">
        <v>33</v>
      </c>
      <c r="T156" s="6">
        <v>2</v>
      </c>
      <c r="U156" t="s">
        <v>180</v>
      </c>
      <c r="V156" s="10">
        <v>484.47</v>
      </c>
      <c r="W156" s="10">
        <v>269.27999999999997</v>
      </c>
      <c r="X156" s="10">
        <v>196.82</v>
      </c>
      <c r="Y156" s="11">
        <v>0.40625838545214349</v>
      </c>
      <c r="Z156" s="6">
        <v>4</v>
      </c>
      <c r="AA156" t="s">
        <v>103</v>
      </c>
    </row>
    <row r="157" spans="1:27" x14ac:dyDescent="0.25">
      <c r="A157" t="s">
        <v>295</v>
      </c>
      <c r="B157">
        <v>194</v>
      </c>
      <c r="C157" s="9">
        <v>45798.811168981483</v>
      </c>
      <c r="D157" t="s">
        <v>137</v>
      </c>
      <c r="E157" t="s">
        <v>138</v>
      </c>
      <c r="F157" t="s">
        <v>52</v>
      </c>
      <c r="G157">
        <v>450</v>
      </c>
      <c r="H157" s="6">
        <v>3</v>
      </c>
      <c r="I157" s="10">
        <v>133.49</v>
      </c>
      <c r="J157" s="10">
        <v>163.37</v>
      </c>
      <c r="K157" t="s">
        <v>60</v>
      </c>
      <c r="L157" s="3">
        <v>0.2</v>
      </c>
      <c r="M157" t="s">
        <v>39</v>
      </c>
      <c r="N157" s="10">
        <v>57.9</v>
      </c>
      <c r="O157" t="s">
        <v>126</v>
      </c>
      <c r="P157" s="5">
        <v>45800</v>
      </c>
      <c r="Q157" s="5">
        <v>45810</v>
      </c>
      <c r="R157" s="5">
        <v>45809</v>
      </c>
      <c r="S157" t="s">
        <v>33</v>
      </c>
      <c r="T157" s="6">
        <v>5</v>
      </c>
      <c r="U157" t="s">
        <v>134</v>
      </c>
      <c r="V157" s="10">
        <v>392.08800000000002</v>
      </c>
      <c r="W157" s="10">
        <v>400.47</v>
      </c>
      <c r="X157" s="10">
        <v>-66.282000000000011</v>
      </c>
      <c r="Y157" s="11">
        <v>-0.16904878496664019</v>
      </c>
      <c r="Z157" s="6">
        <v>-1</v>
      </c>
      <c r="AA157" t="s">
        <v>35</v>
      </c>
    </row>
    <row r="158" spans="1:27" x14ac:dyDescent="0.25">
      <c r="A158" t="s">
        <v>296</v>
      </c>
      <c r="B158">
        <v>131</v>
      </c>
      <c r="C158" s="9">
        <v>45799.28402777778</v>
      </c>
      <c r="D158" t="s">
        <v>58</v>
      </c>
      <c r="E158" t="s">
        <v>59</v>
      </c>
      <c r="F158" t="s">
        <v>30</v>
      </c>
      <c r="G158">
        <v>4215</v>
      </c>
      <c r="H158" s="6">
        <v>1</v>
      </c>
      <c r="I158" s="10">
        <v>359.61</v>
      </c>
      <c r="J158" s="10">
        <v>622.33000000000004</v>
      </c>
      <c r="K158" t="s">
        <v>46</v>
      </c>
      <c r="L158" s="3">
        <v>0.1</v>
      </c>
      <c r="M158" t="s">
        <v>76</v>
      </c>
      <c r="N158" s="10">
        <v>144.69999999999999</v>
      </c>
      <c r="O158" t="s">
        <v>97</v>
      </c>
      <c r="P158" s="5">
        <v>45801</v>
      </c>
      <c r="Q158" s="5">
        <v>45807</v>
      </c>
      <c r="R158" s="5">
        <v>45812</v>
      </c>
      <c r="S158" t="s">
        <v>33</v>
      </c>
      <c r="T158" s="6">
        <v>3</v>
      </c>
      <c r="U158" t="s">
        <v>146</v>
      </c>
      <c r="V158" s="10">
        <v>560.09700000000009</v>
      </c>
      <c r="W158" s="10">
        <v>359.61</v>
      </c>
      <c r="X158" s="10">
        <v>55.787000000000091</v>
      </c>
      <c r="Y158" s="11">
        <v>9.9602390300251711E-2</v>
      </c>
      <c r="Z158" s="6">
        <v>5</v>
      </c>
      <c r="AA158" t="s">
        <v>103</v>
      </c>
    </row>
    <row r="159" spans="1:27" x14ac:dyDescent="0.25">
      <c r="A159" t="s">
        <v>297</v>
      </c>
      <c r="B159">
        <v>88</v>
      </c>
      <c r="C159" s="9">
        <v>45799.759837962964</v>
      </c>
      <c r="D159" t="s">
        <v>137</v>
      </c>
      <c r="E159" t="s">
        <v>138</v>
      </c>
      <c r="F159" t="s">
        <v>52</v>
      </c>
      <c r="G159">
        <v>408</v>
      </c>
      <c r="H159" s="6">
        <v>3</v>
      </c>
      <c r="I159" s="10">
        <v>77.739999999999995</v>
      </c>
      <c r="J159" s="10">
        <v>262.24</v>
      </c>
      <c r="K159" t="s">
        <v>60</v>
      </c>
      <c r="L159" s="3">
        <v>0.2</v>
      </c>
      <c r="M159" t="s">
        <v>39</v>
      </c>
      <c r="N159" s="10">
        <v>58.28</v>
      </c>
      <c r="O159" t="s">
        <v>133</v>
      </c>
      <c r="P159" s="5">
        <v>45800</v>
      </c>
      <c r="Q159" s="5">
        <v>45810</v>
      </c>
      <c r="R159" s="5">
        <v>45815</v>
      </c>
      <c r="S159" t="s">
        <v>33</v>
      </c>
      <c r="T159" s="6">
        <v>3</v>
      </c>
      <c r="U159" t="s">
        <v>121</v>
      </c>
      <c r="V159" s="10">
        <v>629.37600000000009</v>
      </c>
      <c r="W159" s="10">
        <v>233.22</v>
      </c>
      <c r="X159" s="10">
        <v>337.87600000000009</v>
      </c>
      <c r="Y159" s="11">
        <v>0.53684284116331105</v>
      </c>
      <c r="Z159" s="6">
        <v>5</v>
      </c>
      <c r="AA159" t="s">
        <v>103</v>
      </c>
    </row>
    <row r="160" spans="1:27" x14ac:dyDescent="0.25">
      <c r="A160" t="s">
        <v>298</v>
      </c>
      <c r="B160">
        <v>183</v>
      </c>
      <c r="C160" s="9">
        <v>45800.229189814818</v>
      </c>
      <c r="D160" t="s">
        <v>37</v>
      </c>
      <c r="E160" t="s">
        <v>38</v>
      </c>
      <c r="F160" t="s">
        <v>30</v>
      </c>
      <c r="G160">
        <v>2545</v>
      </c>
      <c r="H160" s="6">
        <v>2</v>
      </c>
      <c r="I160" s="10">
        <v>671.22</v>
      </c>
      <c r="J160" s="10">
        <v>1125.1600000000001</v>
      </c>
      <c r="L160" s="3">
        <v>0</v>
      </c>
      <c r="M160" t="s">
        <v>39</v>
      </c>
      <c r="N160" s="10">
        <v>115.09</v>
      </c>
      <c r="O160" t="s">
        <v>97</v>
      </c>
      <c r="P160" s="5">
        <v>45802</v>
      </c>
      <c r="Q160" s="5">
        <v>45809</v>
      </c>
      <c r="R160" s="5">
        <v>45809</v>
      </c>
      <c r="S160" t="s">
        <v>33</v>
      </c>
      <c r="T160" s="6">
        <v>5</v>
      </c>
      <c r="U160" t="s">
        <v>79</v>
      </c>
      <c r="V160" s="10">
        <v>2250.3200000000002</v>
      </c>
      <c r="W160" s="10">
        <v>1342.44</v>
      </c>
      <c r="X160" s="10">
        <v>792.79000000000008</v>
      </c>
      <c r="Y160" s="11">
        <v>0.35230100607913539</v>
      </c>
      <c r="Z160" s="6">
        <v>0</v>
      </c>
      <c r="AA160" t="s">
        <v>35</v>
      </c>
    </row>
    <row r="161" spans="1:27" x14ac:dyDescent="0.25">
      <c r="A161" t="s">
        <v>299</v>
      </c>
      <c r="B161">
        <v>167</v>
      </c>
      <c r="C161" s="9">
        <v>45800.694131944438</v>
      </c>
      <c r="D161" t="s">
        <v>110</v>
      </c>
      <c r="E161" t="s">
        <v>111</v>
      </c>
      <c r="F161" t="s">
        <v>30</v>
      </c>
      <c r="G161">
        <v>2136</v>
      </c>
      <c r="H161" s="6">
        <v>2</v>
      </c>
      <c r="I161" s="10">
        <v>1347.83</v>
      </c>
      <c r="J161" s="10">
        <v>1817.64</v>
      </c>
      <c r="L161" s="3">
        <v>0</v>
      </c>
      <c r="M161" t="s">
        <v>31</v>
      </c>
      <c r="N161" s="10">
        <v>67.62</v>
      </c>
      <c r="O161" t="s">
        <v>32</v>
      </c>
      <c r="P161" s="5">
        <v>45801</v>
      </c>
      <c r="Q161" s="5">
        <v>45807</v>
      </c>
      <c r="R161" s="5">
        <v>45804</v>
      </c>
      <c r="S161" t="s">
        <v>33</v>
      </c>
      <c r="T161" s="6">
        <v>5</v>
      </c>
      <c r="U161" t="s">
        <v>34</v>
      </c>
      <c r="V161" s="10">
        <v>3635.28</v>
      </c>
      <c r="W161" s="10">
        <v>2695.66</v>
      </c>
      <c r="X161" s="10">
        <v>872.00000000000034</v>
      </c>
      <c r="Y161" s="11">
        <v>0.23987148170154721</v>
      </c>
      <c r="Z161" s="6">
        <v>-3</v>
      </c>
      <c r="AA161" t="s">
        <v>35</v>
      </c>
    </row>
    <row r="162" spans="1:27" x14ac:dyDescent="0.25">
      <c r="A162" t="s">
        <v>300</v>
      </c>
      <c r="B162">
        <v>131</v>
      </c>
      <c r="C162" s="9">
        <v>45801.286643518521</v>
      </c>
      <c r="D162" t="s">
        <v>28</v>
      </c>
      <c r="E162" t="s">
        <v>29</v>
      </c>
      <c r="F162" t="s">
        <v>30</v>
      </c>
      <c r="G162">
        <v>2026</v>
      </c>
      <c r="H162" s="6">
        <v>2</v>
      </c>
      <c r="I162" s="10">
        <v>1808.8</v>
      </c>
      <c r="J162" s="10">
        <v>3053.3</v>
      </c>
      <c r="L162" s="3">
        <v>0</v>
      </c>
      <c r="M162" t="s">
        <v>61</v>
      </c>
      <c r="N162" s="10">
        <v>84.71</v>
      </c>
      <c r="O162" t="s">
        <v>47</v>
      </c>
      <c r="P162" s="5">
        <v>45803</v>
      </c>
      <c r="Q162" s="5">
        <v>45810</v>
      </c>
      <c r="R162" s="5">
        <v>45808</v>
      </c>
      <c r="S162" t="s">
        <v>33</v>
      </c>
      <c r="T162" s="6">
        <v>4</v>
      </c>
      <c r="U162" t="s">
        <v>84</v>
      </c>
      <c r="V162" s="10">
        <v>6106.6</v>
      </c>
      <c r="W162" s="10">
        <v>3617.6</v>
      </c>
      <c r="X162" s="10">
        <v>2404.29</v>
      </c>
      <c r="Y162" s="11">
        <v>0.39371990960600012</v>
      </c>
      <c r="Z162" s="6">
        <v>-2</v>
      </c>
      <c r="AA162" t="s">
        <v>35</v>
      </c>
    </row>
    <row r="163" spans="1:27" x14ac:dyDescent="0.25">
      <c r="A163" t="s">
        <v>301</v>
      </c>
      <c r="B163">
        <v>62</v>
      </c>
      <c r="C163" s="9">
        <v>45801.327824074076</v>
      </c>
      <c r="D163" t="s">
        <v>71</v>
      </c>
      <c r="E163" t="s">
        <v>72</v>
      </c>
      <c r="F163" t="s">
        <v>52</v>
      </c>
      <c r="G163">
        <v>273</v>
      </c>
      <c r="H163" s="6">
        <v>3</v>
      </c>
      <c r="I163" s="10">
        <v>42.81</v>
      </c>
      <c r="J163" s="10">
        <v>140.18</v>
      </c>
      <c r="K163" t="s">
        <v>46</v>
      </c>
      <c r="L163" s="3">
        <v>0.1</v>
      </c>
      <c r="M163" t="s">
        <v>31</v>
      </c>
      <c r="N163" s="10">
        <v>45.9</v>
      </c>
      <c r="O163" t="s">
        <v>83</v>
      </c>
      <c r="P163" s="5">
        <v>45803</v>
      </c>
      <c r="Q163" s="5">
        <v>45811</v>
      </c>
      <c r="R163" s="5">
        <v>45815</v>
      </c>
      <c r="S163" t="s">
        <v>33</v>
      </c>
      <c r="T163" s="6">
        <v>1</v>
      </c>
      <c r="U163" t="s">
        <v>180</v>
      </c>
      <c r="V163" s="10">
        <v>378.48599999999999</v>
      </c>
      <c r="W163" s="10">
        <v>128.43</v>
      </c>
      <c r="X163" s="10">
        <v>204.15600000000001</v>
      </c>
      <c r="Y163" s="11">
        <v>0.53940172159604316</v>
      </c>
      <c r="Z163" s="6">
        <v>4</v>
      </c>
      <c r="AA163" t="s">
        <v>103</v>
      </c>
    </row>
    <row r="164" spans="1:27" x14ac:dyDescent="0.25">
      <c r="A164" t="s">
        <v>302</v>
      </c>
      <c r="B164">
        <v>97</v>
      </c>
      <c r="C164" s="9">
        <v>45801.405115740738</v>
      </c>
      <c r="D164" t="s">
        <v>92</v>
      </c>
      <c r="E164" t="s">
        <v>93</v>
      </c>
      <c r="F164" t="s">
        <v>52</v>
      </c>
      <c r="G164">
        <v>265</v>
      </c>
      <c r="H164" s="6">
        <v>1</v>
      </c>
      <c r="I164" s="10">
        <v>57.59</v>
      </c>
      <c r="J164" s="10">
        <v>108.35</v>
      </c>
      <c r="L164" s="3">
        <v>0</v>
      </c>
      <c r="M164" t="s">
        <v>39</v>
      </c>
      <c r="N164" s="10">
        <v>34.6</v>
      </c>
      <c r="O164" t="s">
        <v>40</v>
      </c>
      <c r="P164" s="5">
        <v>45802</v>
      </c>
      <c r="Q164" s="5">
        <v>45809</v>
      </c>
      <c r="R164" s="5">
        <v>45807</v>
      </c>
      <c r="S164" t="s">
        <v>33</v>
      </c>
      <c r="T164" s="6">
        <v>4</v>
      </c>
      <c r="U164" t="s">
        <v>166</v>
      </c>
      <c r="V164" s="10">
        <v>108.35</v>
      </c>
      <c r="W164" s="10">
        <v>57.59</v>
      </c>
      <c r="X164" s="10">
        <v>16.159999999999989</v>
      </c>
      <c r="Y164" s="11">
        <v>0.14914628518689421</v>
      </c>
      <c r="Z164" s="6">
        <v>-2</v>
      </c>
      <c r="AA164" t="s">
        <v>35</v>
      </c>
    </row>
    <row r="165" spans="1:27" x14ac:dyDescent="0.25">
      <c r="A165" t="s">
        <v>303</v>
      </c>
      <c r="B165">
        <v>194</v>
      </c>
      <c r="C165" s="9">
        <v>45801.421458333331</v>
      </c>
      <c r="D165" t="s">
        <v>155</v>
      </c>
      <c r="E165" t="s">
        <v>156</v>
      </c>
      <c r="F165" t="s">
        <v>30</v>
      </c>
      <c r="G165">
        <v>3989</v>
      </c>
      <c r="H165" s="6">
        <v>2</v>
      </c>
      <c r="I165" s="10">
        <v>740.41</v>
      </c>
      <c r="J165" s="10">
        <v>1952.81</v>
      </c>
      <c r="K165" t="s">
        <v>60</v>
      </c>
      <c r="L165" s="3">
        <v>0.2</v>
      </c>
      <c r="M165" t="s">
        <v>61</v>
      </c>
      <c r="N165" s="10">
        <v>77.75</v>
      </c>
      <c r="O165" t="s">
        <v>99</v>
      </c>
      <c r="P165" s="5">
        <v>45802</v>
      </c>
      <c r="Q165" s="5">
        <v>45810</v>
      </c>
      <c r="R165" s="5">
        <v>45808</v>
      </c>
      <c r="S165" t="s">
        <v>33</v>
      </c>
      <c r="T165" s="6">
        <v>5</v>
      </c>
      <c r="U165" t="s">
        <v>172</v>
      </c>
      <c r="V165" s="10">
        <v>3124.4960000000001</v>
      </c>
      <c r="W165" s="10">
        <v>1480.82</v>
      </c>
      <c r="X165" s="10">
        <v>1565.9259999999999</v>
      </c>
      <c r="Y165" s="11">
        <v>0.50117714985072792</v>
      </c>
      <c r="Z165" s="6">
        <v>-2</v>
      </c>
      <c r="AA165" t="s">
        <v>35</v>
      </c>
    </row>
    <row r="166" spans="1:27" x14ac:dyDescent="0.25">
      <c r="A166" t="s">
        <v>304</v>
      </c>
      <c r="B166">
        <v>118</v>
      </c>
      <c r="C166" s="9">
        <v>45802.450069444443</v>
      </c>
      <c r="D166" t="s">
        <v>155</v>
      </c>
      <c r="E166" t="s">
        <v>156</v>
      </c>
      <c r="F166" t="s">
        <v>30</v>
      </c>
      <c r="G166">
        <v>3879</v>
      </c>
      <c r="H166" s="6">
        <v>3</v>
      </c>
      <c r="I166" s="10">
        <v>1000.39</v>
      </c>
      <c r="J166" s="10">
        <v>1343.8</v>
      </c>
      <c r="L166" s="3">
        <v>0</v>
      </c>
      <c r="M166" t="s">
        <v>61</v>
      </c>
      <c r="N166" s="10">
        <v>98.64</v>
      </c>
      <c r="O166" t="s">
        <v>62</v>
      </c>
      <c r="P166" s="5">
        <v>45804</v>
      </c>
      <c r="Q166" s="5">
        <v>45813</v>
      </c>
      <c r="R166" s="5">
        <v>45812</v>
      </c>
      <c r="S166" t="s">
        <v>33</v>
      </c>
      <c r="T166" s="6">
        <v>5</v>
      </c>
      <c r="U166" t="s">
        <v>117</v>
      </c>
      <c r="V166" s="10">
        <v>4031.4</v>
      </c>
      <c r="W166" s="10">
        <v>3001.17</v>
      </c>
      <c r="X166" s="10">
        <v>931.58999999999958</v>
      </c>
      <c r="Y166" s="11">
        <v>0.2310834945676439</v>
      </c>
      <c r="Z166" s="6">
        <v>-1</v>
      </c>
      <c r="AA166" t="s">
        <v>35</v>
      </c>
    </row>
    <row r="167" spans="1:27" x14ac:dyDescent="0.25">
      <c r="A167" t="s">
        <v>305</v>
      </c>
      <c r="B167">
        <v>5</v>
      </c>
      <c r="C167" s="9">
        <v>45802.460717592592</v>
      </c>
      <c r="D167" t="s">
        <v>86</v>
      </c>
      <c r="E167" t="s">
        <v>87</v>
      </c>
      <c r="F167" t="s">
        <v>45</v>
      </c>
      <c r="G167">
        <v>0</v>
      </c>
      <c r="H167" s="6">
        <v>3</v>
      </c>
      <c r="I167" s="10">
        <v>69.36</v>
      </c>
      <c r="J167" s="10">
        <v>157.18</v>
      </c>
      <c r="K167" t="s">
        <v>60</v>
      </c>
      <c r="L167" s="3">
        <v>0.2</v>
      </c>
      <c r="M167" t="s">
        <v>61</v>
      </c>
      <c r="N167" s="10">
        <v>17.100000000000001</v>
      </c>
      <c r="O167" t="s">
        <v>47</v>
      </c>
      <c r="P167" s="5">
        <v>45804</v>
      </c>
      <c r="Q167" s="5">
        <v>45812</v>
      </c>
      <c r="R167" s="5">
        <v>45812</v>
      </c>
      <c r="S167" t="s">
        <v>33</v>
      </c>
      <c r="T167" s="6">
        <v>5</v>
      </c>
      <c r="U167" t="s">
        <v>112</v>
      </c>
      <c r="V167" s="10">
        <v>377.23200000000003</v>
      </c>
      <c r="W167" s="10">
        <v>208.08</v>
      </c>
      <c r="X167" s="10">
        <v>152.05199999999999</v>
      </c>
      <c r="Y167" s="11">
        <v>0.40307291003944529</v>
      </c>
      <c r="Z167" s="6">
        <v>0</v>
      </c>
      <c r="AA167" t="s">
        <v>35</v>
      </c>
    </row>
    <row r="168" spans="1:27" x14ac:dyDescent="0.25">
      <c r="A168" t="s">
        <v>306</v>
      </c>
      <c r="B168">
        <v>101</v>
      </c>
      <c r="C168" s="9">
        <v>45803.697511574072</v>
      </c>
      <c r="D168" t="s">
        <v>86</v>
      </c>
      <c r="E168" t="s">
        <v>87</v>
      </c>
      <c r="F168" t="s">
        <v>45</v>
      </c>
      <c r="G168">
        <v>0</v>
      </c>
      <c r="H168" s="6">
        <v>3</v>
      </c>
      <c r="I168" s="10">
        <v>74.41</v>
      </c>
      <c r="J168" s="10">
        <v>146.04</v>
      </c>
      <c r="K168" t="s">
        <v>60</v>
      </c>
      <c r="L168" s="3">
        <v>0.2</v>
      </c>
      <c r="M168" t="s">
        <v>61</v>
      </c>
      <c r="N168" s="10">
        <v>16.190000000000001</v>
      </c>
      <c r="O168" t="s">
        <v>157</v>
      </c>
      <c r="P168" s="5">
        <v>45805</v>
      </c>
      <c r="Q168" s="5">
        <v>45815</v>
      </c>
      <c r="R168" s="5">
        <v>45811</v>
      </c>
      <c r="S168" t="s">
        <v>33</v>
      </c>
      <c r="T168" s="6">
        <v>5</v>
      </c>
      <c r="U168" t="s">
        <v>41</v>
      </c>
      <c r="V168" s="10">
        <v>350.49599999999998</v>
      </c>
      <c r="W168" s="10">
        <v>223.23</v>
      </c>
      <c r="X168" s="10">
        <v>111.07600000000011</v>
      </c>
      <c r="Y168" s="11">
        <v>0.31691089199306138</v>
      </c>
      <c r="Z168" s="6">
        <v>-4</v>
      </c>
      <c r="AA168" t="s">
        <v>35</v>
      </c>
    </row>
    <row r="169" spans="1:27" x14ac:dyDescent="0.25">
      <c r="A169" t="s">
        <v>307</v>
      </c>
      <c r="B169">
        <v>175</v>
      </c>
      <c r="C169" s="9">
        <v>45804.246990740743</v>
      </c>
      <c r="D169" t="s">
        <v>114</v>
      </c>
      <c r="E169" t="s">
        <v>115</v>
      </c>
      <c r="F169" t="s">
        <v>116</v>
      </c>
      <c r="G169">
        <v>0</v>
      </c>
      <c r="H169" s="6">
        <v>2</v>
      </c>
      <c r="I169" s="10">
        <v>344.59</v>
      </c>
      <c r="J169" s="10">
        <v>477.74</v>
      </c>
      <c r="L169" s="3">
        <v>0</v>
      </c>
      <c r="M169" t="s">
        <v>76</v>
      </c>
      <c r="N169" s="10">
        <v>29.14</v>
      </c>
      <c r="O169" t="s">
        <v>40</v>
      </c>
      <c r="P169" s="5">
        <v>45806</v>
      </c>
      <c r="Q169" s="5">
        <v>45814</v>
      </c>
      <c r="R169" s="5">
        <v>45808</v>
      </c>
      <c r="S169" t="s">
        <v>33</v>
      </c>
      <c r="T169" s="6">
        <v>4</v>
      </c>
      <c r="U169" t="s">
        <v>84</v>
      </c>
      <c r="V169" s="10">
        <v>955.48</v>
      </c>
      <c r="W169" s="10">
        <v>689.18</v>
      </c>
      <c r="X169" s="10">
        <v>237.16000000000011</v>
      </c>
      <c r="Y169" s="11">
        <v>0.24821032360698289</v>
      </c>
      <c r="Z169" s="6">
        <v>-6</v>
      </c>
      <c r="AA169" t="s">
        <v>35</v>
      </c>
    </row>
    <row r="170" spans="1:27" x14ac:dyDescent="0.25">
      <c r="A170" t="s">
        <v>308</v>
      </c>
      <c r="B170">
        <v>34</v>
      </c>
      <c r="C170" s="9">
        <v>45804.296493055554</v>
      </c>
      <c r="D170" t="s">
        <v>71</v>
      </c>
      <c r="E170" t="s">
        <v>72</v>
      </c>
      <c r="F170" t="s">
        <v>52</v>
      </c>
      <c r="G170">
        <v>265</v>
      </c>
      <c r="H170" s="6">
        <v>3</v>
      </c>
      <c r="I170" s="10">
        <v>45.6</v>
      </c>
      <c r="J170" s="10">
        <v>79.78</v>
      </c>
      <c r="K170" t="s">
        <v>60</v>
      </c>
      <c r="L170" s="3">
        <v>0.2</v>
      </c>
      <c r="M170" t="s">
        <v>61</v>
      </c>
      <c r="N170" s="10">
        <v>22.58</v>
      </c>
      <c r="O170" t="s">
        <v>47</v>
      </c>
      <c r="P170" s="5">
        <v>45806</v>
      </c>
      <c r="Q170" s="5">
        <v>45812</v>
      </c>
      <c r="R170" s="5">
        <v>45809</v>
      </c>
      <c r="S170" t="s">
        <v>33</v>
      </c>
      <c r="T170" s="6">
        <v>5</v>
      </c>
      <c r="U170" t="s">
        <v>79</v>
      </c>
      <c r="V170" s="10">
        <v>191.47200000000001</v>
      </c>
      <c r="W170" s="10">
        <v>136.80000000000001</v>
      </c>
      <c r="X170" s="10">
        <v>32.091999999999999</v>
      </c>
      <c r="Y170" s="11">
        <v>0.16760675190106131</v>
      </c>
      <c r="Z170" s="6">
        <v>-3</v>
      </c>
      <c r="AA170" t="s">
        <v>35</v>
      </c>
    </row>
    <row r="171" spans="1:27" x14ac:dyDescent="0.25">
      <c r="A171" t="s">
        <v>309</v>
      </c>
      <c r="B171">
        <v>75</v>
      </c>
      <c r="C171" s="9">
        <v>45805.164560185192</v>
      </c>
      <c r="D171" t="s">
        <v>50</v>
      </c>
      <c r="E171" t="s">
        <v>51</v>
      </c>
      <c r="F171" t="s">
        <v>52</v>
      </c>
      <c r="G171">
        <v>771</v>
      </c>
      <c r="H171" s="6">
        <v>1</v>
      </c>
      <c r="I171" s="10">
        <v>172.67</v>
      </c>
      <c r="J171" s="10">
        <v>254.97</v>
      </c>
      <c r="L171" s="3">
        <v>0</v>
      </c>
      <c r="M171" t="s">
        <v>31</v>
      </c>
      <c r="N171" s="10">
        <v>47.42</v>
      </c>
      <c r="O171" t="s">
        <v>99</v>
      </c>
      <c r="P171" s="5">
        <v>45806</v>
      </c>
      <c r="Q171" s="5">
        <v>45813</v>
      </c>
      <c r="S171" t="s">
        <v>54</v>
      </c>
      <c r="T171" s="6">
        <v>4</v>
      </c>
      <c r="U171" t="s">
        <v>48</v>
      </c>
      <c r="V171" s="10">
        <v>254.97</v>
      </c>
      <c r="W171" s="10">
        <v>172.67</v>
      </c>
      <c r="X171" s="10">
        <v>34.88000000000001</v>
      </c>
      <c r="Y171" s="11">
        <v>0.13680040789112449</v>
      </c>
      <c r="Z171" s="6"/>
      <c r="AA171" t="s">
        <v>56</v>
      </c>
    </row>
    <row r="172" spans="1:27" x14ac:dyDescent="0.25">
      <c r="A172" t="s">
        <v>310</v>
      </c>
      <c r="B172">
        <v>77</v>
      </c>
      <c r="C172" s="9">
        <v>45805.604317129633</v>
      </c>
      <c r="D172" t="s">
        <v>155</v>
      </c>
      <c r="E172" t="s">
        <v>156</v>
      </c>
      <c r="F172" t="s">
        <v>30</v>
      </c>
      <c r="G172">
        <v>4801</v>
      </c>
      <c r="H172" s="6">
        <v>1</v>
      </c>
      <c r="I172" s="10">
        <v>782</v>
      </c>
      <c r="J172" s="10">
        <v>1476.05</v>
      </c>
      <c r="K172" t="s">
        <v>46</v>
      </c>
      <c r="L172" s="3">
        <v>0.1</v>
      </c>
      <c r="M172" t="s">
        <v>39</v>
      </c>
      <c r="N172" s="10">
        <v>120.36</v>
      </c>
      <c r="O172" t="s">
        <v>68</v>
      </c>
      <c r="P172" s="5">
        <v>45806</v>
      </c>
      <c r="Q172" s="5">
        <v>45816</v>
      </c>
      <c r="R172" s="5">
        <v>45808</v>
      </c>
      <c r="S172" t="s">
        <v>33</v>
      </c>
      <c r="T172" s="6">
        <v>5</v>
      </c>
      <c r="U172" t="s">
        <v>172</v>
      </c>
      <c r="V172" s="10">
        <v>1328.4449999999999</v>
      </c>
      <c r="W172" s="10">
        <v>782</v>
      </c>
      <c r="X172" s="10">
        <v>426.08499999999992</v>
      </c>
      <c r="Y172" s="11">
        <v>0.32073966178501928</v>
      </c>
      <c r="Z172" s="6">
        <v>-8</v>
      </c>
      <c r="AA172" t="s">
        <v>35</v>
      </c>
    </row>
    <row r="173" spans="1:27" x14ac:dyDescent="0.25">
      <c r="A173" t="s">
        <v>311</v>
      </c>
      <c r="B173">
        <v>98</v>
      </c>
      <c r="C173" s="9">
        <v>45805.645057870373</v>
      </c>
      <c r="D173" t="s">
        <v>66</v>
      </c>
      <c r="E173" t="s">
        <v>67</v>
      </c>
      <c r="F173" t="s">
        <v>52</v>
      </c>
      <c r="G173">
        <v>281</v>
      </c>
      <c r="H173" s="6">
        <v>2</v>
      </c>
      <c r="I173" s="10">
        <v>30.34</v>
      </c>
      <c r="J173" s="10">
        <v>73.14</v>
      </c>
      <c r="L173" s="3">
        <v>0</v>
      </c>
      <c r="M173" t="s">
        <v>61</v>
      </c>
      <c r="N173" s="10">
        <v>52.82</v>
      </c>
      <c r="O173" t="s">
        <v>68</v>
      </c>
      <c r="P173" s="5">
        <v>45807</v>
      </c>
      <c r="Q173" s="5">
        <v>45813</v>
      </c>
      <c r="R173" s="5">
        <v>45811</v>
      </c>
      <c r="S173" t="s">
        <v>33</v>
      </c>
      <c r="T173" s="6">
        <v>4</v>
      </c>
      <c r="U173" t="s">
        <v>69</v>
      </c>
      <c r="V173" s="10">
        <v>146.28</v>
      </c>
      <c r="W173" s="10">
        <v>60.68</v>
      </c>
      <c r="X173" s="10">
        <v>32.779999999999987</v>
      </c>
      <c r="Y173" s="11">
        <v>0.22409078479628111</v>
      </c>
      <c r="Z173" s="6">
        <v>-2</v>
      </c>
      <c r="AA173" t="s">
        <v>35</v>
      </c>
    </row>
    <row r="174" spans="1:27" x14ac:dyDescent="0.25">
      <c r="A174" t="s">
        <v>312</v>
      </c>
      <c r="B174">
        <v>47</v>
      </c>
      <c r="C174" s="9">
        <v>45805.692604166667</v>
      </c>
      <c r="D174" t="s">
        <v>43</v>
      </c>
      <c r="E174" t="s">
        <v>44</v>
      </c>
      <c r="F174" t="s">
        <v>45</v>
      </c>
      <c r="G174">
        <v>0</v>
      </c>
      <c r="H174" s="6">
        <v>1</v>
      </c>
      <c r="I174" s="10">
        <v>62.36</v>
      </c>
      <c r="J174" s="10">
        <v>127.9</v>
      </c>
      <c r="L174" s="3">
        <v>0</v>
      </c>
      <c r="M174" t="s">
        <v>39</v>
      </c>
      <c r="N174" s="10">
        <v>19.850000000000001</v>
      </c>
      <c r="O174" t="s">
        <v>47</v>
      </c>
      <c r="P174" s="5">
        <v>45807</v>
      </c>
      <c r="Q174" s="5">
        <v>45813</v>
      </c>
      <c r="R174" s="5">
        <v>45811</v>
      </c>
      <c r="S174" t="s">
        <v>33</v>
      </c>
      <c r="T174" s="6">
        <v>5</v>
      </c>
      <c r="U174" t="s">
        <v>134</v>
      </c>
      <c r="V174" s="10">
        <v>127.9</v>
      </c>
      <c r="W174" s="10">
        <v>62.36</v>
      </c>
      <c r="X174" s="10">
        <v>45.69</v>
      </c>
      <c r="Y174" s="11">
        <v>0.35723221266614552</v>
      </c>
      <c r="Z174" s="6">
        <v>-2</v>
      </c>
      <c r="AA174" t="s">
        <v>35</v>
      </c>
    </row>
    <row r="175" spans="1:27" x14ac:dyDescent="0.25">
      <c r="A175" t="s">
        <v>313</v>
      </c>
      <c r="B175">
        <v>8</v>
      </c>
      <c r="C175" s="9">
        <v>45806.190104166657</v>
      </c>
      <c r="D175" t="s">
        <v>37</v>
      </c>
      <c r="E175" t="s">
        <v>38</v>
      </c>
      <c r="F175" t="s">
        <v>30</v>
      </c>
      <c r="G175">
        <v>2203</v>
      </c>
      <c r="H175" s="6">
        <v>1</v>
      </c>
      <c r="I175" s="10">
        <v>441</v>
      </c>
      <c r="J175" s="10">
        <v>1327.64</v>
      </c>
      <c r="L175" s="3">
        <v>0</v>
      </c>
      <c r="M175" t="s">
        <v>39</v>
      </c>
      <c r="N175" s="10">
        <v>131.47</v>
      </c>
      <c r="O175" t="s">
        <v>62</v>
      </c>
      <c r="P175" s="5">
        <v>45807</v>
      </c>
      <c r="Q175" s="5">
        <v>45815</v>
      </c>
      <c r="R175" s="5">
        <v>45810</v>
      </c>
      <c r="S175" t="s">
        <v>33</v>
      </c>
      <c r="T175" s="6">
        <v>5</v>
      </c>
      <c r="U175" t="s">
        <v>166</v>
      </c>
      <c r="V175" s="10">
        <v>1327.64</v>
      </c>
      <c r="W175" s="10">
        <v>441</v>
      </c>
      <c r="X175" s="10">
        <v>755.17000000000007</v>
      </c>
      <c r="Y175" s="11">
        <v>0.56880630291344036</v>
      </c>
      <c r="Z175" s="6">
        <v>-5</v>
      </c>
      <c r="AA175" t="s">
        <v>35</v>
      </c>
    </row>
    <row r="176" spans="1:27" x14ac:dyDescent="0.25">
      <c r="A176" t="s">
        <v>314</v>
      </c>
      <c r="B176">
        <v>125</v>
      </c>
      <c r="C176" s="9">
        <v>45806.301550925928</v>
      </c>
      <c r="D176" t="s">
        <v>89</v>
      </c>
      <c r="E176" t="s">
        <v>90</v>
      </c>
      <c r="F176" t="s">
        <v>52</v>
      </c>
      <c r="G176">
        <v>247</v>
      </c>
      <c r="H176" s="6">
        <v>3</v>
      </c>
      <c r="I176" s="10">
        <v>106.1</v>
      </c>
      <c r="J176" s="10">
        <v>218.06</v>
      </c>
      <c r="L176" s="3">
        <v>0</v>
      </c>
      <c r="M176" t="s">
        <v>61</v>
      </c>
      <c r="N176" s="10">
        <v>46.03</v>
      </c>
      <c r="O176" t="s">
        <v>47</v>
      </c>
      <c r="P176" s="5">
        <v>45807</v>
      </c>
      <c r="Q176" s="5">
        <v>45815</v>
      </c>
      <c r="S176" t="s">
        <v>63</v>
      </c>
      <c r="T176" s="6">
        <v>2</v>
      </c>
      <c r="U176" t="s">
        <v>170</v>
      </c>
      <c r="V176" s="10">
        <v>654.18000000000006</v>
      </c>
      <c r="W176" s="10">
        <v>318.3</v>
      </c>
      <c r="X176" s="10">
        <v>289.85000000000008</v>
      </c>
      <c r="Y176" s="11">
        <v>0.44307377174477991</v>
      </c>
      <c r="Z176" s="6"/>
      <c r="AA176" t="s">
        <v>56</v>
      </c>
    </row>
    <row r="177" spans="1:27" x14ac:dyDescent="0.25">
      <c r="A177" t="s">
        <v>315</v>
      </c>
      <c r="B177">
        <v>13</v>
      </c>
      <c r="C177" s="9">
        <v>45806.804189814808</v>
      </c>
      <c r="D177" t="s">
        <v>137</v>
      </c>
      <c r="E177" t="s">
        <v>138</v>
      </c>
      <c r="F177" t="s">
        <v>52</v>
      </c>
      <c r="G177">
        <v>350</v>
      </c>
      <c r="H177" s="6">
        <v>3</v>
      </c>
      <c r="I177" s="10">
        <v>103.15</v>
      </c>
      <c r="J177" s="10">
        <v>253.56</v>
      </c>
      <c r="L177" s="3">
        <v>0</v>
      </c>
      <c r="M177" t="s">
        <v>39</v>
      </c>
      <c r="N177" s="10">
        <v>44.51</v>
      </c>
      <c r="O177" t="s">
        <v>101</v>
      </c>
      <c r="P177" s="5">
        <v>45808</v>
      </c>
      <c r="Q177" s="5">
        <v>45813</v>
      </c>
      <c r="R177" s="5">
        <v>45813</v>
      </c>
      <c r="S177" t="s">
        <v>33</v>
      </c>
      <c r="T177" s="6">
        <v>4</v>
      </c>
      <c r="U177" t="s">
        <v>119</v>
      </c>
      <c r="V177" s="10">
        <v>760.68000000000006</v>
      </c>
      <c r="W177" s="10">
        <v>309.45</v>
      </c>
      <c r="X177" s="10">
        <v>406.72</v>
      </c>
      <c r="Y177" s="11">
        <v>0.53467949729189668</v>
      </c>
      <c r="Z177" s="6">
        <v>0</v>
      </c>
      <c r="AA177" t="s">
        <v>35</v>
      </c>
    </row>
    <row r="178" spans="1:27" x14ac:dyDescent="0.25">
      <c r="A178" t="s">
        <v>316</v>
      </c>
      <c r="B178">
        <v>117</v>
      </c>
      <c r="C178" s="9">
        <v>45806.958437499998</v>
      </c>
      <c r="D178" t="s">
        <v>164</v>
      </c>
      <c r="E178" t="s">
        <v>165</v>
      </c>
      <c r="F178" t="s">
        <v>116</v>
      </c>
      <c r="G178">
        <v>0</v>
      </c>
      <c r="H178" s="6">
        <v>1</v>
      </c>
      <c r="I178" s="10">
        <v>389.98</v>
      </c>
      <c r="J178" s="10">
        <v>663.33</v>
      </c>
      <c r="K178" t="s">
        <v>60</v>
      </c>
      <c r="L178" s="3">
        <v>0.2</v>
      </c>
      <c r="M178" t="s">
        <v>39</v>
      </c>
      <c r="N178" s="10">
        <v>17.04</v>
      </c>
      <c r="O178" t="s">
        <v>62</v>
      </c>
      <c r="P178" s="5">
        <v>45807</v>
      </c>
      <c r="Q178" s="5">
        <v>45815</v>
      </c>
      <c r="R178" s="5">
        <v>45814</v>
      </c>
      <c r="S178" t="s">
        <v>33</v>
      </c>
      <c r="T178" s="6">
        <v>4</v>
      </c>
      <c r="U178" t="s">
        <v>211</v>
      </c>
      <c r="V178" s="10">
        <v>530.6640000000001</v>
      </c>
      <c r="W178" s="10">
        <v>389.98</v>
      </c>
      <c r="X178" s="10">
        <v>123.6440000000001</v>
      </c>
      <c r="Y178" s="11">
        <v>0.23299865828471511</v>
      </c>
      <c r="Z178" s="6">
        <v>-1</v>
      </c>
      <c r="AA178" t="s">
        <v>35</v>
      </c>
    </row>
    <row r="179" spans="1:27" x14ac:dyDescent="0.25">
      <c r="A179" t="s">
        <v>317</v>
      </c>
      <c r="B179">
        <v>106</v>
      </c>
      <c r="C179" s="9">
        <v>45807.054629629631</v>
      </c>
      <c r="D179" t="s">
        <v>74</v>
      </c>
      <c r="E179" t="s">
        <v>75</v>
      </c>
      <c r="F179" t="s">
        <v>30</v>
      </c>
      <c r="G179">
        <v>2404</v>
      </c>
      <c r="H179" s="6">
        <v>1</v>
      </c>
      <c r="I179" s="10">
        <v>2734.27</v>
      </c>
      <c r="J179" s="10">
        <v>3464.65</v>
      </c>
      <c r="L179" s="3">
        <v>0</v>
      </c>
      <c r="M179" t="s">
        <v>39</v>
      </c>
      <c r="N179" s="10">
        <v>83.21</v>
      </c>
      <c r="O179" t="s">
        <v>32</v>
      </c>
      <c r="P179" s="5">
        <v>45809</v>
      </c>
      <c r="Q179" s="5">
        <v>45814</v>
      </c>
      <c r="R179" s="5">
        <v>45812</v>
      </c>
      <c r="S179" t="s">
        <v>33</v>
      </c>
      <c r="T179" s="6">
        <v>5</v>
      </c>
      <c r="U179" t="s">
        <v>166</v>
      </c>
      <c r="V179" s="10">
        <v>3464.65</v>
      </c>
      <c r="W179" s="10">
        <v>2734.27</v>
      </c>
      <c r="X179" s="10">
        <v>647.17000000000007</v>
      </c>
      <c r="Y179" s="11">
        <v>0.186792316684225</v>
      </c>
      <c r="Z179" s="6">
        <v>-2</v>
      </c>
      <c r="AA179" t="s">
        <v>35</v>
      </c>
    </row>
    <row r="180" spans="1:27" x14ac:dyDescent="0.25">
      <c r="A180" t="s">
        <v>318</v>
      </c>
      <c r="B180">
        <v>8</v>
      </c>
      <c r="C180" s="9">
        <v>45807.150138888886</v>
      </c>
      <c r="D180" t="s">
        <v>177</v>
      </c>
      <c r="E180" t="s">
        <v>178</v>
      </c>
      <c r="F180" t="s">
        <v>116</v>
      </c>
      <c r="G180">
        <v>0</v>
      </c>
      <c r="H180" s="6">
        <v>1</v>
      </c>
      <c r="I180" s="10">
        <v>240.6</v>
      </c>
      <c r="J180" s="10">
        <v>303.64</v>
      </c>
      <c r="L180" s="3">
        <v>0</v>
      </c>
      <c r="M180" t="s">
        <v>61</v>
      </c>
      <c r="N180" s="10">
        <v>26.4</v>
      </c>
      <c r="O180" t="s">
        <v>99</v>
      </c>
      <c r="P180" s="5">
        <v>45808</v>
      </c>
      <c r="Q180" s="5">
        <v>45816</v>
      </c>
      <c r="R180" s="5">
        <v>45812</v>
      </c>
      <c r="S180" t="s">
        <v>33</v>
      </c>
      <c r="T180" s="6">
        <v>4</v>
      </c>
      <c r="U180" t="s">
        <v>69</v>
      </c>
      <c r="V180" s="10">
        <v>303.64</v>
      </c>
      <c r="W180" s="10">
        <v>240.6</v>
      </c>
      <c r="X180" s="10">
        <v>36.639999999999993</v>
      </c>
      <c r="Y180" s="11">
        <v>0.1206692135423528</v>
      </c>
      <c r="Z180" s="6">
        <v>-4</v>
      </c>
      <c r="AA180" t="s">
        <v>35</v>
      </c>
    </row>
    <row r="181" spans="1:27" x14ac:dyDescent="0.25">
      <c r="A181" t="s">
        <v>319</v>
      </c>
      <c r="B181">
        <v>185</v>
      </c>
      <c r="C181" s="9">
        <v>45807.899131944447</v>
      </c>
      <c r="D181" t="s">
        <v>28</v>
      </c>
      <c r="E181" t="s">
        <v>29</v>
      </c>
      <c r="F181" t="s">
        <v>30</v>
      </c>
      <c r="G181">
        <v>2036</v>
      </c>
      <c r="H181" s="6">
        <v>3</v>
      </c>
      <c r="I181" s="10">
        <v>2300.4</v>
      </c>
      <c r="J181" s="10">
        <v>3320.27</v>
      </c>
      <c r="L181" s="3">
        <v>0</v>
      </c>
      <c r="M181" t="s">
        <v>39</v>
      </c>
      <c r="N181" s="10">
        <v>114.04</v>
      </c>
      <c r="O181" t="s">
        <v>47</v>
      </c>
      <c r="P181" s="5">
        <v>45808</v>
      </c>
      <c r="Q181" s="5">
        <v>45816</v>
      </c>
      <c r="R181" s="5">
        <v>45814</v>
      </c>
      <c r="S181" t="s">
        <v>33</v>
      </c>
      <c r="T181" s="6">
        <v>4</v>
      </c>
      <c r="U181" t="s">
        <v>127</v>
      </c>
      <c r="V181" s="10">
        <v>9960.81</v>
      </c>
      <c r="W181" s="10">
        <v>6901.2000000000007</v>
      </c>
      <c r="X181" s="10">
        <v>2945.5699999999988</v>
      </c>
      <c r="Y181" s="11">
        <v>0.29571591065385228</v>
      </c>
      <c r="Z181" s="6">
        <v>-2</v>
      </c>
      <c r="AA181" t="s">
        <v>35</v>
      </c>
    </row>
    <row r="182" spans="1:27" x14ac:dyDescent="0.25">
      <c r="A182" t="s">
        <v>320</v>
      </c>
      <c r="B182">
        <v>14</v>
      </c>
      <c r="C182" s="9">
        <v>45808.512777777767</v>
      </c>
      <c r="D182" t="s">
        <v>66</v>
      </c>
      <c r="E182" t="s">
        <v>67</v>
      </c>
      <c r="F182" t="s">
        <v>52</v>
      </c>
      <c r="G182">
        <v>222</v>
      </c>
      <c r="H182" s="6">
        <v>2</v>
      </c>
      <c r="I182" s="10">
        <v>67.209999999999994</v>
      </c>
      <c r="J182" s="10">
        <v>133.47999999999999</v>
      </c>
      <c r="L182" s="3">
        <v>0</v>
      </c>
      <c r="M182" t="s">
        <v>31</v>
      </c>
      <c r="N182" s="10">
        <v>46.7</v>
      </c>
      <c r="O182" t="s">
        <v>47</v>
      </c>
      <c r="P182" s="5">
        <v>45810</v>
      </c>
      <c r="Q182" s="5">
        <v>45820</v>
      </c>
      <c r="R182" s="5">
        <v>45824</v>
      </c>
      <c r="S182" t="s">
        <v>33</v>
      </c>
      <c r="T182" s="6">
        <v>3</v>
      </c>
      <c r="U182" t="s">
        <v>55</v>
      </c>
      <c r="V182" s="10">
        <v>266.95999999999998</v>
      </c>
      <c r="W182" s="10">
        <v>134.41999999999999</v>
      </c>
      <c r="X182" s="10">
        <v>85.839999999999989</v>
      </c>
      <c r="Y182" s="11">
        <v>0.32154629907102178</v>
      </c>
      <c r="Z182" s="6">
        <v>4</v>
      </c>
      <c r="AA182" t="s">
        <v>103</v>
      </c>
    </row>
    <row r="183" spans="1:27" x14ac:dyDescent="0.25">
      <c r="A183" t="s">
        <v>321</v>
      </c>
      <c r="B183">
        <v>25</v>
      </c>
      <c r="C183" s="9">
        <v>45808.741006944438</v>
      </c>
      <c r="D183" t="s">
        <v>105</v>
      </c>
      <c r="E183" t="s">
        <v>106</v>
      </c>
      <c r="F183" t="s">
        <v>30</v>
      </c>
      <c r="G183">
        <v>2058</v>
      </c>
      <c r="H183" s="6">
        <v>1</v>
      </c>
      <c r="I183" s="10">
        <v>259.55</v>
      </c>
      <c r="J183" s="10">
        <v>682.87</v>
      </c>
      <c r="L183" s="3">
        <v>0</v>
      </c>
      <c r="M183" t="s">
        <v>76</v>
      </c>
      <c r="N183" s="10">
        <v>129.72999999999999</v>
      </c>
      <c r="O183" t="s">
        <v>40</v>
      </c>
      <c r="P183" s="5">
        <v>45810</v>
      </c>
      <c r="Q183" s="5">
        <v>45815</v>
      </c>
      <c r="R183" s="5">
        <v>45814</v>
      </c>
      <c r="S183" t="s">
        <v>33</v>
      </c>
      <c r="T183" s="6">
        <v>5</v>
      </c>
      <c r="U183" t="s">
        <v>117</v>
      </c>
      <c r="V183" s="10">
        <v>682.87</v>
      </c>
      <c r="W183" s="10">
        <v>259.55</v>
      </c>
      <c r="X183" s="10">
        <v>293.58999999999997</v>
      </c>
      <c r="Y183" s="11">
        <v>0.42993541962599041</v>
      </c>
      <c r="Z183" s="6">
        <v>-1</v>
      </c>
      <c r="AA183" t="s">
        <v>35</v>
      </c>
    </row>
    <row r="184" spans="1:27" x14ac:dyDescent="0.25">
      <c r="A184" t="s">
        <v>322</v>
      </c>
      <c r="B184">
        <v>11</v>
      </c>
      <c r="C184" s="9">
        <v>45809.244502314818</v>
      </c>
      <c r="D184" t="s">
        <v>148</v>
      </c>
      <c r="E184" t="s">
        <v>149</v>
      </c>
      <c r="F184" t="s">
        <v>30</v>
      </c>
      <c r="G184">
        <v>2702</v>
      </c>
      <c r="H184" s="6">
        <v>2</v>
      </c>
      <c r="I184" s="10">
        <v>499.2</v>
      </c>
      <c r="J184" s="10">
        <v>824.51</v>
      </c>
      <c r="K184" t="s">
        <v>46</v>
      </c>
      <c r="L184" s="3">
        <v>0.1</v>
      </c>
      <c r="M184" t="s">
        <v>31</v>
      </c>
      <c r="N184" s="10">
        <v>59.29</v>
      </c>
      <c r="O184" t="s">
        <v>32</v>
      </c>
      <c r="P184" s="5">
        <v>45811</v>
      </c>
      <c r="Q184" s="5">
        <v>45818</v>
      </c>
      <c r="S184" t="s">
        <v>54</v>
      </c>
      <c r="T184" s="6">
        <v>4</v>
      </c>
      <c r="U184" t="s">
        <v>34</v>
      </c>
      <c r="V184" s="10">
        <v>1484.1179999999999</v>
      </c>
      <c r="W184" s="10">
        <v>998.4</v>
      </c>
      <c r="X184" s="10">
        <v>426.42799999999988</v>
      </c>
      <c r="Y184" s="11">
        <v>0.28732755751227318</v>
      </c>
      <c r="Z184" s="6"/>
      <c r="AA184" t="s">
        <v>56</v>
      </c>
    </row>
    <row r="185" spans="1:27" x14ac:dyDescent="0.25">
      <c r="A185" t="s">
        <v>323</v>
      </c>
      <c r="B185">
        <v>63</v>
      </c>
      <c r="C185" s="9">
        <v>45809.359456018523</v>
      </c>
      <c r="D185" t="s">
        <v>92</v>
      </c>
      <c r="E185" t="s">
        <v>93</v>
      </c>
      <c r="F185" t="s">
        <v>52</v>
      </c>
      <c r="G185">
        <v>236</v>
      </c>
      <c r="H185" s="6">
        <v>2</v>
      </c>
      <c r="I185" s="10">
        <v>22.66</v>
      </c>
      <c r="J185" s="10">
        <v>107.71</v>
      </c>
      <c r="L185" s="3">
        <v>0</v>
      </c>
      <c r="M185" t="s">
        <v>76</v>
      </c>
      <c r="N185" s="10">
        <v>38.74</v>
      </c>
      <c r="O185" t="s">
        <v>157</v>
      </c>
      <c r="P185" s="5">
        <v>45810</v>
      </c>
      <c r="Q185" s="5">
        <v>45815</v>
      </c>
      <c r="R185" s="5">
        <v>45812</v>
      </c>
      <c r="S185" t="s">
        <v>33</v>
      </c>
      <c r="T185" s="6">
        <v>5</v>
      </c>
      <c r="U185" t="s">
        <v>127</v>
      </c>
      <c r="V185" s="10">
        <v>215.42</v>
      </c>
      <c r="W185" s="10">
        <v>45.32</v>
      </c>
      <c r="X185" s="10">
        <v>131.36000000000001</v>
      </c>
      <c r="Y185" s="11">
        <v>0.60978553523349732</v>
      </c>
      <c r="Z185" s="6">
        <v>-3</v>
      </c>
      <c r="AA185" t="s">
        <v>35</v>
      </c>
    </row>
    <row r="186" spans="1:27" x14ac:dyDescent="0.25">
      <c r="A186" t="s">
        <v>324</v>
      </c>
      <c r="B186">
        <v>155</v>
      </c>
      <c r="C186" s="9">
        <v>45809.473124999997</v>
      </c>
      <c r="D186" t="s">
        <v>58</v>
      </c>
      <c r="E186" t="s">
        <v>59</v>
      </c>
      <c r="F186" t="s">
        <v>30</v>
      </c>
      <c r="G186">
        <v>4917</v>
      </c>
      <c r="H186" s="6">
        <v>1</v>
      </c>
      <c r="I186" s="10">
        <v>320.77999999999997</v>
      </c>
      <c r="J186" s="10">
        <v>400.02</v>
      </c>
      <c r="L186" s="3">
        <v>0</v>
      </c>
      <c r="M186" t="s">
        <v>61</v>
      </c>
      <c r="N186" s="10">
        <v>70.27</v>
      </c>
      <c r="O186" t="s">
        <v>47</v>
      </c>
      <c r="P186" s="5">
        <v>45810</v>
      </c>
      <c r="Q186" s="5">
        <v>45819</v>
      </c>
      <c r="R186" s="5">
        <v>45816</v>
      </c>
      <c r="S186" t="s">
        <v>33</v>
      </c>
      <c r="T186" s="6">
        <v>4</v>
      </c>
      <c r="U186" t="s">
        <v>117</v>
      </c>
      <c r="V186" s="10">
        <v>400.02</v>
      </c>
      <c r="W186" s="10">
        <v>320.77999999999997</v>
      </c>
      <c r="X186" s="10">
        <v>8.9700000000000131</v>
      </c>
      <c r="Y186" s="11">
        <v>2.2423878806059731E-2</v>
      </c>
      <c r="Z186" s="6">
        <v>-3</v>
      </c>
      <c r="AA186" t="s">
        <v>35</v>
      </c>
    </row>
    <row r="187" spans="1:27" x14ac:dyDescent="0.25">
      <c r="A187" t="s">
        <v>325</v>
      </c>
      <c r="B187">
        <v>33</v>
      </c>
      <c r="C187" s="9">
        <v>45809.505289351851</v>
      </c>
      <c r="D187" t="s">
        <v>95</v>
      </c>
      <c r="E187" t="s">
        <v>96</v>
      </c>
      <c r="F187" t="s">
        <v>52</v>
      </c>
      <c r="G187">
        <v>394</v>
      </c>
      <c r="H187" s="6">
        <v>3</v>
      </c>
      <c r="I187" s="10">
        <v>23.47</v>
      </c>
      <c r="J187" s="10">
        <v>67.650000000000006</v>
      </c>
      <c r="K187" t="s">
        <v>60</v>
      </c>
      <c r="L187" s="3">
        <v>0.2</v>
      </c>
      <c r="M187" t="s">
        <v>76</v>
      </c>
      <c r="N187" s="10">
        <v>52.97</v>
      </c>
      <c r="O187" t="s">
        <v>47</v>
      </c>
      <c r="P187" s="5">
        <v>45810</v>
      </c>
      <c r="Q187" s="5">
        <v>45818</v>
      </c>
      <c r="S187" t="s">
        <v>63</v>
      </c>
      <c r="T187" s="6">
        <v>1</v>
      </c>
      <c r="U187" t="s">
        <v>129</v>
      </c>
      <c r="V187" s="10">
        <v>162.36000000000001</v>
      </c>
      <c r="W187" s="10">
        <v>70.41</v>
      </c>
      <c r="X187" s="10">
        <v>38.980000000000018</v>
      </c>
      <c r="Y187" s="11">
        <v>0.2400837644740085</v>
      </c>
      <c r="Z187" s="6"/>
      <c r="AA187" t="s">
        <v>56</v>
      </c>
    </row>
    <row r="188" spans="1:27" x14ac:dyDescent="0.25">
      <c r="A188" t="s">
        <v>326</v>
      </c>
      <c r="B188">
        <v>196</v>
      </c>
      <c r="C188" s="9">
        <v>45811.055439814823</v>
      </c>
      <c r="D188" t="s">
        <v>74</v>
      </c>
      <c r="E188" t="s">
        <v>75</v>
      </c>
      <c r="F188" t="s">
        <v>30</v>
      </c>
      <c r="G188">
        <v>2222</v>
      </c>
      <c r="H188" s="6">
        <v>3</v>
      </c>
      <c r="I188" s="10">
        <v>2610.04</v>
      </c>
      <c r="J188" s="10">
        <v>4148.75</v>
      </c>
      <c r="L188" s="3">
        <v>0</v>
      </c>
      <c r="M188" t="s">
        <v>61</v>
      </c>
      <c r="N188" s="10">
        <v>105.02</v>
      </c>
      <c r="O188" t="s">
        <v>62</v>
      </c>
      <c r="P188" s="5">
        <v>45813</v>
      </c>
      <c r="Q188" s="5">
        <v>45821</v>
      </c>
      <c r="R188" s="5">
        <v>45819</v>
      </c>
      <c r="S188" t="s">
        <v>33</v>
      </c>
      <c r="T188" s="6">
        <v>5</v>
      </c>
      <c r="U188" t="s">
        <v>127</v>
      </c>
      <c r="V188" s="10">
        <v>12446.25</v>
      </c>
      <c r="W188" s="10">
        <v>7830.12</v>
      </c>
      <c r="X188" s="10">
        <v>4511.1099999999997</v>
      </c>
      <c r="Y188" s="11">
        <v>0.36244732349101128</v>
      </c>
      <c r="Z188" s="6">
        <v>-2</v>
      </c>
      <c r="AA188" t="s">
        <v>35</v>
      </c>
    </row>
    <row r="189" spans="1:27" x14ac:dyDescent="0.25">
      <c r="A189" t="s">
        <v>327</v>
      </c>
      <c r="B189">
        <v>179</v>
      </c>
      <c r="C189" s="9">
        <v>45811.48064814815</v>
      </c>
      <c r="D189" t="s">
        <v>164</v>
      </c>
      <c r="E189" t="s">
        <v>165</v>
      </c>
      <c r="F189" t="s">
        <v>116</v>
      </c>
      <c r="G189">
        <v>0</v>
      </c>
      <c r="H189" s="6">
        <v>1</v>
      </c>
      <c r="I189" s="10">
        <v>213.86</v>
      </c>
      <c r="J189" s="10">
        <v>538.09</v>
      </c>
      <c r="L189" s="3">
        <v>0</v>
      </c>
      <c r="M189" t="s">
        <v>76</v>
      </c>
      <c r="N189" s="10">
        <v>20.63</v>
      </c>
      <c r="O189" t="s">
        <v>157</v>
      </c>
      <c r="P189" s="5">
        <v>45813</v>
      </c>
      <c r="Q189" s="5">
        <v>45823</v>
      </c>
      <c r="R189" s="5">
        <v>45815</v>
      </c>
      <c r="S189" t="s">
        <v>33</v>
      </c>
      <c r="T189" s="6">
        <v>5</v>
      </c>
      <c r="U189" t="s">
        <v>211</v>
      </c>
      <c r="V189" s="10">
        <v>538.09</v>
      </c>
      <c r="W189" s="10">
        <v>213.86</v>
      </c>
      <c r="X189" s="10">
        <v>303.60000000000002</v>
      </c>
      <c r="Y189" s="11">
        <v>0.56421788176699061</v>
      </c>
      <c r="Z189" s="6">
        <v>-8</v>
      </c>
      <c r="AA189" t="s">
        <v>35</v>
      </c>
    </row>
    <row r="190" spans="1:27" x14ac:dyDescent="0.25">
      <c r="A190" t="s">
        <v>328</v>
      </c>
      <c r="B190">
        <v>197</v>
      </c>
      <c r="C190" s="9">
        <v>45811.647928240738</v>
      </c>
      <c r="D190" t="s">
        <v>89</v>
      </c>
      <c r="E190" t="s">
        <v>90</v>
      </c>
      <c r="F190" t="s">
        <v>52</v>
      </c>
      <c r="G190">
        <v>228</v>
      </c>
      <c r="H190" s="6">
        <v>3</v>
      </c>
      <c r="I190" s="10">
        <v>104.5</v>
      </c>
      <c r="J190" s="10">
        <v>156.94999999999999</v>
      </c>
      <c r="L190" s="3">
        <v>0</v>
      </c>
      <c r="M190" t="s">
        <v>31</v>
      </c>
      <c r="N190" s="10">
        <v>46.37</v>
      </c>
      <c r="O190" t="s">
        <v>97</v>
      </c>
      <c r="P190" s="5">
        <v>45812</v>
      </c>
      <c r="Q190" s="5">
        <v>45817</v>
      </c>
      <c r="R190" s="5">
        <v>45817</v>
      </c>
      <c r="S190" t="s">
        <v>33</v>
      </c>
      <c r="T190" s="6">
        <v>4</v>
      </c>
      <c r="U190" t="s">
        <v>134</v>
      </c>
      <c r="V190" s="10">
        <v>470.85</v>
      </c>
      <c r="W190" s="10">
        <v>313.5</v>
      </c>
      <c r="X190" s="10">
        <v>110.98</v>
      </c>
      <c r="Y190" s="11">
        <v>0.23570139110119989</v>
      </c>
      <c r="Z190" s="6">
        <v>0</v>
      </c>
      <c r="AA190" t="s">
        <v>35</v>
      </c>
    </row>
    <row r="191" spans="1:27" x14ac:dyDescent="0.25">
      <c r="A191" t="s">
        <v>329</v>
      </c>
      <c r="B191">
        <v>65</v>
      </c>
      <c r="C191" s="9">
        <v>45811.739374999997</v>
      </c>
      <c r="D191" t="s">
        <v>198</v>
      </c>
      <c r="E191" t="s">
        <v>199</v>
      </c>
      <c r="F191" t="s">
        <v>116</v>
      </c>
      <c r="G191">
        <v>0</v>
      </c>
      <c r="H191" s="6">
        <v>3</v>
      </c>
      <c r="I191" s="10">
        <v>335.33</v>
      </c>
      <c r="J191" s="10">
        <v>741.86</v>
      </c>
      <c r="K191" t="s">
        <v>60</v>
      </c>
      <c r="L191" s="3">
        <v>0.2</v>
      </c>
      <c r="M191" t="s">
        <v>61</v>
      </c>
      <c r="N191" s="10">
        <v>21.25</v>
      </c>
      <c r="O191" t="s">
        <v>40</v>
      </c>
      <c r="P191" s="5">
        <v>45813</v>
      </c>
      <c r="Q191" s="5">
        <v>45823</v>
      </c>
      <c r="R191" s="5">
        <v>45823</v>
      </c>
      <c r="S191" t="s">
        <v>33</v>
      </c>
      <c r="T191" s="6">
        <v>4</v>
      </c>
      <c r="U191" t="s">
        <v>79</v>
      </c>
      <c r="V191" s="10">
        <v>1780.4639999999999</v>
      </c>
      <c r="W191" s="10">
        <v>1005.99</v>
      </c>
      <c r="X191" s="10">
        <v>753.22399999999993</v>
      </c>
      <c r="Y191" s="11">
        <v>0.42304927254917818</v>
      </c>
      <c r="Z191" s="6">
        <v>0</v>
      </c>
      <c r="AA191" t="s">
        <v>35</v>
      </c>
    </row>
    <row r="192" spans="1:27" x14ac:dyDescent="0.25">
      <c r="A192" t="s">
        <v>330</v>
      </c>
      <c r="B192">
        <v>48</v>
      </c>
      <c r="C192" s="9">
        <v>45812.128263888888</v>
      </c>
      <c r="D192" t="s">
        <v>123</v>
      </c>
      <c r="E192" t="s">
        <v>124</v>
      </c>
      <c r="F192" t="s">
        <v>45</v>
      </c>
      <c r="G192">
        <v>0</v>
      </c>
      <c r="H192" s="6">
        <v>3</v>
      </c>
      <c r="I192" s="10">
        <v>290.58999999999997</v>
      </c>
      <c r="J192" s="10">
        <v>356.06</v>
      </c>
      <c r="L192" s="3">
        <v>0</v>
      </c>
      <c r="M192" t="s">
        <v>76</v>
      </c>
      <c r="N192" s="10">
        <v>17.98</v>
      </c>
      <c r="O192" t="s">
        <v>99</v>
      </c>
      <c r="P192" s="5">
        <v>45813</v>
      </c>
      <c r="Q192" s="5">
        <v>45823</v>
      </c>
      <c r="R192" s="5">
        <v>45818</v>
      </c>
      <c r="S192" t="s">
        <v>33</v>
      </c>
      <c r="T192" s="6">
        <v>4</v>
      </c>
      <c r="U192" t="s">
        <v>117</v>
      </c>
      <c r="V192" s="10">
        <v>1068.18</v>
      </c>
      <c r="W192" s="10">
        <v>871.77</v>
      </c>
      <c r="X192" s="10">
        <v>178.43000000000009</v>
      </c>
      <c r="Y192" s="11">
        <v>0.16704113538916671</v>
      </c>
      <c r="Z192" s="6">
        <v>-5</v>
      </c>
      <c r="AA192" t="s">
        <v>35</v>
      </c>
    </row>
    <row r="193" spans="1:27" x14ac:dyDescent="0.25">
      <c r="A193" t="s">
        <v>331</v>
      </c>
      <c r="B193">
        <v>4</v>
      </c>
      <c r="C193" s="9">
        <v>45812.744016203702</v>
      </c>
      <c r="D193" t="s">
        <v>43</v>
      </c>
      <c r="E193" t="s">
        <v>44</v>
      </c>
      <c r="F193" t="s">
        <v>45</v>
      </c>
      <c r="G193">
        <v>0</v>
      </c>
      <c r="H193" s="6">
        <v>3</v>
      </c>
      <c r="I193" s="10">
        <v>53.31</v>
      </c>
      <c r="J193" s="10">
        <v>130.31</v>
      </c>
      <c r="L193" s="3">
        <v>0</v>
      </c>
      <c r="M193" t="s">
        <v>61</v>
      </c>
      <c r="N193" s="10">
        <v>23.66</v>
      </c>
      <c r="O193" t="s">
        <v>68</v>
      </c>
      <c r="P193" s="5">
        <v>45813</v>
      </c>
      <c r="Q193" s="5">
        <v>45818</v>
      </c>
      <c r="R193" s="5">
        <v>45816</v>
      </c>
      <c r="S193" t="s">
        <v>33</v>
      </c>
      <c r="T193" s="6">
        <v>5</v>
      </c>
      <c r="U193" t="s">
        <v>119</v>
      </c>
      <c r="V193" s="10">
        <v>390.93</v>
      </c>
      <c r="W193" s="10">
        <v>159.93</v>
      </c>
      <c r="X193" s="10">
        <v>207.34</v>
      </c>
      <c r="Y193" s="11">
        <v>0.53037628219885913</v>
      </c>
      <c r="Z193" s="6">
        <v>-2</v>
      </c>
      <c r="AA193" t="s">
        <v>35</v>
      </c>
    </row>
    <row r="194" spans="1:27" x14ac:dyDescent="0.25">
      <c r="A194" t="s">
        <v>332</v>
      </c>
      <c r="B194">
        <v>72</v>
      </c>
      <c r="C194" s="9">
        <v>45813.629247685189</v>
      </c>
      <c r="D194" t="s">
        <v>74</v>
      </c>
      <c r="E194" t="s">
        <v>75</v>
      </c>
      <c r="F194" t="s">
        <v>30</v>
      </c>
      <c r="G194">
        <v>2941</v>
      </c>
      <c r="H194" s="6">
        <v>3</v>
      </c>
      <c r="I194" s="10">
        <v>2599.6</v>
      </c>
      <c r="J194" s="10">
        <v>4041.59</v>
      </c>
      <c r="L194" s="3">
        <v>0</v>
      </c>
      <c r="M194" t="s">
        <v>39</v>
      </c>
      <c r="N194" s="10">
        <v>146.66999999999999</v>
      </c>
      <c r="O194" t="s">
        <v>47</v>
      </c>
      <c r="P194" s="5">
        <v>45815</v>
      </c>
      <c r="Q194" s="5">
        <v>45821</v>
      </c>
      <c r="R194" s="5">
        <v>45817</v>
      </c>
      <c r="S194" t="s">
        <v>33</v>
      </c>
      <c r="T194" s="6">
        <v>5</v>
      </c>
      <c r="U194" t="s">
        <v>134</v>
      </c>
      <c r="V194" s="10">
        <v>12124.77</v>
      </c>
      <c r="W194" s="10">
        <v>7798.7999999999993</v>
      </c>
      <c r="X194" s="10">
        <v>4179.3000000000011</v>
      </c>
      <c r="Y194" s="11">
        <v>0.3446910745523421</v>
      </c>
      <c r="Z194" s="6">
        <v>-4</v>
      </c>
      <c r="AA194" t="s">
        <v>35</v>
      </c>
    </row>
    <row r="195" spans="1:27" x14ac:dyDescent="0.25">
      <c r="A195" t="s">
        <v>333</v>
      </c>
      <c r="B195">
        <v>47</v>
      </c>
      <c r="C195" s="9">
        <v>45813.746828703697</v>
      </c>
      <c r="D195" t="s">
        <v>37</v>
      </c>
      <c r="E195" t="s">
        <v>38</v>
      </c>
      <c r="F195" t="s">
        <v>30</v>
      </c>
      <c r="G195">
        <v>2710</v>
      </c>
      <c r="H195" s="6">
        <v>2</v>
      </c>
      <c r="I195" s="10">
        <v>649.88</v>
      </c>
      <c r="J195" s="10">
        <v>1264.56</v>
      </c>
      <c r="K195" t="s">
        <v>46</v>
      </c>
      <c r="L195" s="3">
        <v>0.1</v>
      </c>
      <c r="M195" t="s">
        <v>61</v>
      </c>
      <c r="N195" s="10">
        <v>119.63</v>
      </c>
      <c r="O195" t="s">
        <v>68</v>
      </c>
      <c r="P195" s="5">
        <v>45814</v>
      </c>
      <c r="Q195" s="5">
        <v>45819</v>
      </c>
      <c r="R195" s="5">
        <v>45823</v>
      </c>
      <c r="S195" t="s">
        <v>33</v>
      </c>
      <c r="T195" s="6">
        <v>3</v>
      </c>
      <c r="U195" t="s">
        <v>238</v>
      </c>
      <c r="V195" s="10">
        <v>2276.2080000000001</v>
      </c>
      <c r="W195" s="10">
        <v>1299.76</v>
      </c>
      <c r="X195" s="10">
        <v>856.8180000000001</v>
      </c>
      <c r="Y195" s="11">
        <v>0.37642342000379581</v>
      </c>
      <c r="Z195" s="6">
        <v>4</v>
      </c>
      <c r="AA195" t="s">
        <v>103</v>
      </c>
    </row>
    <row r="196" spans="1:27" x14ac:dyDescent="0.25">
      <c r="A196" t="s">
        <v>334</v>
      </c>
      <c r="B196">
        <v>106</v>
      </c>
      <c r="C196" s="9">
        <v>45813.910729166673</v>
      </c>
      <c r="D196" t="s">
        <v>148</v>
      </c>
      <c r="E196" t="s">
        <v>149</v>
      </c>
      <c r="F196" t="s">
        <v>30</v>
      </c>
      <c r="G196">
        <v>3489</v>
      </c>
      <c r="H196" s="6">
        <v>3</v>
      </c>
      <c r="I196" s="10">
        <v>564.22</v>
      </c>
      <c r="J196" s="10">
        <v>964.5</v>
      </c>
      <c r="L196" s="3">
        <v>0</v>
      </c>
      <c r="M196" t="s">
        <v>39</v>
      </c>
      <c r="N196" s="10">
        <v>66.94</v>
      </c>
      <c r="O196" t="s">
        <v>47</v>
      </c>
      <c r="P196" s="5">
        <v>45814</v>
      </c>
      <c r="Q196" s="5">
        <v>45820</v>
      </c>
      <c r="R196" s="5">
        <v>45817</v>
      </c>
      <c r="S196" t="s">
        <v>33</v>
      </c>
      <c r="T196" s="6">
        <v>5</v>
      </c>
      <c r="U196" t="s">
        <v>84</v>
      </c>
      <c r="V196" s="10">
        <v>2893.5</v>
      </c>
      <c r="W196" s="10">
        <v>1692.66</v>
      </c>
      <c r="X196" s="10">
        <v>1133.9000000000001</v>
      </c>
      <c r="Y196" s="11">
        <v>0.39187834802142729</v>
      </c>
      <c r="Z196" s="6">
        <v>-3</v>
      </c>
      <c r="AA196" t="s">
        <v>35</v>
      </c>
    </row>
    <row r="197" spans="1:27" x14ac:dyDescent="0.25">
      <c r="A197" t="s">
        <v>335</v>
      </c>
      <c r="B197">
        <v>6</v>
      </c>
      <c r="C197" s="9">
        <v>45813.937164351853</v>
      </c>
      <c r="D197" t="s">
        <v>50</v>
      </c>
      <c r="E197" t="s">
        <v>51</v>
      </c>
      <c r="F197" t="s">
        <v>52</v>
      </c>
      <c r="G197">
        <v>639</v>
      </c>
      <c r="H197" s="6">
        <v>1</v>
      </c>
      <c r="I197" s="10">
        <v>114.02</v>
      </c>
      <c r="J197" s="10">
        <v>216.69</v>
      </c>
      <c r="L197" s="3">
        <v>0</v>
      </c>
      <c r="M197" t="s">
        <v>31</v>
      </c>
      <c r="N197" s="10">
        <v>32.78</v>
      </c>
      <c r="O197" t="s">
        <v>47</v>
      </c>
      <c r="P197" s="5">
        <v>45815</v>
      </c>
      <c r="Q197" s="5">
        <v>45822</v>
      </c>
      <c r="S197" t="s">
        <v>54</v>
      </c>
      <c r="T197" s="6">
        <v>4</v>
      </c>
      <c r="U197" t="s">
        <v>41</v>
      </c>
      <c r="V197" s="10">
        <v>216.69</v>
      </c>
      <c r="W197" s="10">
        <v>114.02</v>
      </c>
      <c r="X197" s="10">
        <v>69.89</v>
      </c>
      <c r="Y197" s="11">
        <v>0.32253449628501552</v>
      </c>
      <c r="Z197" s="6"/>
      <c r="AA197" t="s">
        <v>56</v>
      </c>
    </row>
    <row r="198" spans="1:27" x14ac:dyDescent="0.25">
      <c r="A198" t="s">
        <v>336</v>
      </c>
      <c r="B198">
        <v>22</v>
      </c>
      <c r="C198" s="9">
        <v>45814.475810185177</v>
      </c>
      <c r="D198" t="s">
        <v>74</v>
      </c>
      <c r="E198" t="s">
        <v>75</v>
      </c>
      <c r="F198" t="s">
        <v>30</v>
      </c>
      <c r="G198">
        <v>2248</v>
      </c>
      <c r="H198" s="6">
        <v>1</v>
      </c>
      <c r="I198" s="10">
        <v>2420.14</v>
      </c>
      <c r="J198" s="10">
        <v>3966.62</v>
      </c>
      <c r="K198" t="s">
        <v>46</v>
      </c>
      <c r="L198" s="3">
        <v>0.1</v>
      </c>
      <c r="M198" t="s">
        <v>61</v>
      </c>
      <c r="N198" s="10">
        <v>119.2</v>
      </c>
      <c r="O198" t="s">
        <v>99</v>
      </c>
      <c r="P198" s="5">
        <v>45815</v>
      </c>
      <c r="Q198" s="5">
        <v>45823</v>
      </c>
      <c r="R198" s="5">
        <v>45823</v>
      </c>
      <c r="S198" t="s">
        <v>33</v>
      </c>
      <c r="T198" s="6">
        <v>4</v>
      </c>
      <c r="U198" t="s">
        <v>172</v>
      </c>
      <c r="V198" s="10">
        <v>3569.9580000000001</v>
      </c>
      <c r="W198" s="10">
        <v>2420.14</v>
      </c>
      <c r="X198" s="10">
        <v>1030.6179999999999</v>
      </c>
      <c r="Y198" s="11">
        <v>0.28869191178159531</v>
      </c>
      <c r="Z198" s="6">
        <v>0</v>
      </c>
      <c r="AA198" t="s">
        <v>35</v>
      </c>
    </row>
    <row r="199" spans="1:27" x14ac:dyDescent="0.25">
      <c r="A199" t="s">
        <v>337</v>
      </c>
      <c r="B199">
        <v>77</v>
      </c>
      <c r="C199" s="9">
        <v>45814.823912037027</v>
      </c>
      <c r="D199" t="s">
        <v>66</v>
      </c>
      <c r="E199" t="s">
        <v>67</v>
      </c>
      <c r="F199" t="s">
        <v>52</v>
      </c>
      <c r="G199">
        <v>209</v>
      </c>
      <c r="H199" s="6">
        <v>2</v>
      </c>
      <c r="I199" s="10">
        <v>38.21</v>
      </c>
      <c r="J199" s="10">
        <v>53.88</v>
      </c>
      <c r="L199" s="3">
        <v>0</v>
      </c>
      <c r="M199" t="s">
        <v>76</v>
      </c>
      <c r="N199" s="10">
        <v>46.87</v>
      </c>
      <c r="O199" t="s">
        <v>62</v>
      </c>
      <c r="P199" s="5">
        <v>45815</v>
      </c>
      <c r="Q199" s="5">
        <v>45821</v>
      </c>
      <c r="R199" s="5">
        <v>45817</v>
      </c>
      <c r="S199" t="s">
        <v>33</v>
      </c>
      <c r="T199" s="6">
        <v>5</v>
      </c>
      <c r="U199" t="s">
        <v>48</v>
      </c>
      <c r="V199" s="10">
        <v>107.76</v>
      </c>
      <c r="W199" s="10">
        <v>76.42</v>
      </c>
      <c r="X199" s="10">
        <v>-15.52999999999999</v>
      </c>
      <c r="Y199" s="11">
        <v>-0.144116555308092</v>
      </c>
      <c r="Z199" s="6">
        <v>-4</v>
      </c>
      <c r="AA199" t="s">
        <v>35</v>
      </c>
    </row>
    <row r="200" spans="1:27" x14ac:dyDescent="0.25">
      <c r="A200" t="s">
        <v>338</v>
      </c>
      <c r="B200">
        <v>61</v>
      </c>
      <c r="C200" s="9">
        <v>45815.460694444453</v>
      </c>
      <c r="D200" t="s">
        <v>37</v>
      </c>
      <c r="E200" t="s">
        <v>38</v>
      </c>
      <c r="F200" t="s">
        <v>30</v>
      </c>
      <c r="G200">
        <v>2576</v>
      </c>
      <c r="H200" s="6">
        <v>3</v>
      </c>
      <c r="I200" s="10">
        <v>896.52</v>
      </c>
      <c r="J200" s="10">
        <v>1064.07</v>
      </c>
      <c r="L200" s="3">
        <v>0</v>
      </c>
      <c r="M200" t="s">
        <v>39</v>
      </c>
      <c r="N200" s="10">
        <v>112.76</v>
      </c>
      <c r="O200" t="s">
        <v>68</v>
      </c>
      <c r="P200" s="5">
        <v>45816</v>
      </c>
      <c r="Q200" s="5">
        <v>45822</v>
      </c>
      <c r="R200" s="5">
        <v>45820</v>
      </c>
      <c r="S200" t="s">
        <v>33</v>
      </c>
      <c r="T200" s="6">
        <v>4</v>
      </c>
      <c r="U200" t="s">
        <v>69</v>
      </c>
      <c r="V200" s="10">
        <v>3192.21</v>
      </c>
      <c r="W200" s="10">
        <v>2689.56</v>
      </c>
      <c r="X200" s="10">
        <v>389.8900000000001</v>
      </c>
      <c r="Y200" s="11">
        <v>0.1221379545831885</v>
      </c>
      <c r="Z200" s="6">
        <v>-2</v>
      </c>
      <c r="AA200" t="s">
        <v>35</v>
      </c>
    </row>
    <row r="201" spans="1:27" x14ac:dyDescent="0.25">
      <c r="A201" t="s">
        <v>339</v>
      </c>
      <c r="B201">
        <v>180</v>
      </c>
      <c r="C201" s="9">
        <v>45815.692199074067</v>
      </c>
      <c r="D201" t="s">
        <v>58</v>
      </c>
      <c r="E201" t="s">
        <v>59</v>
      </c>
      <c r="F201" t="s">
        <v>30</v>
      </c>
      <c r="G201">
        <v>4835</v>
      </c>
      <c r="H201" s="6">
        <v>3</v>
      </c>
      <c r="I201" s="10">
        <v>409.76</v>
      </c>
      <c r="J201" s="10">
        <v>882.29</v>
      </c>
      <c r="K201" t="s">
        <v>46</v>
      </c>
      <c r="L201" s="3">
        <v>0.1</v>
      </c>
      <c r="M201" t="s">
        <v>39</v>
      </c>
      <c r="N201" s="10">
        <v>108.45</v>
      </c>
      <c r="O201" t="s">
        <v>101</v>
      </c>
      <c r="P201" s="5">
        <v>45816</v>
      </c>
      <c r="Q201" s="5">
        <v>45824</v>
      </c>
      <c r="S201" t="s">
        <v>161</v>
      </c>
      <c r="T201" s="6">
        <v>3</v>
      </c>
      <c r="U201" t="s">
        <v>230</v>
      </c>
      <c r="V201" s="10">
        <v>2382.183</v>
      </c>
      <c r="W201" s="10">
        <v>1229.28</v>
      </c>
      <c r="X201" s="10">
        <v>1044.453</v>
      </c>
      <c r="Y201" s="11">
        <v>0.4384436460171196</v>
      </c>
      <c r="Z201" s="6"/>
      <c r="AA201" t="s">
        <v>56</v>
      </c>
    </row>
    <row r="202" spans="1:27" x14ac:dyDescent="0.25">
      <c r="A202" t="s">
        <v>340</v>
      </c>
      <c r="B202">
        <v>156</v>
      </c>
      <c r="C202" s="9">
        <v>45816.374409722222</v>
      </c>
      <c r="D202" t="s">
        <v>28</v>
      </c>
      <c r="E202" t="s">
        <v>29</v>
      </c>
      <c r="F202" t="s">
        <v>30</v>
      </c>
      <c r="G202">
        <v>2484</v>
      </c>
      <c r="H202" s="6">
        <v>2</v>
      </c>
      <c r="I202" s="10">
        <v>2180.58</v>
      </c>
      <c r="J202" s="10">
        <v>3027.96</v>
      </c>
      <c r="K202" t="s">
        <v>46</v>
      </c>
      <c r="L202" s="3">
        <v>0.1</v>
      </c>
      <c r="M202" t="s">
        <v>76</v>
      </c>
      <c r="N202" s="10">
        <v>65.760000000000005</v>
      </c>
      <c r="O202" t="s">
        <v>47</v>
      </c>
      <c r="P202" s="5">
        <v>45817</v>
      </c>
      <c r="Q202" s="5">
        <v>45823</v>
      </c>
      <c r="R202" s="5">
        <v>45823</v>
      </c>
      <c r="S202" t="s">
        <v>33</v>
      </c>
      <c r="T202" s="6">
        <v>4</v>
      </c>
      <c r="U202" t="s">
        <v>211</v>
      </c>
      <c r="V202" s="10">
        <v>5450.3280000000004</v>
      </c>
      <c r="W202" s="10">
        <v>4361.16</v>
      </c>
      <c r="X202" s="10">
        <v>1023.408000000001</v>
      </c>
      <c r="Y202" s="11">
        <v>0.18776998375143669</v>
      </c>
      <c r="Z202" s="6">
        <v>0</v>
      </c>
      <c r="AA202" t="s">
        <v>35</v>
      </c>
    </row>
    <row r="203" spans="1:27" x14ac:dyDescent="0.25">
      <c r="A203" t="s">
        <v>341</v>
      </c>
      <c r="B203">
        <v>2</v>
      </c>
      <c r="C203" s="9">
        <v>45816.498657407406</v>
      </c>
      <c r="D203" t="s">
        <v>50</v>
      </c>
      <c r="E203" t="s">
        <v>51</v>
      </c>
      <c r="F203" t="s">
        <v>52</v>
      </c>
      <c r="G203">
        <v>726</v>
      </c>
      <c r="H203" s="6">
        <v>3</v>
      </c>
      <c r="I203" s="10">
        <v>106.91</v>
      </c>
      <c r="J203" s="10">
        <v>154.4</v>
      </c>
      <c r="L203" s="3">
        <v>0</v>
      </c>
      <c r="M203" t="s">
        <v>76</v>
      </c>
      <c r="N203" s="10">
        <v>27.99</v>
      </c>
      <c r="O203" t="s">
        <v>264</v>
      </c>
      <c r="P203" s="5">
        <v>45818</v>
      </c>
      <c r="Q203" s="5">
        <v>45825</v>
      </c>
      <c r="R203" s="5">
        <v>45820</v>
      </c>
      <c r="S203" t="s">
        <v>33</v>
      </c>
      <c r="T203" s="6">
        <v>5</v>
      </c>
      <c r="U203" t="s">
        <v>166</v>
      </c>
      <c r="V203" s="10">
        <v>463.2</v>
      </c>
      <c r="W203" s="10">
        <v>320.73</v>
      </c>
      <c r="X203" s="10">
        <v>114.48</v>
      </c>
      <c r="Y203" s="11">
        <v>0.24715025906735749</v>
      </c>
      <c r="Z203" s="6">
        <v>-5</v>
      </c>
      <c r="AA203" t="s">
        <v>35</v>
      </c>
    </row>
    <row r="204" spans="1:27" x14ac:dyDescent="0.25">
      <c r="A204" t="s">
        <v>342</v>
      </c>
      <c r="B204">
        <v>43</v>
      </c>
      <c r="C204" s="9">
        <v>45816.593518518523</v>
      </c>
      <c r="D204" t="s">
        <v>37</v>
      </c>
      <c r="E204" t="s">
        <v>38</v>
      </c>
      <c r="F204" t="s">
        <v>30</v>
      </c>
      <c r="G204">
        <v>2378</v>
      </c>
      <c r="H204" s="6">
        <v>1</v>
      </c>
      <c r="I204" s="10">
        <v>786.11</v>
      </c>
      <c r="J204" s="10">
        <v>1098.06</v>
      </c>
      <c r="L204" s="3">
        <v>0</v>
      </c>
      <c r="M204" t="s">
        <v>31</v>
      </c>
      <c r="N204" s="10">
        <v>127.24</v>
      </c>
      <c r="O204" t="s">
        <v>157</v>
      </c>
      <c r="P204" s="5">
        <v>45817</v>
      </c>
      <c r="Q204" s="5">
        <v>45822</v>
      </c>
      <c r="S204" t="s">
        <v>54</v>
      </c>
      <c r="T204" s="6">
        <v>4</v>
      </c>
      <c r="U204" t="s">
        <v>34</v>
      </c>
      <c r="V204" s="10">
        <v>1098.06</v>
      </c>
      <c r="W204" s="10">
        <v>786.11</v>
      </c>
      <c r="X204" s="10">
        <v>184.70999999999989</v>
      </c>
      <c r="Y204" s="11">
        <v>0.1682148516474509</v>
      </c>
      <c r="Z204" s="6"/>
      <c r="AA204" t="s">
        <v>56</v>
      </c>
    </row>
    <row r="205" spans="1:27" x14ac:dyDescent="0.25">
      <c r="A205" t="s">
        <v>343</v>
      </c>
      <c r="B205">
        <v>101</v>
      </c>
      <c r="C205" s="9">
        <v>45816.613819444443</v>
      </c>
      <c r="D205" t="s">
        <v>164</v>
      </c>
      <c r="E205" t="s">
        <v>165</v>
      </c>
      <c r="F205" t="s">
        <v>116</v>
      </c>
      <c r="G205">
        <v>0</v>
      </c>
      <c r="H205" s="6">
        <v>1</v>
      </c>
      <c r="I205" s="10">
        <v>191.4</v>
      </c>
      <c r="J205" s="10">
        <v>390.13</v>
      </c>
      <c r="K205" t="s">
        <v>60</v>
      </c>
      <c r="L205" s="3">
        <v>0.2</v>
      </c>
      <c r="M205" t="s">
        <v>76</v>
      </c>
      <c r="N205" s="10">
        <v>15.69</v>
      </c>
      <c r="O205" t="s">
        <v>68</v>
      </c>
      <c r="P205" s="5">
        <v>45817</v>
      </c>
      <c r="Q205" s="5">
        <v>45823</v>
      </c>
      <c r="R205" s="5">
        <v>45819</v>
      </c>
      <c r="S205" t="s">
        <v>33</v>
      </c>
      <c r="T205" s="6">
        <v>5</v>
      </c>
      <c r="U205" t="s">
        <v>172</v>
      </c>
      <c r="V205" s="10">
        <v>312.10399999999998</v>
      </c>
      <c r="W205" s="10">
        <v>191.4</v>
      </c>
      <c r="X205" s="10">
        <v>105.014</v>
      </c>
      <c r="Y205" s="11">
        <v>0.33647117627457518</v>
      </c>
      <c r="Z205" s="6">
        <v>-4</v>
      </c>
      <c r="AA205" t="s">
        <v>35</v>
      </c>
    </row>
    <row r="206" spans="1:27" x14ac:dyDescent="0.25">
      <c r="A206" t="s">
        <v>344</v>
      </c>
      <c r="B206">
        <v>110</v>
      </c>
      <c r="C206" s="9">
        <v>45816.971215277779</v>
      </c>
      <c r="D206" t="s">
        <v>71</v>
      </c>
      <c r="E206" t="s">
        <v>72</v>
      </c>
      <c r="F206" t="s">
        <v>52</v>
      </c>
      <c r="G206">
        <v>259</v>
      </c>
      <c r="H206" s="6">
        <v>2</v>
      </c>
      <c r="I206" s="10">
        <v>67.66</v>
      </c>
      <c r="J206" s="10">
        <v>81.93</v>
      </c>
      <c r="L206" s="3">
        <v>0</v>
      </c>
      <c r="M206" t="s">
        <v>61</v>
      </c>
      <c r="N206" s="10">
        <v>45.02</v>
      </c>
      <c r="O206" t="s">
        <v>97</v>
      </c>
      <c r="P206" s="5">
        <v>45818</v>
      </c>
      <c r="Q206" s="5">
        <v>45828</v>
      </c>
      <c r="R206" s="5">
        <v>45826</v>
      </c>
      <c r="S206" t="s">
        <v>33</v>
      </c>
      <c r="T206" s="6">
        <v>5</v>
      </c>
      <c r="U206" t="s">
        <v>112</v>
      </c>
      <c r="V206" s="10">
        <v>163.86</v>
      </c>
      <c r="W206" s="10">
        <v>135.32</v>
      </c>
      <c r="X206" s="10">
        <v>-16.479999999999979</v>
      </c>
      <c r="Y206" s="11">
        <v>-0.1005736604418405</v>
      </c>
      <c r="Z206" s="6">
        <v>-2</v>
      </c>
      <c r="AA206" t="s">
        <v>35</v>
      </c>
    </row>
    <row r="207" spans="1:27" x14ac:dyDescent="0.25">
      <c r="A207" t="s">
        <v>345</v>
      </c>
      <c r="B207">
        <v>11</v>
      </c>
      <c r="C207" s="9">
        <v>45817.603136574071</v>
      </c>
      <c r="D207" t="s">
        <v>50</v>
      </c>
      <c r="E207" t="s">
        <v>51</v>
      </c>
      <c r="F207" t="s">
        <v>52</v>
      </c>
      <c r="G207">
        <v>718</v>
      </c>
      <c r="H207" s="6">
        <v>3</v>
      </c>
      <c r="I207" s="10">
        <v>140.01</v>
      </c>
      <c r="J207" s="10">
        <v>249.6</v>
      </c>
      <c r="L207" s="3">
        <v>0</v>
      </c>
      <c r="M207" t="s">
        <v>76</v>
      </c>
      <c r="N207" s="10">
        <v>28.25</v>
      </c>
      <c r="O207" t="s">
        <v>101</v>
      </c>
      <c r="P207" s="5">
        <v>45819</v>
      </c>
      <c r="Q207" s="5">
        <v>45828</v>
      </c>
      <c r="R207" s="5">
        <v>45828</v>
      </c>
      <c r="S207" t="s">
        <v>33</v>
      </c>
      <c r="T207" s="6">
        <v>5</v>
      </c>
      <c r="U207" t="s">
        <v>112</v>
      </c>
      <c r="V207" s="10">
        <v>748.8</v>
      </c>
      <c r="W207" s="10">
        <v>420.03</v>
      </c>
      <c r="X207" s="10">
        <v>300.52</v>
      </c>
      <c r="Y207" s="11">
        <v>0.4013354700854701</v>
      </c>
      <c r="Z207" s="6">
        <v>0</v>
      </c>
      <c r="AA207" t="s">
        <v>35</v>
      </c>
    </row>
    <row r="208" spans="1:27" x14ac:dyDescent="0.25">
      <c r="A208" t="s">
        <v>346</v>
      </c>
      <c r="B208">
        <v>149</v>
      </c>
      <c r="C208" s="9">
        <v>45817.61347222222</v>
      </c>
      <c r="D208" t="s">
        <v>95</v>
      </c>
      <c r="E208" t="s">
        <v>96</v>
      </c>
      <c r="F208" t="s">
        <v>52</v>
      </c>
      <c r="G208">
        <v>594</v>
      </c>
      <c r="H208" s="6">
        <v>2</v>
      </c>
      <c r="I208" s="10">
        <v>47.3</v>
      </c>
      <c r="J208" s="10">
        <v>92.25</v>
      </c>
      <c r="K208" t="s">
        <v>60</v>
      </c>
      <c r="L208" s="3">
        <v>0.2</v>
      </c>
      <c r="M208" t="s">
        <v>61</v>
      </c>
      <c r="N208" s="10">
        <v>57.69</v>
      </c>
      <c r="O208" t="s">
        <v>99</v>
      </c>
      <c r="P208" s="5">
        <v>45819</v>
      </c>
      <c r="Q208" s="5">
        <v>45825</v>
      </c>
      <c r="R208" s="5">
        <v>45825</v>
      </c>
      <c r="S208" t="s">
        <v>33</v>
      </c>
      <c r="T208" s="6">
        <v>5</v>
      </c>
      <c r="U208" t="s">
        <v>172</v>
      </c>
      <c r="V208" s="10">
        <v>147.6</v>
      </c>
      <c r="W208" s="10">
        <v>94.6</v>
      </c>
      <c r="X208" s="10">
        <v>-4.6899999999999977</v>
      </c>
      <c r="Y208" s="11">
        <v>-3.177506775067749E-2</v>
      </c>
      <c r="Z208" s="6">
        <v>0</v>
      </c>
      <c r="AA208" t="s">
        <v>35</v>
      </c>
    </row>
    <row r="209" spans="1:27" x14ac:dyDescent="0.25">
      <c r="A209" t="s">
        <v>347</v>
      </c>
      <c r="B209">
        <v>150</v>
      </c>
      <c r="C209" s="9">
        <v>45817.825428240743</v>
      </c>
      <c r="D209" t="s">
        <v>71</v>
      </c>
      <c r="E209" t="s">
        <v>72</v>
      </c>
      <c r="F209" t="s">
        <v>52</v>
      </c>
      <c r="G209">
        <v>338</v>
      </c>
      <c r="H209" s="6">
        <v>2</v>
      </c>
      <c r="I209" s="10">
        <v>33.07</v>
      </c>
      <c r="J209" s="10">
        <v>84.28</v>
      </c>
      <c r="L209" s="3">
        <v>0</v>
      </c>
      <c r="M209" t="s">
        <v>39</v>
      </c>
      <c r="N209" s="10">
        <v>58.7</v>
      </c>
      <c r="O209" t="s">
        <v>47</v>
      </c>
      <c r="P209" s="5">
        <v>45819</v>
      </c>
      <c r="Q209" s="5">
        <v>45828</v>
      </c>
      <c r="R209" s="5">
        <v>45830</v>
      </c>
      <c r="S209" t="s">
        <v>33</v>
      </c>
      <c r="T209" s="6">
        <v>2</v>
      </c>
      <c r="U209" t="s">
        <v>131</v>
      </c>
      <c r="V209" s="10">
        <v>168.56</v>
      </c>
      <c r="W209" s="10">
        <v>66.14</v>
      </c>
      <c r="X209" s="10">
        <v>43.72</v>
      </c>
      <c r="Y209" s="11">
        <v>0.25937351684859988</v>
      </c>
      <c r="Z209" s="6">
        <v>2</v>
      </c>
      <c r="AA209" t="s">
        <v>103</v>
      </c>
    </row>
    <row r="210" spans="1:27" x14ac:dyDescent="0.25">
      <c r="A210" t="s">
        <v>348</v>
      </c>
      <c r="B210">
        <v>197</v>
      </c>
      <c r="C210" s="9">
        <v>45817.865694444437</v>
      </c>
      <c r="D210" t="s">
        <v>155</v>
      </c>
      <c r="E210" t="s">
        <v>156</v>
      </c>
      <c r="F210" t="s">
        <v>30</v>
      </c>
      <c r="G210">
        <v>4585</v>
      </c>
      <c r="H210" s="6">
        <v>2</v>
      </c>
      <c r="I210" s="10">
        <v>776.64</v>
      </c>
      <c r="J210" s="10">
        <v>1940.95</v>
      </c>
      <c r="K210" t="s">
        <v>46</v>
      </c>
      <c r="L210" s="3">
        <v>0.1</v>
      </c>
      <c r="M210" t="s">
        <v>31</v>
      </c>
      <c r="N210" s="10">
        <v>121.11</v>
      </c>
      <c r="O210" t="s">
        <v>62</v>
      </c>
      <c r="P210" s="5">
        <v>45818</v>
      </c>
      <c r="Q210" s="5">
        <v>45823</v>
      </c>
      <c r="R210" s="5">
        <v>45820</v>
      </c>
      <c r="S210" t="s">
        <v>33</v>
      </c>
      <c r="T210" s="6">
        <v>4</v>
      </c>
      <c r="U210" t="s">
        <v>172</v>
      </c>
      <c r="V210" s="10">
        <v>3493.71</v>
      </c>
      <c r="W210" s="10">
        <v>1553.28</v>
      </c>
      <c r="X210" s="10">
        <v>1819.32</v>
      </c>
      <c r="Y210" s="11">
        <v>0.52074156126295545</v>
      </c>
      <c r="Z210" s="6">
        <v>-3</v>
      </c>
      <c r="AA210" t="s">
        <v>35</v>
      </c>
    </row>
    <row r="211" spans="1:27" x14ac:dyDescent="0.25">
      <c r="A211" t="s">
        <v>349</v>
      </c>
      <c r="B211">
        <v>59</v>
      </c>
      <c r="C211" s="9">
        <v>45818.030891203707</v>
      </c>
      <c r="D211" t="s">
        <v>86</v>
      </c>
      <c r="E211" t="s">
        <v>87</v>
      </c>
      <c r="F211" t="s">
        <v>45</v>
      </c>
      <c r="G211">
        <v>0</v>
      </c>
      <c r="H211" s="6">
        <v>3</v>
      </c>
      <c r="I211" s="10">
        <v>66.2</v>
      </c>
      <c r="J211" s="10">
        <v>129.91999999999999</v>
      </c>
      <c r="L211" s="3">
        <v>0</v>
      </c>
      <c r="M211" t="s">
        <v>31</v>
      </c>
      <c r="N211" s="10">
        <v>21.55</v>
      </c>
      <c r="O211" t="s">
        <v>62</v>
      </c>
      <c r="P211" s="5">
        <v>45820</v>
      </c>
      <c r="Q211" s="5">
        <v>45829</v>
      </c>
      <c r="R211" s="5">
        <v>45828</v>
      </c>
      <c r="S211" t="s">
        <v>33</v>
      </c>
      <c r="T211" s="6">
        <v>5</v>
      </c>
      <c r="U211" t="s">
        <v>211</v>
      </c>
      <c r="V211" s="10">
        <v>389.76</v>
      </c>
      <c r="W211" s="10">
        <v>198.6</v>
      </c>
      <c r="X211" s="10">
        <v>169.61</v>
      </c>
      <c r="Y211" s="11">
        <v>0.43516522988505729</v>
      </c>
      <c r="Z211" s="6">
        <v>-1</v>
      </c>
      <c r="AA211" t="s">
        <v>35</v>
      </c>
    </row>
    <row r="212" spans="1:27" x14ac:dyDescent="0.25">
      <c r="A212" t="s">
        <v>350</v>
      </c>
      <c r="B212">
        <v>196</v>
      </c>
      <c r="C212" s="9">
        <v>45818.107106481482</v>
      </c>
      <c r="D212" t="s">
        <v>164</v>
      </c>
      <c r="E212" t="s">
        <v>165</v>
      </c>
      <c r="F212" t="s">
        <v>116</v>
      </c>
      <c r="G212">
        <v>0</v>
      </c>
      <c r="H212" s="6">
        <v>3</v>
      </c>
      <c r="I212" s="10">
        <v>262.67</v>
      </c>
      <c r="J212" s="10">
        <v>720.13</v>
      </c>
      <c r="L212" s="3">
        <v>0</v>
      </c>
      <c r="M212" t="s">
        <v>61</v>
      </c>
      <c r="N212" s="10">
        <v>15.87</v>
      </c>
      <c r="O212" t="s">
        <v>97</v>
      </c>
      <c r="P212" s="5">
        <v>45819</v>
      </c>
      <c r="Q212" s="5">
        <v>45827</v>
      </c>
      <c r="R212" s="5">
        <v>45832</v>
      </c>
      <c r="S212" t="s">
        <v>33</v>
      </c>
      <c r="T212" s="6">
        <v>1</v>
      </c>
      <c r="U212" t="s">
        <v>162</v>
      </c>
      <c r="V212" s="10">
        <v>2160.39</v>
      </c>
      <c r="W212" s="10">
        <v>788.01</v>
      </c>
      <c r="X212" s="10">
        <v>1356.51</v>
      </c>
      <c r="Y212" s="11">
        <v>0.62790051796203461</v>
      </c>
      <c r="Z212" s="6">
        <v>5</v>
      </c>
      <c r="AA212" t="s">
        <v>103</v>
      </c>
    </row>
    <row r="213" spans="1:27" x14ac:dyDescent="0.25">
      <c r="A213" t="s">
        <v>351</v>
      </c>
      <c r="B213">
        <v>154</v>
      </c>
      <c r="C213" s="9">
        <v>45818.375057870369</v>
      </c>
      <c r="D213" t="s">
        <v>137</v>
      </c>
      <c r="E213" t="s">
        <v>138</v>
      </c>
      <c r="F213" t="s">
        <v>52</v>
      </c>
      <c r="G213">
        <v>423</v>
      </c>
      <c r="H213" s="6">
        <v>2</v>
      </c>
      <c r="I213" s="10">
        <v>130.81</v>
      </c>
      <c r="J213" s="10">
        <v>201.22</v>
      </c>
      <c r="K213" t="s">
        <v>46</v>
      </c>
      <c r="L213" s="3">
        <v>0.1</v>
      </c>
      <c r="M213" t="s">
        <v>39</v>
      </c>
      <c r="N213" s="10">
        <v>33.4</v>
      </c>
      <c r="O213" t="s">
        <v>264</v>
      </c>
      <c r="P213" s="5">
        <v>45819</v>
      </c>
      <c r="Q213" s="5">
        <v>45827</v>
      </c>
      <c r="S213" t="s">
        <v>54</v>
      </c>
      <c r="T213" s="6">
        <v>3</v>
      </c>
      <c r="U213" t="s">
        <v>352</v>
      </c>
      <c r="V213" s="10">
        <v>362.19600000000003</v>
      </c>
      <c r="W213" s="10">
        <v>261.62</v>
      </c>
      <c r="X213" s="10">
        <v>67.176000000000016</v>
      </c>
      <c r="Y213" s="11">
        <v>0.18546864128814239</v>
      </c>
      <c r="Z213" s="6"/>
      <c r="AA213" t="s">
        <v>56</v>
      </c>
    </row>
    <row r="214" spans="1:27" x14ac:dyDescent="0.25">
      <c r="A214" t="s">
        <v>353</v>
      </c>
      <c r="B214">
        <v>10</v>
      </c>
      <c r="C214" s="9">
        <v>45818.478472222218</v>
      </c>
      <c r="D214" t="s">
        <v>43</v>
      </c>
      <c r="E214" t="s">
        <v>44</v>
      </c>
      <c r="F214" t="s">
        <v>45</v>
      </c>
      <c r="G214">
        <v>0</v>
      </c>
      <c r="H214" s="6">
        <v>2</v>
      </c>
      <c r="I214" s="10">
        <v>57.22</v>
      </c>
      <c r="J214" s="10">
        <v>112.9</v>
      </c>
      <c r="K214" t="s">
        <v>60</v>
      </c>
      <c r="L214" s="3">
        <v>0.2</v>
      </c>
      <c r="M214" t="s">
        <v>76</v>
      </c>
      <c r="N214" s="10">
        <v>23.79</v>
      </c>
      <c r="O214" t="s">
        <v>157</v>
      </c>
      <c r="P214" s="5">
        <v>45820</v>
      </c>
      <c r="Q214" s="5">
        <v>45828</v>
      </c>
      <c r="R214" s="5">
        <v>45828</v>
      </c>
      <c r="S214" t="s">
        <v>33</v>
      </c>
      <c r="T214" s="6">
        <v>4</v>
      </c>
      <c r="U214" t="s">
        <v>112</v>
      </c>
      <c r="V214" s="10">
        <v>180.64</v>
      </c>
      <c r="W214" s="10">
        <v>114.44</v>
      </c>
      <c r="X214" s="10">
        <v>42.410000000000018</v>
      </c>
      <c r="Y214" s="11">
        <v>0.2347763507528787</v>
      </c>
      <c r="Z214" s="6">
        <v>0</v>
      </c>
      <c r="AA214" t="s">
        <v>35</v>
      </c>
    </row>
    <row r="215" spans="1:27" x14ac:dyDescent="0.25">
      <c r="A215" t="s">
        <v>354</v>
      </c>
      <c r="B215">
        <v>14</v>
      </c>
      <c r="C215" s="9">
        <v>45818.77783564815</v>
      </c>
      <c r="D215" t="s">
        <v>95</v>
      </c>
      <c r="E215" t="s">
        <v>96</v>
      </c>
      <c r="F215" t="s">
        <v>52</v>
      </c>
      <c r="G215">
        <v>519</v>
      </c>
      <c r="H215" s="6">
        <v>3</v>
      </c>
      <c r="I215" s="10">
        <v>35.39</v>
      </c>
      <c r="J215" s="10">
        <v>45.31</v>
      </c>
      <c r="L215" s="3">
        <v>0</v>
      </c>
      <c r="M215" t="s">
        <v>61</v>
      </c>
      <c r="N215" s="10">
        <v>47.74</v>
      </c>
      <c r="O215" t="s">
        <v>47</v>
      </c>
      <c r="P215" s="5">
        <v>45820</v>
      </c>
      <c r="Q215" s="5">
        <v>45828</v>
      </c>
      <c r="S215" t="s">
        <v>54</v>
      </c>
      <c r="T215" s="6">
        <v>3</v>
      </c>
      <c r="U215" t="s">
        <v>238</v>
      </c>
      <c r="V215" s="10">
        <v>135.93</v>
      </c>
      <c r="W215" s="10">
        <v>106.17</v>
      </c>
      <c r="X215" s="10">
        <v>-17.98</v>
      </c>
      <c r="Y215" s="11">
        <v>-0.1322739645405723</v>
      </c>
      <c r="Z215" s="6"/>
      <c r="AA215" t="s">
        <v>56</v>
      </c>
    </row>
    <row r="216" spans="1:27" x14ac:dyDescent="0.25">
      <c r="A216" t="s">
        <v>355</v>
      </c>
      <c r="B216">
        <v>84</v>
      </c>
      <c r="C216" s="9">
        <v>45820.34202546296</v>
      </c>
      <c r="D216" t="s">
        <v>92</v>
      </c>
      <c r="E216" t="s">
        <v>93</v>
      </c>
      <c r="F216" t="s">
        <v>52</v>
      </c>
      <c r="G216">
        <v>297</v>
      </c>
      <c r="H216" s="6">
        <v>1</v>
      </c>
      <c r="I216" s="10">
        <v>36.090000000000003</v>
      </c>
      <c r="J216" s="10">
        <v>117.08</v>
      </c>
      <c r="L216" s="3">
        <v>0</v>
      </c>
      <c r="M216" t="s">
        <v>39</v>
      </c>
      <c r="N216" s="10">
        <v>55.54</v>
      </c>
      <c r="O216" t="s">
        <v>99</v>
      </c>
      <c r="P216" s="5">
        <v>45822</v>
      </c>
      <c r="Q216" s="5">
        <v>45828</v>
      </c>
      <c r="R216" s="5">
        <v>45824</v>
      </c>
      <c r="S216" t="s">
        <v>33</v>
      </c>
      <c r="T216" s="6">
        <v>5</v>
      </c>
      <c r="U216" t="s">
        <v>166</v>
      </c>
      <c r="V216" s="10">
        <v>117.08</v>
      </c>
      <c r="W216" s="10">
        <v>36.090000000000003</v>
      </c>
      <c r="X216" s="10">
        <v>25.45</v>
      </c>
      <c r="Y216" s="11">
        <v>0.21737273659036549</v>
      </c>
      <c r="Z216" s="6">
        <v>-4</v>
      </c>
      <c r="AA216" t="s">
        <v>35</v>
      </c>
    </row>
    <row r="217" spans="1:27" x14ac:dyDescent="0.25">
      <c r="A217" t="s">
        <v>356</v>
      </c>
      <c r="B217">
        <v>75</v>
      </c>
      <c r="C217" s="9">
        <v>45820.500833333332</v>
      </c>
      <c r="D217" t="s">
        <v>86</v>
      </c>
      <c r="E217" t="s">
        <v>87</v>
      </c>
      <c r="F217" t="s">
        <v>45</v>
      </c>
      <c r="G217">
        <v>0</v>
      </c>
      <c r="H217" s="6">
        <v>3</v>
      </c>
      <c r="I217" s="10">
        <v>99.14</v>
      </c>
      <c r="J217" s="10">
        <v>118.57</v>
      </c>
      <c r="L217" s="3">
        <v>0</v>
      </c>
      <c r="M217" t="s">
        <v>31</v>
      </c>
      <c r="N217" s="10">
        <v>29.82</v>
      </c>
      <c r="O217" t="s">
        <v>47</v>
      </c>
      <c r="P217" s="5">
        <v>45822</v>
      </c>
      <c r="Q217" s="5">
        <v>45827</v>
      </c>
      <c r="R217" s="5">
        <v>45827</v>
      </c>
      <c r="S217" t="s">
        <v>33</v>
      </c>
      <c r="T217" s="6">
        <v>5</v>
      </c>
      <c r="U217" t="s">
        <v>166</v>
      </c>
      <c r="V217" s="10">
        <v>355.71</v>
      </c>
      <c r="W217" s="10">
        <v>297.42</v>
      </c>
      <c r="X217" s="10">
        <v>28.46999999999996</v>
      </c>
      <c r="Y217" s="11">
        <v>8.0037108880829794E-2</v>
      </c>
      <c r="Z217" s="6">
        <v>0</v>
      </c>
      <c r="AA217" t="s">
        <v>35</v>
      </c>
    </row>
    <row r="218" spans="1:27" x14ac:dyDescent="0.25">
      <c r="A218" t="s">
        <v>357</v>
      </c>
      <c r="B218">
        <v>77</v>
      </c>
      <c r="C218" s="9">
        <v>45820.611307870371</v>
      </c>
      <c r="D218" t="s">
        <v>81</v>
      </c>
      <c r="E218" t="s">
        <v>82</v>
      </c>
      <c r="F218" t="s">
        <v>45</v>
      </c>
      <c r="G218">
        <v>0</v>
      </c>
      <c r="H218" s="6">
        <v>3</v>
      </c>
      <c r="I218" s="10">
        <v>107.09</v>
      </c>
      <c r="J218" s="10">
        <v>214.46</v>
      </c>
      <c r="L218" s="3">
        <v>0</v>
      </c>
      <c r="M218" t="s">
        <v>39</v>
      </c>
      <c r="N218" s="10">
        <v>25.82</v>
      </c>
      <c r="O218" t="s">
        <v>97</v>
      </c>
      <c r="P218" s="5">
        <v>45822</v>
      </c>
      <c r="Q218" s="5">
        <v>45830</v>
      </c>
      <c r="R218" s="5">
        <v>45824</v>
      </c>
      <c r="S218" t="s">
        <v>33</v>
      </c>
      <c r="T218" s="6">
        <v>5</v>
      </c>
      <c r="U218" t="s">
        <v>117</v>
      </c>
      <c r="V218" s="10">
        <v>643.38</v>
      </c>
      <c r="W218" s="10">
        <v>321.27</v>
      </c>
      <c r="X218" s="10">
        <v>296.29000000000002</v>
      </c>
      <c r="Y218" s="11">
        <v>0.46052099847679451</v>
      </c>
      <c r="Z218" s="6">
        <v>-6</v>
      </c>
      <c r="AA218" t="s">
        <v>35</v>
      </c>
    </row>
    <row r="219" spans="1:27" x14ac:dyDescent="0.25">
      <c r="A219" t="s">
        <v>358</v>
      </c>
      <c r="B219">
        <v>160</v>
      </c>
      <c r="C219" s="9">
        <v>45820.816180555557</v>
      </c>
      <c r="D219" t="s">
        <v>28</v>
      </c>
      <c r="E219" t="s">
        <v>29</v>
      </c>
      <c r="F219" t="s">
        <v>30</v>
      </c>
      <c r="G219">
        <v>2251</v>
      </c>
      <c r="H219" s="6">
        <v>1</v>
      </c>
      <c r="I219" s="10">
        <v>1927.67</v>
      </c>
      <c r="J219" s="10">
        <v>3888.08</v>
      </c>
      <c r="L219" s="3">
        <v>0</v>
      </c>
      <c r="M219" t="s">
        <v>61</v>
      </c>
      <c r="N219" s="10">
        <v>84.12</v>
      </c>
      <c r="O219" t="s">
        <v>47</v>
      </c>
      <c r="P219" s="5">
        <v>45821</v>
      </c>
      <c r="Q219" s="5">
        <v>45830</v>
      </c>
      <c r="R219" s="5">
        <v>45833</v>
      </c>
      <c r="S219" t="s">
        <v>33</v>
      </c>
      <c r="T219" s="6">
        <v>1</v>
      </c>
      <c r="U219" t="s">
        <v>168</v>
      </c>
      <c r="V219" s="10">
        <v>3888.08</v>
      </c>
      <c r="W219" s="10">
        <v>1927.67</v>
      </c>
      <c r="X219" s="10">
        <v>1876.29</v>
      </c>
      <c r="Y219" s="11">
        <v>0.4825749470175511</v>
      </c>
      <c r="Z219" s="6">
        <v>3</v>
      </c>
      <c r="AA219" t="s">
        <v>103</v>
      </c>
    </row>
    <row r="220" spans="1:27" x14ac:dyDescent="0.25">
      <c r="A220" t="s">
        <v>359</v>
      </c>
      <c r="B220">
        <v>54</v>
      </c>
      <c r="C220" s="9">
        <v>45820.947777777779</v>
      </c>
      <c r="D220" t="s">
        <v>71</v>
      </c>
      <c r="E220" t="s">
        <v>72</v>
      </c>
      <c r="F220" t="s">
        <v>52</v>
      </c>
      <c r="G220">
        <v>292</v>
      </c>
      <c r="H220" s="6">
        <v>3</v>
      </c>
      <c r="I220" s="10">
        <v>70.7</v>
      </c>
      <c r="J220" s="10">
        <v>113.21</v>
      </c>
      <c r="L220" s="3">
        <v>0</v>
      </c>
      <c r="M220" t="s">
        <v>76</v>
      </c>
      <c r="N220" s="10">
        <v>24.81</v>
      </c>
      <c r="O220" t="s">
        <v>40</v>
      </c>
      <c r="P220" s="5">
        <v>45821</v>
      </c>
      <c r="Q220" s="5">
        <v>45826</v>
      </c>
      <c r="R220" s="5">
        <v>45826</v>
      </c>
      <c r="S220" t="s">
        <v>33</v>
      </c>
      <c r="T220" s="6">
        <v>5</v>
      </c>
      <c r="U220" t="s">
        <v>166</v>
      </c>
      <c r="V220" s="10">
        <v>339.63</v>
      </c>
      <c r="W220" s="10">
        <v>212.1</v>
      </c>
      <c r="X220" s="10">
        <v>102.72</v>
      </c>
      <c r="Y220" s="11">
        <v>0.30244678031975958</v>
      </c>
      <c r="Z220" s="6">
        <v>0</v>
      </c>
      <c r="AA220" t="s">
        <v>35</v>
      </c>
    </row>
    <row r="221" spans="1:27" x14ac:dyDescent="0.25">
      <c r="A221" t="s">
        <v>360</v>
      </c>
      <c r="B221">
        <v>37</v>
      </c>
      <c r="C221" s="9">
        <v>45821.521782407413</v>
      </c>
      <c r="D221" t="s">
        <v>114</v>
      </c>
      <c r="E221" t="s">
        <v>115</v>
      </c>
      <c r="F221" t="s">
        <v>116</v>
      </c>
      <c r="G221">
        <v>0</v>
      </c>
      <c r="H221" s="6">
        <v>2</v>
      </c>
      <c r="I221" s="10">
        <v>421.57</v>
      </c>
      <c r="J221" s="10">
        <v>782.61</v>
      </c>
      <c r="L221" s="3">
        <v>0</v>
      </c>
      <c r="M221" t="s">
        <v>76</v>
      </c>
      <c r="N221" s="10">
        <v>15.37</v>
      </c>
      <c r="O221" t="s">
        <v>97</v>
      </c>
      <c r="P221" s="5">
        <v>45822</v>
      </c>
      <c r="Q221" s="5">
        <v>45828</v>
      </c>
      <c r="S221" t="s">
        <v>54</v>
      </c>
      <c r="T221" s="6">
        <v>3</v>
      </c>
      <c r="U221" t="s">
        <v>352</v>
      </c>
      <c r="V221" s="10">
        <v>1565.22</v>
      </c>
      <c r="W221" s="10">
        <v>843.14</v>
      </c>
      <c r="X221" s="10">
        <v>706.71</v>
      </c>
      <c r="Y221" s="11">
        <v>0.45150841415264309</v>
      </c>
      <c r="Z221" s="6"/>
      <c r="AA221" t="s">
        <v>56</v>
      </c>
    </row>
    <row r="222" spans="1:27" x14ac:dyDescent="0.25">
      <c r="A222" t="s">
        <v>361</v>
      </c>
      <c r="B222">
        <v>165</v>
      </c>
      <c r="C222" s="9">
        <v>45821.537986111107</v>
      </c>
      <c r="D222" t="s">
        <v>37</v>
      </c>
      <c r="E222" t="s">
        <v>38</v>
      </c>
      <c r="F222" t="s">
        <v>30</v>
      </c>
      <c r="G222">
        <v>2429</v>
      </c>
      <c r="H222" s="6">
        <v>2</v>
      </c>
      <c r="I222" s="10">
        <v>456.82</v>
      </c>
      <c r="J222" s="10">
        <v>846.39</v>
      </c>
      <c r="K222" t="s">
        <v>46</v>
      </c>
      <c r="L222" s="3">
        <v>0.1</v>
      </c>
      <c r="M222" t="s">
        <v>76</v>
      </c>
      <c r="N222" s="10">
        <v>69.239999999999995</v>
      </c>
      <c r="O222" t="s">
        <v>62</v>
      </c>
      <c r="P222" s="5">
        <v>45823</v>
      </c>
      <c r="Q222" s="5">
        <v>45831</v>
      </c>
      <c r="R222" s="5">
        <v>45830</v>
      </c>
      <c r="S222" t="s">
        <v>33</v>
      </c>
      <c r="T222" s="6">
        <v>4</v>
      </c>
      <c r="U222" t="s">
        <v>84</v>
      </c>
      <c r="V222" s="10">
        <v>1523.502</v>
      </c>
      <c r="W222" s="10">
        <v>913.64</v>
      </c>
      <c r="X222" s="10">
        <v>540.62199999999996</v>
      </c>
      <c r="Y222" s="11">
        <v>0.35485480163465488</v>
      </c>
      <c r="Z222" s="6">
        <v>-1</v>
      </c>
      <c r="AA222" t="s">
        <v>35</v>
      </c>
    </row>
    <row r="223" spans="1:27" x14ac:dyDescent="0.25">
      <c r="A223" t="s">
        <v>362</v>
      </c>
      <c r="B223">
        <v>185</v>
      </c>
      <c r="C223" s="9">
        <v>45821.684849537043</v>
      </c>
      <c r="D223" t="s">
        <v>43</v>
      </c>
      <c r="E223" t="s">
        <v>44</v>
      </c>
      <c r="F223" t="s">
        <v>45</v>
      </c>
      <c r="G223">
        <v>0</v>
      </c>
      <c r="H223" s="6">
        <v>2</v>
      </c>
      <c r="I223" s="10">
        <v>34.89</v>
      </c>
      <c r="J223" s="10">
        <v>43.43</v>
      </c>
      <c r="K223" t="s">
        <v>46</v>
      </c>
      <c r="L223" s="3">
        <v>0.1</v>
      </c>
      <c r="M223" t="s">
        <v>76</v>
      </c>
      <c r="N223" s="10">
        <v>21.53</v>
      </c>
      <c r="O223" t="s">
        <v>99</v>
      </c>
      <c r="P223" s="5">
        <v>45822</v>
      </c>
      <c r="Q223" s="5">
        <v>45827</v>
      </c>
      <c r="R223" s="5">
        <v>45825</v>
      </c>
      <c r="S223" t="s">
        <v>33</v>
      </c>
      <c r="T223" s="6">
        <v>4</v>
      </c>
      <c r="U223" t="s">
        <v>79</v>
      </c>
      <c r="V223" s="10">
        <v>78.174000000000007</v>
      </c>
      <c r="W223" s="10">
        <v>69.78</v>
      </c>
      <c r="X223" s="10">
        <v>-13.135999999999999</v>
      </c>
      <c r="Y223" s="11">
        <v>-0.1680354081919819</v>
      </c>
      <c r="Z223" s="6">
        <v>-2</v>
      </c>
      <c r="AA223" t="s">
        <v>35</v>
      </c>
    </row>
    <row r="224" spans="1:27" x14ac:dyDescent="0.25">
      <c r="A224" t="s">
        <v>363</v>
      </c>
      <c r="B224">
        <v>169</v>
      </c>
      <c r="C224" s="9">
        <v>45822.607118055559</v>
      </c>
      <c r="D224" t="s">
        <v>114</v>
      </c>
      <c r="E224" t="s">
        <v>115</v>
      </c>
      <c r="F224" t="s">
        <v>116</v>
      </c>
      <c r="G224">
        <v>0</v>
      </c>
      <c r="H224" s="6">
        <v>1</v>
      </c>
      <c r="I224" s="10">
        <v>436.74</v>
      </c>
      <c r="J224" s="10">
        <v>782.5</v>
      </c>
      <c r="L224" s="3">
        <v>0</v>
      </c>
      <c r="M224" t="s">
        <v>76</v>
      </c>
      <c r="N224" s="10">
        <v>25.93</v>
      </c>
      <c r="O224" t="s">
        <v>40</v>
      </c>
      <c r="P224" s="5">
        <v>45823</v>
      </c>
      <c r="Q224" s="5">
        <v>45830</v>
      </c>
      <c r="R224" s="5">
        <v>45828</v>
      </c>
      <c r="S224" t="s">
        <v>33</v>
      </c>
      <c r="T224" s="6">
        <v>4</v>
      </c>
      <c r="U224" t="s">
        <v>119</v>
      </c>
      <c r="V224" s="10">
        <v>782.5</v>
      </c>
      <c r="W224" s="10">
        <v>436.74</v>
      </c>
      <c r="X224" s="10">
        <v>319.83</v>
      </c>
      <c r="Y224" s="11">
        <v>0.40872843450479229</v>
      </c>
      <c r="Z224" s="6">
        <v>-2</v>
      </c>
      <c r="AA224" t="s">
        <v>35</v>
      </c>
    </row>
    <row r="225" spans="1:27" x14ac:dyDescent="0.25">
      <c r="A225" t="s">
        <v>364</v>
      </c>
      <c r="B225">
        <v>200</v>
      </c>
      <c r="C225" s="9">
        <v>45822.771238425928</v>
      </c>
      <c r="D225" t="s">
        <v>74</v>
      </c>
      <c r="E225" t="s">
        <v>75</v>
      </c>
      <c r="F225" t="s">
        <v>30</v>
      </c>
      <c r="G225">
        <v>2920</v>
      </c>
      <c r="H225" s="6">
        <v>2</v>
      </c>
      <c r="I225" s="10">
        <v>2976.91</v>
      </c>
      <c r="J225" s="10">
        <v>4377.74</v>
      </c>
      <c r="L225" s="3">
        <v>0</v>
      </c>
      <c r="M225" t="s">
        <v>39</v>
      </c>
      <c r="N225" s="10">
        <v>66.19</v>
      </c>
      <c r="O225" t="s">
        <v>97</v>
      </c>
      <c r="P225" s="5">
        <v>45823</v>
      </c>
      <c r="Q225" s="5">
        <v>45828</v>
      </c>
      <c r="R225" s="5">
        <v>45826</v>
      </c>
      <c r="S225" t="s">
        <v>33</v>
      </c>
      <c r="T225" s="6">
        <v>5</v>
      </c>
      <c r="U225" t="s">
        <v>166</v>
      </c>
      <c r="V225" s="10">
        <v>8755.48</v>
      </c>
      <c r="W225" s="10">
        <v>5953.82</v>
      </c>
      <c r="X225" s="10">
        <v>2735.47</v>
      </c>
      <c r="Y225" s="11">
        <v>0.31242947274164301</v>
      </c>
      <c r="Z225" s="6">
        <v>-2</v>
      </c>
      <c r="AA225" t="s">
        <v>35</v>
      </c>
    </row>
    <row r="226" spans="1:27" x14ac:dyDescent="0.25">
      <c r="A226" t="s">
        <v>365</v>
      </c>
      <c r="B226">
        <v>90</v>
      </c>
      <c r="C226" s="9">
        <v>45823.233749999999</v>
      </c>
      <c r="D226" t="s">
        <v>105</v>
      </c>
      <c r="E226" t="s">
        <v>106</v>
      </c>
      <c r="F226" t="s">
        <v>30</v>
      </c>
      <c r="G226">
        <v>2072</v>
      </c>
      <c r="H226" s="6">
        <v>2</v>
      </c>
      <c r="I226" s="10">
        <v>337.32</v>
      </c>
      <c r="J226" s="10">
        <v>482.89</v>
      </c>
      <c r="L226" s="3">
        <v>0</v>
      </c>
      <c r="M226" t="s">
        <v>31</v>
      </c>
      <c r="N226" s="10">
        <v>72.62</v>
      </c>
      <c r="O226" t="s">
        <v>47</v>
      </c>
      <c r="P226" s="5">
        <v>45824</v>
      </c>
      <c r="Q226" s="5">
        <v>45831</v>
      </c>
      <c r="R226" s="5">
        <v>45829</v>
      </c>
      <c r="S226" t="s">
        <v>33</v>
      </c>
      <c r="T226" s="6">
        <v>4</v>
      </c>
      <c r="U226" t="s">
        <v>34</v>
      </c>
      <c r="V226" s="10">
        <v>965.78</v>
      </c>
      <c r="W226" s="10">
        <v>674.64</v>
      </c>
      <c r="X226" s="10">
        <v>218.52</v>
      </c>
      <c r="Y226" s="11">
        <v>0.2262627099339394</v>
      </c>
      <c r="Z226" s="6">
        <v>-2</v>
      </c>
      <c r="AA226" t="s">
        <v>35</v>
      </c>
    </row>
    <row r="227" spans="1:27" x14ac:dyDescent="0.25">
      <c r="A227" t="s">
        <v>366</v>
      </c>
      <c r="B227">
        <v>1</v>
      </c>
      <c r="C227" s="9">
        <v>45823.706307870372</v>
      </c>
      <c r="D227" t="s">
        <v>43</v>
      </c>
      <c r="E227" t="s">
        <v>44</v>
      </c>
      <c r="F227" t="s">
        <v>45</v>
      </c>
      <c r="G227">
        <v>0</v>
      </c>
      <c r="H227" s="6">
        <v>2</v>
      </c>
      <c r="I227" s="10">
        <v>22.45</v>
      </c>
      <c r="J227" s="10">
        <v>45.02</v>
      </c>
      <c r="L227" s="3">
        <v>0</v>
      </c>
      <c r="M227" t="s">
        <v>39</v>
      </c>
      <c r="N227" s="10">
        <v>25.64</v>
      </c>
      <c r="O227" t="s">
        <v>47</v>
      </c>
      <c r="P227" s="5">
        <v>45825</v>
      </c>
      <c r="Q227" s="5">
        <v>45835</v>
      </c>
      <c r="R227" s="5">
        <v>45833</v>
      </c>
      <c r="S227" t="s">
        <v>33</v>
      </c>
      <c r="T227" s="6">
        <v>4</v>
      </c>
      <c r="U227" t="s">
        <v>119</v>
      </c>
      <c r="V227" s="10">
        <v>90.04</v>
      </c>
      <c r="W227" s="10">
        <v>44.9</v>
      </c>
      <c r="X227" s="10">
        <v>19.500000000000011</v>
      </c>
      <c r="Y227" s="11">
        <v>0.21657041314971129</v>
      </c>
      <c r="Z227" s="6">
        <v>-2</v>
      </c>
      <c r="AA227" t="s">
        <v>35</v>
      </c>
    </row>
    <row r="228" spans="1:27" x14ac:dyDescent="0.25">
      <c r="A228" t="s">
        <v>367</v>
      </c>
      <c r="B228">
        <v>198</v>
      </c>
      <c r="C228" s="9">
        <v>45824.815983796303</v>
      </c>
      <c r="D228" t="s">
        <v>28</v>
      </c>
      <c r="E228" t="s">
        <v>29</v>
      </c>
      <c r="F228" t="s">
        <v>30</v>
      </c>
      <c r="G228">
        <v>2493</v>
      </c>
      <c r="H228" s="6">
        <v>1</v>
      </c>
      <c r="I228" s="10">
        <v>1577.92</v>
      </c>
      <c r="J228" s="10">
        <v>3728.64</v>
      </c>
      <c r="L228" s="3">
        <v>0</v>
      </c>
      <c r="M228" t="s">
        <v>61</v>
      </c>
      <c r="N228" s="10">
        <v>63.48</v>
      </c>
      <c r="O228" t="s">
        <v>62</v>
      </c>
      <c r="P228" s="5">
        <v>45825</v>
      </c>
      <c r="Q228" s="5">
        <v>45834</v>
      </c>
      <c r="S228" t="s">
        <v>63</v>
      </c>
      <c r="T228" s="6">
        <v>3</v>
      </c>
      <c r="U228" t="s">
        <v>243</v>
      </c>
      <c r="V228" s="10">
        <v>3728.64</v>
      </c>
      <c r="W228" s="10">
        <v>1577.92</v>
      </c>
      <c r="X228" s="10">
        <v>2087.2399999999998</v>
      </c>
      <c r="Y228" s="11">
        <v>0.55978587366975618</v>
      </c>
      <c r="Z228" s="6"/>
      <c r="AA228" t="s">
        <v>56</v>
      </c>
    </row>
    <row r="229" spans="1:27" x14ac:dyDescent="0.25">
      <c r="A229" t="s">
        <v>368</v>
      </c>
      <c r="B229">
        <v>46</v>
      </c>
      <c r="C229" s="9">
        <v>45824.931574074071</v>
      </c>
      <c r="D229" t="s">
        <v>95</v>
      </c>
      <c r="E229" t="s">
        <v>96</v>
      </c>
      <c r="F229" t="s">
        <v>52</v>
      </c>
      <c r="G229">
        <v>340</v>
      </c>
      <c r="H229" s="6">
        <v>3</v>
      </c>
      <c r="I229" s="10">
        <v>44.04</v>
      </c>
      <c r="J229" s="10">
        <v>69.61</v>
      </c>
      <c r="L229" s="3">
        <v>0</v>
      </c>
      <c r="M229" t="s">
        <v>31</v>
      </c>
      <c r="N229" s="10">
        <v>28.34</v>
      </c>
      <c r="O229" t="s">
        <v>68</v>
      </c>
      <c r="P229" s="5">
        <v>45826</v>
      </c>
      <c r="Q229" s="5">
        <v>45836</v>
      </c>
      <c r="S229" t="s">
        <v>63</v>
      </c>
      <c r="T229" s="6">
        <v>2</v>
      </c>
      <c r="U229" t="s">
        <v>185</v>
      </c>
      <c r="V229" s="10">
        <v>208.83</v>
      </c>
      <c r="W229" s="10">
        <v>132.12</v>
      </c>
      <c r="X229" s="10">
        <v>48.369999999999983</v>
      </c>
      <c r="Y229" s="11">
        <v>0.231623808839726</v>
      </c>
      <c r="Z229" s="6"/>
      <c r="AA229" t="s">
        <v>56</v>
      </c>
    </row>
    <row r="230" spans="1:27" x14ac:dyDescent="0.25">
      <c r="A230" t="s">
        <v>369</v>
      </c>
      <c r="B230">
        <v>168</v>
      </c>
      <c r="C230" s="9">
        <v>45824.938090277778</v>
      </c>
      <c r="D230" t="s">
        <v>50</v>
      </c>
      <c r="E230" t="s">
        <v>51</v>
      </c>
      <c r="F230" t="s">
        <v>52</v>
      </c>
      <c r="G230">
        <v>676</v>
      </c>
      <c r="H230" s="6">
        <v>2</v>
      </c>
      <c r="I230" s="10">
        <v>166.34</v>
      </c>
      <c r="J230" s="10">
        <v>278.14999999999998</v>
      </c>
      <c r="L230" s="3">
        <v>0</v>
      </c>
      <c r="M230" t="s">
        <v>61</v>
      </c>
      <c r="N230" s="10">
        <v>28.69</v>
      </c>
      <c r="O230" t="s">
        <v>126</v>
      </c>
      <c r="P230" s="5">
        <v>45826</v>
      </c>
      <c r="Q230" s="5">
        <v>45834</v>
      </c>
      <c r="R230" s="5">
        <v>45834</v>
      </c>
      <c r="S230" t="s">
        <v>33</v>
      </c>
      <c r="T230" s="6">
        <v>4</v>
      </c>
      <c r="U230" t="s">
        <v>117</v>
      </c>
      <c r="V230" s="10">
        <v>556.29999999999995</v>
      </c>
      <c r="W230" s="10">
        <v>332.68</v>
      </c>
      <c r="X230" s="10">
        <v>194.92999999999989</v>
      </c>
      <c r="Y230" s="11">
        <v>0.35040445802624481</v>
      </c>
      <c r="Z230" s="6">
        <v>0</v>
      </c>
      <c r="AA230" t="s">
        <v>35</v>
      </c>
    </row>
    <row r="231" spans="1:27" x14ac:dyDescent="0.25">
      <c r="A231" t="s">
        <v>370</v>
      </c>
      <c r="B231">
        <v>60</v>
      </c>
      <c r="C231" s="9">
        <v>45825.335775462961</v>
      </c>
      <c r="D231" t="s">
        <v>66</v>
      </c>
      <c r="E231" t="s">
        <v>67</v>
      </c>
      <c r="F231" t="s">
        <v>52</v>
      </c>
      <c r="G231">
        <v>236</v>
      </c>
      <c r="H231" s="6">
        <v>3</v>
      </c>
      <c r="I231" s="10">
        <v>43.64</v>
      </c>
      <c r="J231" s="10">
        <v>72.77</v>
      </c>
      <c r="K231" t="s">
        <v>46</v>
      </c>
      <c r="L231" s="3">
        <v>0.1</v>
      </c>
      <c r="M231" t="s">
        <v>61</v>
      </c>
      <c r="N231" s="10">
        <v>48.2</v>
      </c>
      <c r="O231" t="s">
        <v>97</v>
      </c>
      <c r="P231" s="5">
        <v>45826</v>
      </c>
      <c r="Q231" s="5">
        <v>45834</v>
      </c>
      <c r="R231" s="5">
        <v>45833</v>
      </c>
      <c r="S231" t="s">
        <v>33</v>
      </c>
      <c r="T231" s="6">
        <v>4</v>
      </c>
      <c r="U231" t="s">
        <v>172</v>
      </c>
      <c r="V231" s="10">
        <v>196.47900000000001</v>
      </c>
      <c r="W231" s="10">
        <v>130.91999999999999</v>
      </c>
      <c r="X231" s="10">
        <v>17.358999999999991</v>
      </c>
      <c r="Y231" s="11">
        <v>8.8350408949556911E-2</v>
      </c>
      <c r="Z231" s="6">
        <v>-1</v>
      </c>
      <c r="AA231" t="s">
        <v>35</v>
      </c>
    </row>
    <row r="232" spans="1:27" x14ac:dyDescent="0.25">
      <c r="A232" t="s">
        <v>371</v>
      </c>
      <c r="B232">
        <v>199</v>
      </c>
      <c r="C232" s="9">
        <v>45825.582962962973</v>
      </c>
      <c r="D232" t="s">
        <v>71</v>
      </c>
      <c r="E232" t="s">
        <v>72</v>
      </c>
      <c r="F232" t="s">
        <v>52</v>
      </c>
      <c r="G232">
        <v>308</v>
      </c>
      <c r="H232" s="6">
        <v>1</v>
      </c>
      <c r="I232" s="10">
        <v>32</v>
      </c>
      <c r="J232" s="10">
        <v>122.95</v>
      </c>
      <c r="L232" s="3">
        <v>0</v>
      </c>
      <c r="M232" t="s">
        <v>76</v>
      </c>
      <c r="N232" s="10">
        <v>49.79</v>
      </c>
      <c r="O232" t="s">
        <v>62</v>
      </c>
      <c r="P232" s="5">
        <v>45826</v>
      </c>
      <c r="Q232" s="5">
        <v>45835</v>
      </c>
      <c r="R232" s="5">
        <v>45834</v>
      </c>
      <c r="S232" t="s">
        <v>33</v>
      </c>
      <c r="T232" s="6">
        <v>4</v>
      </c>
      <c r="U232" t="s">
        <v>211</v>
      </c>
      <c r="V232" s="10">
        <v>122.95</v>
      </c>
      <c r="W232" s="10">
        <v>32</v>
      </c>
      <c r="X232" s="10">
        <v>41.16</v>
      </c>
      <c r="Y232" s="11">
        <v>0.33477023180154541</v>
      </c>
      <c r="Z232" s="6">
        <v>-1</v>
      </c>
      <c r="AA232" t="s">
        <v>35</v>
      </c>
    </row>
    <row r="233" spans="1:27" x14ac:dyDescent="0.25">
      <c r="A233" t="s">
        <v>372</v>
      </c>
      <c r="B233">
        <v>102</v>
      </c>
      <c r="C233" s="9">
        <v>45825.924826388888</v>
      </c>
      <c r="D233" t="s">
        <v>95</v>
      </c>
      <c r="E233" t="s">
        <v>96</v>
      </c>
      <c r="F233" t="s">
        <v>52</v>
      </c>
      <c r="G233">
        <v>570</v>
      </c>
      <c r="H233" s="6">
        <v>3</v>
      </c>
      <c r="I233" s="10">
        <v>33.93</v>
      </c>
      <c r="J233" s="10">
        <v>83.95</v>
      </c>
      <c r="K233" t="s">
        <v>60</v>
      </c>
      <c r="L233" s="3">
        <v>0.2</v>
      </c>
      <c r="M233" t="s">
        <v>39</v>
      </c>
      <c r="N233" s="10">
        <v>59.1</v>
      </c>
      <c r="O233" t="s">
        <v>83</v>
      </c>
      <c r="P233" s="5">
        <v>45827</v>
      </c>
      <c r="Q233" s="5">
        <v>45834</v>
      </c>
      <c r="R233" s="5">
        <v>45832</v>
      </c>
      <c r="S233" t="s">
        <v>33</v>
      </c>
      <c r="T233" s="6">
        <v>4</v>
      </c>
      <c r="U233" t="s">
        <v>134</v>
      </c>
      <c r="V233" s="10">
        <v>201.48</v>
      </c>
      <c r="W233" s="10">
        <v>101.79</v>
      </c>
      <c r="X233" s="10">
        <v>40.590000000000018</v>
      </c>
      <c r="Y233" s="11">
        <v>0.2014592019058965</v>
      </c>
      <c r="Z233" s="6">
        <v>-2</v>
      </c>
      <c r="AA233" t="s">
        <v>35</v>
      </c>
    </row>
    <row r="234" spans="1:27" x14ac:dyDescent="0.25">
      <c r="A234" t="s">
        <v>373</v>
      </c>
      <c r="B234">
        <v>107</v>
      </c>
      <c r="C234" s="9">
        <v>45826.87537037037</v>
      </c>
      <c r="D234" t="s">
        <v>28</v>
      </c>
      <c r="E234" t="s">
        <v>29</v>
      </c>
      <c r="F234" t="s">
        <v>30</v>
      </c>
      <c r="G234">
        <v>2137</v>
      </c>
      <c r="H234" s="6">
        <v>2</v>
      </c>
      <c r="I234" s="10">
        <v>1786.33</v>
      </c>
      <c r="J234" s="10">
        <v>2473.92</v>
      </c>
      <c r="L234" s="3">
        <v>0</v>
      </c>
      <c r="M234" t="s">
        <v>76</v>
      </c>
      <c r="N234" s="10">
        <v>67.77</v>
      </c>
      <c r="O234" t="s">
        <v>47</v>
      </c>
      <c r="P234" s="5">
        <v>45828</v>
      </c>
      <c r="Q234" s="5">
        <v>45835</v>
      </c>
      <c r="R234" s="5">
        <v>45838</v>
      </c>
      <c r="S234" t="s">
        <v>33</v>
      </c>
      <c r="T234" s="6">
        <v>1</v>
      </c>
      <c r="U234" t="s">
        <v>185</v>
      </c>
      <c r="V234" s="10">
        <v>4947.84</v>
      </c>
      <c r="W234" s="10">
        <v>3572.66</v>
      </c>
      <c r="X234" s="10">
        <v>1307.4100000000001</v>
      </c>
      <c r="Y234" s="11">
        <v>0.26423853641184852</v>
      </c>
      <c r="Z234" s="6">
        <v>3</v>
      </c>
      <c r="AA234" t="s">
        <v>103</v>
      </c>
    </row>
    <row r="235" spans="1:27" x14ac:dyDescent="0.25">
      <c r="A235" t="s">
        <v>374</v>
      </c>
      <c r="B235">
        <v>161</v>
      </c>
      <c r="C235" s="9">
        <v>45827.673275462963</v>
      </c>
      <c r="D235" t="s">
        <v>164</v>
      </c>
      <c r="E235" t="s">
        <v>165</v>
      </c>
      <c r="F235" t="s">
        <v>116</v>
      </c>
      <c r="G235">
        <v>0</v>
      </c>
      <c r="H235" s="6">
        <v>1</v>
      </c>
      <c r="I235" s="10">
        <v>275.92</v>
      </c>
      <c r="J235" s="10">
        <v>478.46</v>
      </c>
      <c r="K235" t="s">
        <v>60</v>
      </c>
      <c r="L235" s="3">
        <v>0.2</v>
      </c>
      <c r="M235" t="s">
        <v>39</v>
      </c>
      <c r="N235" s="10">
        <v>20.66</v>
      </c>
      <c r="O235" t="s">
        <v>68</v>
      </c>
      <c r="P235" s="5">
        <v>45828</v>
      </c>
      <c r="Q235" s="5">
        <v>45833</v>
      </c>
      <c r="R235" s="5">
        <v>45832</v>
      </c>
      <c r="S235" t="s">
        <v>33</v>
      </c>
      <c r="T235" s="6">
        <v>5</v>
      </c>
      <c r="U235" t="s">
        <v>119</v>
      </c>
      <c r="V235" s="10">
        <v>382.76799999999997</v>
      </c>
      <c r="W235" s="10">
        <v>275.92</v>
      </c>
      <c r="X235" s="10">
        <v>86.188000000000017</v>
      </c>
      <c r="Y235" s="11">
        <v>0.22517033816828999</v>
      </c>
      <c r="Z235" s="6">
        <v>-1</v>
      </c>
      <c r="AA235" t="s">
        <v>35</v>
      </c>
    </row>
    <row r="236" spans="1:27" x14ac:dyDescent="0.25">
      <c r="A236" t="s">
        <v>375</v>
      </c>
      <c r="B236">
        <v>129</v>
      </c>
      <c r="C236" s="9">
        <v>45828.033136574071</v>
      </c>
      <c r="D236" t="s">
        <v>177</v>
      </c>
      <c r="E236" t="s">
        <v>178</v>
      </c>
      <c r="F236" t="s">
        <v>116</v>
      </c>
      <c r="G236">
        <v>0</v>
      </c>
      <c r="H236" s="6">
        <v>2</v>
      </c>
      <c r="I236" s="10">
        <v>309.13</v>
      </c>
      <c r="J236" s="10">
        <v>572.66</v>
      </c>
      <c r="L236" s="3">
        <v>0</v>
      </c>
      <c r="M236" t="s">
        <v>39</v>
      </c>
      <c r="N236" s="10">
        <v>26.15</v>
      </c>
      <c r="O236" t="s">
        <v>150</v>
      </c>
      <c r="P236" s="5">
        <v>45830</v>
      </c>
      <c r="Q236" s="5">
        <v>45835</v>
      </c>
      <c r="S236" t="s">
        <v>161</v>
      </c>
      <c r="T236" s="6">
        <v>3</v>
      </c>
      <c r="U236" t="s">
        <v>230</v>
      </c>
      <c r="V236" s="10">
        <v>1145.32</v>
      </c>
      <c r="W236" s="10">
        <v>618.26</v>
      </c>
      <c r="X236" s="10">
        <v>500.91</v>
      </c>
      <c r="Y236" s="11">
        <v>0.43735375266301119</v>
      </c>
      <c r="Z236" s="6"/>
      <c r="AA236" t="s">
        <v>56</v>
      </c>
    </row>
    <row r="237" spans="1:27" x14ac:dyDescent="0.25">
      <c r="A237" t="s">
        <v>376</v>
      </c>
      <c r="B237">
        <v>107</v>
      </c>
      <c r="C237" s="9">
        <v>45828.404803240737</v>
      </c>
      <c r="D237" t="s">
        <v>105</v>
      </c>
      <c r="E237" t="s">
        <v>106</v>
      </c>
      <c r="F237" t="s">
        <v>30</v>
      </c>
      <c r="G237">
        <v>2062</v>
      </c>
      <c r="H237" s="6">
        <v>2</v>
      </c>
      <c r="I237" s="10">
        <v>286.94</v>
      </c>
      <c r="J237" s="10">
        <v>455.42</v>
      </c>
      <c r="L237" s="3">
        <v>0</v>
      </c>
      <c r="M237" t="s">
        <v>31</v>
      </c>
      <c r="N237" s="10">
        <v>84.93</v>
      </c>
      <c r="O237" t="s">
        <v>99</v>
      </c>
      <c r="P237" s="5">
        <v>45829</v>
      </c>
      <c r="Q237" s="5">
        <v>45838</v>
      </c>
      <c r="R237" s="5">
        <v>45836</v>
      </c>
      <c r="S237" t="s">
        <v>33</v>
      </c>
      <c r="T237" s="6">
        <v>4</v>
      </c>
      <c r="U237" t="s">
        <v>77</v>
      </c>
      <c r="V237" s="10">
        <v>910.84</v>
      </c>
      <c r="W237" s="10">
        <v>573.88</v>
      </c>
      <c r="X237" s="10">
        <v>252.03</v>
      </c>
      <c r="Y237" s="11">
        <v>0.27670062799174389</v>
      </c>
      <c r="Z237" s="6">
        <v>-2</v>
      </c>
      <c r="AA237" t="s">
        <v>35</v>
      </c>
    </row>
    <row r="238" spans="1:27" x14ac:dyDescent="0.25">
      <c r="A238" t="s">
        <v>377</v>
      </c>
      <c r="B238">
        <v>151</v>
      </c>
      <c r="C238" s="9">
        <v>45828.790902777779</v>
      </c>
      <c r="D238" t="s">
        <v>155</v>
      </c>
      <c r="E238" t="s">
        <v>156</v>
      </c>
      <c r="F238" t="s">
        <v>30</v>
      </c>
      <c r="G238">
        <v>3992</v>
      </c>
      <c r="H238" s="6">
        <v>2</v>
      </c>
      <c r="I238" s="10">
        <v>913.14</v>
      </c>
      <c r="J238" s="10">
        <v>1331.49</v>
      </c>
      <c r="K238" t="s">
        <v>60</v>
      </c>
      <c r="L238" s="3">
        <v>0.2</v>
      </c>
      <c r="M238" t="s">
        <v>39</v>
      </c>
      <c r="N238" s="10">
        <v>70.59</v>
      </c>
      <c r="O238" t="s">
        <v>47</v>
      </c>
      <c r="P238" s="5">
        <v>45830</v>
      </c>
      <c r="Q238" s="5">
        <v>45838</v>
      </c>
      <c r="R238" s="5">
        <v>45840</v>
      </c>
      <c r="S238" t="s">
        <v>33</v>
      </c>
      <c r="T238" s="6">
        <v>1</v>
      </c>
      <c r="U238" t="s">
        <v>102</v>
      </c>
      <c r="V238" s="10">
        <v>2130.384</v>
      </c>
      <c r="W238" s="10">
        <v>1826.28</v>
      </c>
      <c r="X238" s="10">
        <v>233.51400000000001</v>
      </c>
      <c r="Y238" s="11">
        <v>0.10961122501858819</v>
      </c>
      <c r="Z238" s="6">
        <v>2</v>
      </c>
      <c r="AA238" t="s">
        <v>103</v>
      </c>
    </row>
    <row r="239" spans="1:27" x14ac:dyDescent="0.25">
      <c r="A239" t="s">
        <v>378</v>
      </c>
      <c r="B239">
        <v>91</v>
      </c>
      <c r="C239" s="9">
        <v>45829.741006944438</v>
      </c>
      <c r="D239" t="s">
        <v>92</v>
      </c>
      <c r="E239" t="s">
        <v>93</v>
      </c>
      <c r="F239" t="s">
        <v>52</v>
      </c>
      <c r="G239">
        <v>249</v>
      </c>
      <c r="H239" s="6">
        <v>1</v>
      </c>
      <c r="I239" s="10">
        <v>43.01</v>
      </c>
      <c r="J239" s="10">
        <v>111.74</v>
      </c>
      <c r="L239" s="3">
        <v>0</v>
      </c>
      <c r="M239" t="s">
        <v>61</v>
      </c>
      <c r="N239" s="10">
        <v>27.29</v>
      </c>
      <c r="O239" t="s">
        <v>62</v>
      </c>
      <c r="P239" s="5">
        <v>45831</v>
      </c>
      <c r="Q239" s="5">
        <v>45836</v>
      </c>
      <c r="R239" s="5">
        <v>45834</v>
      </c>
      <c r="S239" t="s">
        <v>33</v>
      </c>
      <c r="T239" s="6">
        <v>5</v>
      </c>
      <c r="U239" t="s">
        <v>172</v>
      </c>
      <c r="V239" s="10">
        <v>111.74</v>
      </c>
      <c r="W239" s="10">
        <v>43.01</v>
      </c>
      <c r="X239" s="10">
        <v>41.439999999999991</v>
      </c>
      <c r="Y239" s="11">
        <v>0.37086092715231778</v>
      </c>
      <c r="Z239" s="6">
        <v>-2</v>
      </c>
      <c r="AA239" t="s">
        <v>35</v>
      </c>
    </row>
    <row r="240" spans="1:27" x14ac:dyDescent="0.25">
      <c r="A240" t="s">
        <v>379</v>
      </c>
      <c r="B240">
        <v>50</v>
      </c>
      <c r="C240" s="9">
        <v>45829.924895833326</v>
      </c>
      <c r="D240" t="s">
        <v>105</v>
      </c>
      <c r="E240" t="s">
        <v>106</v>
      </c>
      <c r="F240" t="s">
        <v>30</v>
      </c>
      <c r="G240">
        <v>2059</v>
      </c>
      <c r="H240" s="6">
        <v>3</v>
      </c>
      <c r="I240" s="10">
        <v>399.98</v>
      </c>
      <c r="J240" s="10">
        <v>604.20000000000005</v>
      </c>
      <c r="L240" s="3">
        <v>0</v>
      </c>
      <c r="M240" t="s">
        <v>39</v>
      </c>
      <c r="N240" s="10">
        <v>62.96</v>
      </c>
      <c r="O240" t="s">
        <v>47</v>
      </c>
      <c r="P240" s="5">
        <v>45831</v>
      </c>
      <c r="Q240" s="5">
        <v>45837</v>
      </c>
      <c r="R240" s="5">
        <v>45833</v>
      </c>
      <c r="S240" t="s">
        <v>33</v>
      </c>
      <c r="T240" s="6">
        <v>4</v>
      </c>
      <c r="U240" t="s">
        <v>41</v>
      </c>
      <c r="V240" s="10">
        <v>1812.6</v>
      </c>
      <c r="W240" s="10">
        <v>1199.94</v>
      </c>
      <c r="X240" s="10">
        <v>549.70000000000005</v>
      </c>
      <c r="Y240" s="11">
        <v>0.30326602670197511</v>
      </c>
      <c r="Z240" s="6">
        <v>-4</v>
      </c>
      <c r="AA240" t="s">
        <v>35</v>
      </c>
    </row>
    <row r="241" spans="1:27" x14ac:dyDescent="0.25">
      <c r="A241" t="s">
        <v>380</v>
      </c>
      <c r="B241">
        <v>84</v>
      </c>
      <c r="C241" s="9">
        <v>45829.938437500001</v>
      </c>
      <c r="D241" t="s">
        <v>105</v>
      </c>
      <c r="E241" t="s">
        <v>106</v>
      </c>
      <c r="F241" t="s">
        <v>30</v>
      </c>
      <c r="G241">
        <v>2033</v>
      </c>
      <c r="H241" s="6">
        <v>2</v>
      </c>
      <c r="I241" s="10">
        <v>288.45999999999998</v>
      </c>
      <c r="J241" s="10">
        <v>668.05</v>
      </c>
      <c r="K241" t="s">
        <v>46</v>
      </c>
      <c r="L241" s="3">
        <v>0.1</v>
      </c>
      <c r="M241" t="s">
        <v>39</v>
      </c>
      <c r="N241" s="10">
        <v>133.12</v>
      </c>
      <c r="O241" t="s">
        <v>47</v>
      </c>
      <c r="P241" s="5">
        <v>45830</v>
      </c>
      <c r="Q241" s="5">
        <v>45837</v>
      </c>
      <c r="R241" s="5">
        <v>45836</v>
      </c>
      <c r="S241" t="s">
        <v>33</v>
      </c>
      <c r="T241" s="6">
        <v>4</v>
      </c>
      <c r="U241" t="s">
        <v>127</v>
      </c>
      <c r="V241" s="10">
        <v>1202.49</v>
      </c>
      <c r="W241" s="10">
        <v>576.91999999999996</v>
      </c>
      <c r="X241" s="10">
        <v>492.45</v>
      </c>
      <c r="Y241" s="11">
        <v>0.40952523513709049</v>
      </c>
      <c r="Z241" s="6">
        <v>-1</v>
      </c>
      <c r="AA241" t="s">
        <v>35</v>
      </c>
    </row>
    <row r="242" spans="1:27" x14ac:dyDescent="0.25">
      <c r="A242" t="s">
        <v>381</v>
      </c>
      <c r="B242">
        <v>39</v>
      </c>
      <c r="C242" s="9">
        <v>45829.972708333327</v>
      </c>
      <c r="D242" t="s">
        <v>177</v>
      </c>
      <c r="E242" t="s">
        <v>178</v>
      </c>
      <c r="F242" t="s">
        <v>116</v>
      </c>
      <c r="G242">
        <v>0</v>
      </c>
      <c r="H242" s="6">
        <v>3</v>
      </c>
      <c r="I242" s="10">
        <v>163.05000000000001</v>
      </c>
      <c r="J242" s="10">
        <v>339.61</v>
      </c>
      <c r="L242" s="3">
        <v>0</v>
      </c>
      <c r="M242" t="s">
        <v>39</v>
      </c>
      <c r="N242" s="10">
        <v>21.14</v>
      </c>
      <c r="O242" t="s">
        <v>150</v>
      </c>
      <c r="P242" s="5">
        <v>45830</v>
      </c>
      <c r="Q242" s="5">
        <v>45835</v>
      </c>
      <c r="S242" t="s">
        <v>54</v>
      </c>
      <c r="T242" s="6">
        <v>2</v>
      </c>
      <c r="U242" t="s">
        <v>108</v>
      </c>
      <c r="V242" s="10">
        <v>1018.83</v>
      </c>
      <c r="W242" s="10">
        <v>489.15</v>
      </c>
      <c r="X242" s="10">
        <v>508.54000000000008</v>
      </c>
      <c r="Y242" s="11">
        <v>0.49914117173620731</v>
      </c>
      <c r="Z242" s="6"/>
      <c r="AA242" t="s">
        <v>56</v>
      </c>
    </row>
    <row r="243" spans="1:27" x14ac:dyDescent="0.25">
      <c r="A243" t="s">
        <v>382</v>
      </c>
      <c r="B243">
        <v>155</v>
      </c>
      <c r="C243" s="9">
        <v>45831.290891203702</v>
      </c>
      <c r="D243" t="s">
        <v>92</v>
      </c>
      <c r="E243" t="s">
        <v>93</v>
      </c>
      <c r="F243" t="s">
        <v>52</v>
      </c>
      <c r="G243">
        <v>292</v>
      </c>
      <c r="H243" s="6">
        <v>1</v>
      </c>
      <c r="I243" s="10">
        <v>53.78</v>
      </c>
      <c r="J243" s="10">
        <v>96.77</v>
      </c>
      <c r="L243" s="3">
        <v>0</v>
      </c>
      <c r="M243" t="s">
        <v>76</v>
      </c>
      <c r="N243" s="10">
        <v>45.51</v>
      </c>
      <c r="O243" t="s">
        <v>62</v>
      </c>
      <c r="P243" s="5">
        <v>45833</v>
      </c>
      <c r="Q243" s="5">
        <v>45838</v>
      </c>
      <c r="R243" s="5">
        <v>45836</v>
      </c>
      <c r="S243" t="s">
        <v>33</v>
      </c>
      <c r="T243" s="6">
        <v>5</v>
      </c>
      <c r="U243" t="s">
        <v>134</v>
      </c>
      <c r="V243" s="10">
        <v>96.77</v>
      </c>
      <c r="W243" s="10">
        <v>53.78</v>
      </c>
      <c r="X243" s="10">
        <v>-2.5200000000000031</v>
      </c>
      <c r="Y243" s="11">
        <v>-2.6041128448899491E-2</v>
      </c>
      <c r="Z243" s="6">
        <v>-2</v>
      </c>
      <c r="AA243" t="s">
        <v>35</v>
      </c>
    </row>
    <row r="244" spans="1:27" x14ac:dyDescent="0.25">
      <c r="A244" t="s">
        <v>383</v>
      </c>
      <c r="B244">
        <v>159</v>
      </c>
      <c r="C244" s="9">
        <v>45831.334374999999</v>
      </c>
      <c r="D244" t="s">
        <v>28</v>
      </c>
      <c r="E244" t="s">
        <v>29</v>
      </c>
      <c r="F244" t="s">
        <v>30</v>
      </c>
      <c r="G244">
        <v>2004</v>
      </c>
      <c r="H244" s="6">
        <v>1</v>
      </c>
      <c r="I244" s="10">
        <v>2244.36</v>
      </c>
      <c r="J244" s="10">
        <v>3584.93</v>
      </c>
      <c r="L244" s="3">
        <v>0</v>
      </c>
      <c r="M244" t="s">
        <v>39</v>
      </c>
      <c r="N244" s="10">
        <v>100.99</v>
      </c>
      <c r="O244" t="s">
        <v>99</v>
      </c>
      <c r="P244" s="5">
        <v>45832</v>
      </c>
      <c r="Q244" s="5">
        <v>45839</v>
      </c>
      <c r="R244" s="5">
        <v>45838</v>
      </c>
      <c r="S244" t="s">
        <v>33</v>
      </c>
      <c r="T244" s="6">
        <v>5</v>
      </c>
      <c r="U244" t="s">
        <v>48</v>
      </c>
      <c r="V244" s="10">
        <v>3584.93</v>
      </c>
      <c r="W244" s="10">
        <v>2244.36</v>
      </c>
      <c r="X244" s="10">
        <v>1239.58</v>
      </c>
      <c r="Y244" s="11">
        <v>0.34577523131553473</v>
      </c>
      <c r="Z244" s="6">
        <v>-1</v>
      </c>
      <c r="AA244" t="s">
        <v>35</v>
      </c>
    </row>
    <row r="245" spans="1:27" x14ac:dyDescent="0.25">
      <c r="A245" t="s">
        <v>384</v>
      </c>
      <c r="B245">
        <v>24</v>
      </c>
      <c r="C245" s="9">
        <v>45831.593298611107</v>
      </c>
      <c r="D245" t="s">
        <v>28</v>
      </c>
      <c r="E245" t="s">
        <v>29</v>
      </c>
      <c r="F245" t="s">
        <v>30</v>
      </c>
      <c r="G245">
        <v>2577</v>
      </c>
      <c r="H245" s="6">
        <v>2</v>
      </c>
      <c r="I245" s="10">
        <v>1818.56</v>
      </c>
      <c r="J245" s="10">
        <v>2720.53</v>
      </c>
      <c r="L245" s="3">
        <v>0</v>
      </c>
      <c r="M245" t="s">
        <v>61</v>
      </c>
      <c r="N245" s="10">
        <v>71.989999999999995</v>
      </c>
      <c r="O245" t="s">
        <v>68</v>
      </c>
      <c r="P245" s="5">
        <v>45832</v>
      </c>
      <c r="Q245" s="5">
        <v>45837</v>
      </c>
      <c r="R245" s="5">
        <v>45834</v>
      </c>
      <c r="S245" t="s">
        <v>33</v>
      </c>
      <c r="T245" s="6">
        <v>4</v>
      </c>
      <c r="U245" t="s">
        <v>112</v>
      </c>
      <c r="V245" s="10">
        <v>5441.06</v>
      </c>
      <c r="W245" s="10">
        <v>3637.12</v>
      </c>
      <c r="X245" s="10">
        <v>1731.950000000001</v>
      </c>
      <c r="Y245" s="11">
        <v>0.31831113790327631</v>
      </c>
      <c r="Z245" s="6">
        <v>-3</v>
      </c>
      <c r="AA245" t="s">
        <v>35</v>
      </c>
    </row>
    <row r="246" spans="1:27" x14ac:dyDescent="0.25">
      <c r="A246" t="s">
        <v>385</v>
      </c>
      <c r="B246">
        <v>121</v>
      </c>
      <c r="C246" s="9">
        <v>45832.480462962973</v>
      </c>
      <c r="D246" t="s">
        <v>74</v>
      </c>
      <c r="E246" t="s">
        <v>75</v>
      </c>
      <c r="F246" t="s">
        <v>30</v>
      </c>
      <c r="G246">
        <v>2906</v>
      </c>
      <c r="H246" s="6">
        <v>3</v>
      </c>
      <c r="I246" s="10">
        <v>2775.97</v>
      </c>
      <c r="J246" s="10">
        <v>4333.6899999999996</v>
      </c>
      <c r="K246" t="s">
        <v>46</v>
      </c>
      <c r="L246" s="3">
        <v>0.1</v>
      </c>
      <c r="M246" t="s">
        <v>61</v>
      </c>
      <c r="N246" s="10">
        <v>52.44</v>
      </c>
      <c r="O246" t="s">
        <v>47</v>
      </c>
      <c r="P246" s="5">
        <v>45833</v>
      </c>
      <c r="Q246" s="5">
        <v>45839</v>
      </c>
      <c r="S246" t="s">
        <v>161</v>
      </c>
      <c r="T246" s="6">
        <v>1</v>
      </c>
      <c r="U246" t="s">
        <v>162</v>
      </c>
      <c r="V246" s="10">
        <v>11700.963</v>
      </c>
      <c r="W246" s="10">
        <v>8327.91</v>
      </c>
      <c r="X246" s="10">
        <v>3320.6129999999998</v>
      </c>
      <c r="Y246" s="11">
        <v>0.28378971884621801</v>
      </c>
      <c r="Z246" s="6"/>
      <c r="AA246" t="s">
        <v>56</v>
      </c>
    </row>
    <row r="247" spans="1:27" x14ac:dyDescent="0.25">
      <c r="A247" t="s">
        <v>386</v>
      </c>
      <c r="B247">
        <v>122</v>
      </c>
      <c r="C247" s="9">
        <v>45832.583611111113</v>
      </c>
      <c r="D247" t="s">
        <v>148</v>
      </c>
      <c r="E247" t="s">
        <v>149</v>
      </c>
      <c r="F247" t="s">
        <v>30</v>
      </c>
      <c r="G247">
        <v>2608</v>
      </c>
      <c r="H247" s="6">
        <v>2</v>
      </c>
      <c r="I247" s="10">
        <v>438.9</v>
      </c>
      <c r="J247" s="10">
        <v>546.74</v>
      </c>
      <c r="K247" t="s">
        <v>46</v>
      </c>
      <c r="L247" s="3">
        <v>0.1</v>
      </c>
      <c r="M247" t="s">
        <v>76</v>
      </c>
      <c r="N247" s="10">
        <v>107.37</v>
      </c>
      <c r="O247" t="s">
        <v>62</v>
      </c>
      <c r="P247" s="5">
        <v>45834</v>
      </c>
      <c r="Q247" s="5">
        <v>45839</v>
      </c>
      <c r="R247" s="5">
        <v>45836</v>
      </c>
      <c r="S247" t="s">
        <v>33</v>
      </c>
      <c r="T247" s="6">
        <v>4</v>
      </c>
      <c r="U247" t="s">
        <v>166</v>
      </c>
      <c r="V247" s="10">
        <v>984.13200000000006</v>
      </c>
      <c r="W247" s="10">
        <v>877.8</v>
      </c>
      <c r="X247" s="10">
        <v>-1.037999999999897</v>
      </c>
      <c r="Y247" s="11">
        <v>-1.0547365597296881E-3</v>
      </c>
      <c r="Z247" s="6">
        <v>-3</v>
      </c>
      <c r="AA247" t="s">
        <v>35</v>
      </c>
    </row>
    <row r="248" spans="1:27" x14ac:dyDescent="0.25">
      <c r="A248" t="s">
        <v>387</v>
      </c>
      <c r="B248">
        <v>155</v>
      </c>
      <c r="C248" s="9">
        <v>45833.362141203703</v>
      </c>
      <c r="D248" t="s">
        <v>105</v>
      </c>
      <c r="E248" t="s">
        <v>106</v>
      </c>
      <c r="F248" t="s">
        <v>30</v>
      </c>
      <c r="G248">
        <v>2094</v>
      </c>
      <c r="H248" s="6">
        <v>3</v>
      </c>
      <c r="I248" s="10">
        <v>333.1</v>
      </c>
      <c r="J248" s="10">
        <v>384.34</v>
      </c>
      <c r="L248" s="3">
        <v>0</v>
      </c>
      <c r="M248" t="s">
        <v>61</v>
      </c>
      <c r="N248" s="10">
        <v>108.98</v>
      </c>
      <c r="O248" t="s">
        <v>40</v>
      </c>
      <c r="P248" s="5">
        <v>45835</v>
      </c>
      <c r="Q248" s="5">
        <v>45844</v>
      </c>
      <c r="R248" s="5">
        <v>45848</v>
      </c>
      <c r="S248" t="s">
        <v>33</v>
      </c>
      <c r="T248" s="6">
        <v>1</v>
      </c>
      <c r="U248" t="s">
        <v>168</v>
      </c>
      <c r="V248" s="10">
        <v>1153.02</v>
      </c>
      <c r="W248" s="10">
        <v>999.30000000000007</v>
      </c>
      <c r="X248" s="10">
        <v>44.73999999999991</v>
      </c>
      <c r="Y248" s="11">
        <v>3.880244922030833E-2</v>
      </c>
      <c r="Z248" s="6">
        <v>4</v>
      </c>
      <c r="AA248" t="s">
        <v>103</v>
      </c>
    </row>
    <row r="249" spans="1:27" x14ac:dyDescent="0.25">
      <c r="A249" t="s">
        <v>388</v>
      </c>
      <c r="B249">
        <v>79</v>
      </c>
      <c r="C249" s="9">
        <v>45833.665393518517</v>
      </c>
      <c r="D249" t="s">
        <v>28</v>
      </c>
      <c r="E249" t="s">
        <v>29</v>
      </c>
      <c r="F249" t="s">
        <v>30</v>
      </c>
      <c r="G249">
        <v>2380</v>
      </c>
      <c r="H249" s="6">
        <v>1</v>
      </c>
      <c r="I249" s="10">
        <v>1537.05</v>
      </c>
      <c r="J249" s="10">
        <v>2609.06</v>
      </c>
      <c r="K249" t="s">
        <v>60</v>
      </c>
      <c r="L249" s="3">
        <v>0.2</v>
      </c>
      <c r="M249" t="s">
        <v>61</v>
      </c>
      <c r="N249" s="10">
        <v>72.52</v>
      </c>
      <c r="O249" t="s">
        <v>62</v>
      </c>
      <c r="P249" s="5">
        <v>45834</v>
      </c>
      <c r="Q249" s="5">
        <v>45843</v>
      </c>
      <c r="R249" s="5">
        <v>45842</v>
      </c>
      <c r="S249" t="s">
        <v>33</v>
      </c>
      <c r="T249" s="6">
        <v>5</v>
      </c>
      <c r="U249" t="s">
        <v>211</v>
      </c>
      <c r="V249" s="10">
        <v>2087.248</v>
      </c>
      <c r="W249" s="10">
        <v>1537.05</v>
      </c>
      <c r="X249" s="10">
        <v>477.67800000000011</v>
      </c>
      <c r="Y249" s="11">
        <v>0.22885541152752339</v>
      </c>
      <c r="Z249" s="6">
        <v>-1</v>
      </c>
      <c r="AA249" t="s">
        <v>35</v>
      </c>
    </row>
    <row r="250" spans="1:27" x14ac:dyDescent="0.25">
      <c r="A250" t="s">
        <v>389</v>
      </c>
      <c r="B250">
        <v>68</v>
      </c>
      <c r="C250" s="9">
        <v>45833.853472222218</v>
      </c>
      <c r="D250" t="s">
        <v>37</v>
      </c>
      <c r="E250" t="s">
        <v>38</v>
      </c>
      <c r="F250" t="s">
        <v>30</v>
      </c>
      <c r="G250">
        <v>2228</v>
      </c>
      <c r="H250" s="6">
        <v>1</v>
      </c>
      <c r="I250" s="10">
        <v>843.78</v>
      </c>
      <c r="J250" s="10">
        <v>1212.94</v>
      </c>
      <c r="K250" t="s">
        <v>60</v>
      </c>
      <c r="L250" s="3">
        <v>0.2</v>
      </c>
      <c r="M250" t="s">
        <v>31</v>
      </c>
      <c r="N250" s="10">
        <v>147.59</v>
      </c>
      <c r="O250" t="s">
        <v>47</v>
      </c>
      <c r="P250" s="5">
        <v>45834</v>
      </c>
      <c r="Q250" s="5">
        <v>45842</v>
      </c>
      <c r="R250" s="5">
        <v>45836</v>
      </c>
      <c r="S250" t="s">
        <v>33</v>
      </c>
      <c r="T250" s="6">
        <v>5</v>
      </c>
      <c r="U250" t="s">
        <v>77</v>
      </c>
      <c r="V250" s="10">
        <v>970.35200000000009</v>
      </c>
      <c r="W250" s="10">
        <v>843.78</v>
      </c>
      <c r="X250" s="10">
        <v>-21.017999999999891</v>
      </c>
      <c r="Y250" s="11">
        <v>-2.1660181047702159E-2</v>
      </c>
      <c r="Z250" s="6">
        <v>-6</v>
      </c>
      <c r="AA250" t="s">
        <v>35</v>
      </c>
    </row>
    <row r="251" spans="1:27" x14ac:dyDescent="0.25">
      <c r="A251" t="s">
        <v>390</v>
      </c>
      <c r="B251">
        <v>2</v>
      </c>
      <c r="C251" s="9">
        <v>45834.806770833333</v>
      </c>
      <c r="D251" t="s">
        <v>148</v>
      </c>
      <c r="E251" t="s">
        <v>149</v>
      </c>
      <c r="F251" t="s">
        <v>30</v>
      </c>
      <c r="G251">
        <v>3016</v>
      </c>
      <c r="H251" s="6">
        <v>3</v>
      </c>
      <c r="I251" s="10">
        <v>352.64</v>
      </c>
      <c r="J251" s="10">
        <v>723.81</v>
      </c>
      <c r="L251" s="3">
        <v>0</v>
      </c>
      <c r="M251" t="s">
        <v>39</v>
      </c>
      <c r="N251" s="10">
        <v>81.45</v>
      </c>
      <c r="O251" t="s">
        <v>68</v>
      </c>
      <c r="P251" s="5">
        <v>45835</v>
      </c>
      <c r="Q251" s="5">
        <v>45845</v>
      </c>
      <c r="S251" t="s">
        <v>63</v>
      </c>
      <c r="T251" s="6">
        <v>2</v>
      </c>
      <c r="U251" t="s">
        <v>108</v>
      </c>
      <c r="V251" s="10">
        <v>2171.4299999999998</v>
      </c>
      <c r="W251" s="10">
        <v>1057.92</v>
      </c>
      <c r="X251" s="10">
        <v>1032.06</v>
      </c>
      <c r="Y251" s="11">
        <v>0.47529047678258102</v>
      </c>
      <c r="Z251" s="6"/>
      <c r="AA251" t="s">
        <v>56</v>
      </c>
    </row>
    <row r="252" spans="1:27" x14ac:dyDescent="0.25">
      <c r="A252" t="s">
        <v>391</v>
      </c>
      <c r="B252">
        <v>78</v>
      </c>
      <c r="C252" s="9">
        <v>45835.114016203697</v>
      </c>
      <c r="D252" t="s">
        <v>28</v>
      </c>
      <c r="E252" t="s">
        <v>29</v>
      </c>
      <c r="F252" t="s">
        <v>30</v>
      </c>
      <c r="G252">
        <v>2735</v>
      </c>
      <c r="H252" s="6">
        <v>1</v>
      </c>
      <c r="I252" s="10">
        <v>2114.0100000000002</v>
      </c>
      <c r="J252" s="10">
        <v>3390.52</v>
      </c>
      <c r="L252" s="3">
        <v>0</v>
      </c>
      <c r="M252" t="s">
        <v>61</v>
      </c>
      <c r="N252" s="10">
        <v>123.49</v>
      </c>
      <c r="O252" t="s">
        <v>47</v>
      </c>
      <c r="P252" s="5">
        <v>45836</v>
      </c>
      <c r="Q252" s="5">
        <v>45844</v>
      </c>
      <c r="S252" t="s">
        <v>54</v>
      </c>
      <c r="T252" s="6">
        <v>3</v>
      </c>
      <c r="U252" t="s">
        <v>238</v>
      </c>
      <c r="V252" s="10">
        <v>3390.52</v>
      </c>
      <c r="W252" s="10">
        <v>2114.0100000000002</v>
      </c>
      <c r="X252" s="10">
        <v>1153.02</v>
      </c>
      <c r="Y252" s="11">
        <v>0.34007172941023789</v>
      </c>
      <c r="Z252" s="6"/>
      <c r="AA252" t="s">
        <v>56</v>
      </c>
    </row>
    <row r="253" spans="1:27" x14ac:dyDescent="0.25">
      <c r="A253" t="s">
        <v>392</v>
      </c>
      <c r="B253">
        <v>38</v>
      </c>
      <c r="C253" s="9">
        <v>45835.588773148149</v>
      </c>
      <c r="D253" t="s">
        <v>81</v>
      </c>
      <c r="E253" t="s">
        <v>82</v>
      </c>
      <c r="F253" t="s">
        <v>45</v>
      </c>
      <c r="G253">
        <v>0</v>
      </c>
      <c r="H253" s="6">
        <v>1</v>
      </c>
      <c r="I253" s="10">
        <v>53.63</v>
      </c>
      <c r="J253" s="10">
        <v>126.7</v>
      </c>
      <c r="K253" t="s">
        <v>60</v>
      </c>
      <c r="L253" s="3">
        <v>0.2</v>
      </c>
      <c r="M253" t="s">
        <v>31</v>
      </c>
      <c r="N253" s="10">
        <v>24.42</v>
      </c>
      <c r="O253" t="s">
        <v>126</v>
      </c>
      <c r="P253" s="5">
        <v>45837</v>
      </c>
      <c r="Q253" s="5">
        <v>45844</v>
      </c>
      <c r="R253" s="5">
        <v>45842</v>
      </c>
      <c r="S253" t="s">
        <v>33</v>
      </c>
      <c r="T253" s="6">
        <v>4</v>
      </c>
      <c r="U253" t="s">
        <v>172</v>
      </c>
      <c r="V253" s="10">
        <v>101.36</v>
      </c>
      <c r="W253" s="10">
        <v>53.63</v>
      </c>
      <c r="X253" s="10">
        <v>23.310000000000009</v>
      </c>
      <c r="Y253" s="11">
        <v>0.2299723756906078</v>
      </c>
      <c r="Z253" s="6">
        <v>-2</v>
      </c>
      <c r="AA253" t="s">
        <v>35</v>
      </c>
    </row>
    <row r="254" spans="1:27" x14ac:dyDescent="0.25">
      <c r="A254" t="s">
        <v>393</v>
      </c>
      <c r="B254">
        <v>154</v>
      </c>
      <c r="C254" s="9">
        <v>45836.091238425928</v>
      </c>
      <c r="D254" t="s">
        <v>89</v>
      </c>
      <c r="E254" t="s">
        <v>90</v>
      </c>
      <c r="F254" t="s">
        <v>52</v>
      </c>
      <c r="G254">
        <v>262</v>
      </c>
      <c r="H254" s="6">
        <v>3</v>
      </c>
      <c r="I254" s="10">
        <v>105.86</v>
      </c>
      <c r="J254" s="10">
        <v>152.87</v>
      </c>
      <c r="L254" s="3">
        <v>0</v>
      </c>
      <c r="M254" t="s">
        <v>76</v>
      </c>
      <c r="N254" s="10">
        <v>27.69</v>
      </c>
      <c r="O254" t="s">
        <v>62</v>
      </c>
      <c r="P254" s="5">
        <v>45838</v>
      </c>
      <c r="Q254" s="5">
        <v>45844</v>
      </c>
      <c r="R254" s="5">
        <v>45840</v>
      </c>
      <c r="S254" t="s">
        <v>33</v>
      </c>
      <c r="T254" s="6">
        <v>5</v>
      </c>
      <c r="U254" t="s">
        <v>166</v>
      </c>
      <c r="V254" s="10">
        <v>458.61</v>
      </c>
      <c r="W254" s="10">
        <v>317.58</v>
      </c>
      <c r="X254" s="10">
        <v>113.34</v>
      </c>
      <c r="Y254" s="11">
        <v>0.2471380911885917</v>
      </c>
      <c r="Z254" s="6">
        <v>-4</v>
      </c>
      <c r="AA254" t="s">
        <v>35</v>
      </c>
    </row>
    <row r="255" spans="1:27" x14ac:dyDescent="0.25">
      <c r="A255" t="s">
        <v>394</v>
      </c>
      <c r="B255">
        <v>9</v>
      </c>
      <c r="C255" s="9">
        <v>45836.205474537041</v>
      </c>
      <c r="D255" t="s">
        <v>43</v>
      </c>
      <c r="E255" t="s">
        <v>44</v>
      </c>
      <c r="F255" t="s">
        <v>45</v>
      </c>
      <c r="G255">
        <v>0</v>
      </c>
      <c r="H255" s="6">
        <v>2</v>
      </c>
      <c r="I255" s="10">
        <v>56.76</v>
      </c>
      <c r="J255" s="10">
        <v>140.66</v>
      </c>
      <c r="L255" s="3">
        <v>0</v>
      </c>
      <c r="M255" t="s">
        <v>76</v>
      </c>
      <c r="N255" s="10">
        <v>26.41</v>
      </c>
      <c r="O255" t="s">
        <v>32</v>
      </c>
      <c r="P255" s="5">
        <v>45837</v>
      </c>
      <c r="Q255" s="5">
        <v>45844</v>
      </c>
      <c r="R255" s="5">
        <v>45842</v>
      </c>
      <c r="S255" t="s">
        <v>33</v>
      </c>
      <c r="T255" s="6">
        <v>4</v>
      </c>
      <c r="U255" t="s">
        <v>117</v>
      </c>
      <c r="V255" s="10">
        <v>281.32</v>
      </c>
      <c r="W255" s="10">
        <v>113.52</v>
      </c>
      <c r="X255" s="10">
        <v>141.38999999999999</v>
      </c>
      <c r="Y255" s="11">
        <v>0.50259490971136078</v>
      </c>
      <c r="Z255" s="6">
        <v>-2</v>
      </c>
      <c r="AA255" t="s">
        <v>35</v>
      </c>
    </row>
    <row r="256" spans="1:27" x14ac:dyDescent="0.25">
      <c r="A256" t="s">
        <v>395</v>
      </c>
      <c r="B256">
        <v>199</v>
      </c>
      <c r="C256" s="9">
        <v>45836.521273148152</v>
      </c>
      <c r="D256" t="s">
        <v>37</v>
      </c>
      <c r="E256" t="s">
        <v>38</v>
      </c>
      <c r="F256" t="s">
        <v>30</v>
      </c>
      <c r="G256">
        <v>2619</v>
      </c>
      <c r="H256" s="6">
        <v>1</v>
      </c>
      <c r="I256" s="10">
        <v>784.46</v>
      </c>
      <c r="J256" s="10">
        <v>926.33</v>
      </c>
      <c r="K256" t="s">
        <v>46</v>
      </c>
      <c r="L256" s="3">
        <v>0.1</v>
      </c>
      <c r="M256" t="s">
        <v>76</v>
      </c>
      <c r="N256" s="10">
        <v>89.68</v>
      </c>
      <c r="O256" t="s">
        <v>97</v>
      </c>
      <c r="P256" s="5">
        <v>45837</v>
      </c>
      <c r="Q256" s="5">
        <v>45842</v>
      </c>
      <c r="R256" s="5">
        <v>45839</v>
      </c>
      <c r="S256" t="s">
        <v>33</v>
      </c>
      <c r="T256" s="6">
        <v>5</v>
      </c>
      <c r="U256" t="s">
        <v>77</v>
      </c>
      <c r="V256" s="10">
        <v>833.697</v>
      </c>
      <c r="W256" s="10">
        <v>784.46</v>
      </c>
      <c r="X256" s="10">
        <v>-40.44300000000004</v>
      </c>
      <c r="Y256" s="11">
        <v>-4.8510430048326961E-2</v>
      </c>
      <c r="Z256" s="6">
        <v>-3</v>
      </c>
      <c r="AA256" t="s">
        <v>35</v>
      </c>
    </row>
    <row r="257" spans="1:27" x14ac:dyDescent="0.25">
      <c r="A257" t="s">
        <v>396</v>
      </c>
      <c r="B257">
        <v>134</v>
      </c>
      <c r="C257" s="9">
        <v>45836.707361111112</v>
      </c>
      <c r="D257" t="s">
        <v>92</v>
      </c>
      <c r="E257" t="s">
        <v>93</v>
      </c>
      <c r="F257" t="s">
        <v>52</v>
      </c>
      <c r="G257">
        <v>209</v>
      </c>
      <c r="H257" s="6">
        <v>1</v>
      </c>
      <c r="I257" s="10">
        <v>30.92</v>
      </c>
      <c r="J257" s="10">
        <v>62.98</v>
      </c>
      <c r="L257" s="3">
        <v>0</v>
      </c>
      <c r="M257" t="s">
        <v>61</v>
      </c>
      <c r="N257" s="10">
        <v>46.76</v>
      </c>
      <c r="O257" t="s">
        <v>47</v>
      </c>
      <c r="P257" s="5">
        <v>45837</v>
      </c>
      <c r="Q257" s="5">
        <v>45842</v>
      </c>
      <c r="R257" s="5">
        <v>45840</v>
      </c>
      <c r="S257" t="s">
        <v>33</v>
      </c>
      <c r="T257" s="6">
        <v>4</v>
      </c>
      <c r="U257" t="s">
        <v>84</v>
      </c>
      <c r="V257" s="10">
        <v>62.98</v>
      </c>
      <c r="W257" s="10">
        <v>30.92</v>
      </c>
      <c r="X257" s="10">
        <v>-14.7</v>
      </c>
      <c r="Y257" s="11">
        <v>-0.23340743093045421</v>
      </c>
      <c r="Z257" s="6">
        <v>-2</v>
      </c>
      <c r="AA257" t="s">
        <v>35</v>
      </c>
    </row>
    <row r="258" spans="1:27" x14ac:dyDescent="0.25">
      <c r="A258" t="s">
        <v>397</v>
      </c>
      <c r="B258">
        <v>90</v>
      </c>
      <c r="C258" s="9">
        <v>45836.715219907397</v>
      </c>
      <c r="D258" t="s">
        <v>74</v>
      </c>
      <c r="E258" t="s">
        <v>75</v>
      </c>
      <c r="F258" t="s">
        <v>30</v>
      </c>
      <c r="G258">
        <v>2581</v>
      </c>
      <c r="H258" s="6">
        <v>1</v>
      </c>
      <c r="I258" s="10">
        <v>2110.89</v>
      </c>
      <c r="J258" s="10">
        <v>4329.12</v>
      </c>
      <c r="L258" s="3">
        <v>0</v>
      </c>
      <c r="M258" t="s">
        <v>61</v>
      </c>
      <c r="N258" s="10">
        <v>130.63999999999999</v>
      </c>
      <c r="O258" t="s">
        <v>47</v>
      </c>
      <c r="P258" s="5">
        <v>45838</v>
      </c>
      <c r="Q258" s="5">
        <v>45847</v>
      </c>
      <c r="R258" s="5">
        <v>45840</v>
      </c>
      <c r="S258" t="s">
        <v>33</v>
      </c>
      <c r="T258" s="6">
        <v>5</v>
      </c>
      <c r="U258" t="s">
        <v>41</v>
      </c>
      <c r="V258" s="10">
        <v>4329.12</v>
      </c>
      <c r="W258" s="10">
        <v>2110.89</v>
      </c>
      <c r="X258" s="10">
        <v>2087.59</v>
      </c>
      <c r="Y258" s="11">
        <v>0.48222040507077663</v>
      </c>
      <c r="Z258" s="6">
        <v>-7</v>
      </c>
      <c r="AA258" t="s">
        <v>35</v>
      </c>
    </row>
    <row r="259" spans="1:27" x14ac:dyDescent="0.25">
      <c r="A259" t="s">
        <v>398</v>
      </c>
      <c r="B259">
        <v>79</v>
      </c>
      <c r="C259" s="9">
        <v>45837.188437500001</v>
      </c>
      <c r="D259" t="s">
        <v>50</v>
      </c>
      <c r="E259" t="s">
        <v>51</v>
      </c>
      <c r="F259" t="s">
        <v>52</v>
      </c>
      <c r="G259">
        <v>696</v>
      </c>
      <c r="H259" s="6">
        <v>1</v>
      </c>
      <c r="I259" s="10">
        <v>173.87</v>
      </c>
      <c r="J259" s="10">
        <v>331.68</v>
      </c>
      <c r="L259" s="3">
        <v>0</v>
      </c>
      <c r="M259" t="s">
        <v>31</v>
      </c>
      <c r="N259" s="10">
        <v>43.02</v>
      </c>
      <c r="O259" t="s">
        <v>157</v>
      </c>
      <c r="P259" s="5">
        <v>45838</v>
      </c>
      <c r="Q259" s="5">
        <v>45847</v>
      </c>
      <c r="R259" s="5">
        <v>45851</v>
      </c>
      <c r="S259" t="s">
        <v>33</v>
      </c>
      <c r="T259" s="6">
        <v>1</v>
      </c>
      <c r="U259" t="s">
        <v>258</v>
      </c>
      <c r="V259" s="10">
        <v>331.68</v>
      </c>
      <c r="W259" s="10">
        <v>173.87</v>
      </c>
      <c r="X259" s="10">
        <v>114.79</v>
      </c>
      <c r="Y259" s="11">
        <v>0.3460865894838398</v>
      </c>
      <c r="Z259" s="6">
        <v>4</v>
      </c>
      <c r="AA259" t="s">
        <v>103</v>
      </c>
    </row>
    <row r="260" spans="1:27" x14ac:dyDescent="0.25">
      <c r="A260" t="s">
        <v>399</v>
      </c>
      <c r="B260">
        <v>99</v>
      </c>
      <c r="C260" s="9">
        <v>45837.203923611109</v>
      </c>
      <c r="D260" t="s">
        <v>148</v>
      </c>
      <c r="E260" t="s">
        <v>149</v>
      </c>
      <c r="F260" t="s">
        <v>30</v>
      </c>
      <c r="G260">
        <v>3288</v>
      </c>
      <c r="H260" s="6">
        <v>1</v>
      </c>
      <c r="I260" s="10">
        <v>351.69</v>
      </c>
      <c r="J260" s="10">
        <v>621.14</v>
      </c>
      <c r="L260" s="3">
        <v>0</v>
      </c>
      <c r="M260" t="s">
        <v>39</v>
      </c>
      <c r="N260" s="10">
        <v>143.62</v>
      </c>
      <c r="O260" t="s">
        <v>47</v>
      </c>
      <c r="P260" s="5">
        <v>45838</v>
      </c>
      <c r="Q260" s="5">
        <v>45846</v>
      </c>
      <c r="R260" s="5">
        <v>45843</v>
      </c>
      <c r="S260" t="s">
        <v>33</v>
      </c>
      <c r="T260" s="6">
        <v>4</v>
      </c>
      <c r="U260" t="s">
        <v>79</v>
      </c>
      <c r="V260" s="10">
        <v>621.14</v>
      </c>
      <c r="W260" s="10">
        <v>351.69</v>
      </c>
      <c r="X260" s="10">
        <v>125.83</v>
      </c>
      <c r="Y260" s="11">
        <v>0.20257912869884401</v>
      </c>
      <c r="Z260" s="6">
        <v>-3</v>
      </c>
      <c r="AA260" t="s">
        <v>35</v>
      </c>
    </row>
    <row r="261" spans="1:27" x14ac:dyDescent="0.25">
      <c r="A261" t="s">
        <v>400</v>
      </c>
      <c r="B261">
        <v>51</v>
      </c>
      <c r="C261" s="9">
        <v>45837.684733796297</v>
      </c>
      <c r="D261" t="s">
        <v>164</v>
      </c>
      <c r="E261" t="s">
        <v>165</v>
      </c>
      <c r="F261" t="s">
        <v>116</v>
      </c>
      <c r="G261">
        <v>0</v>
      </c>
      <c r="H261" s="6">
        <v>3</v>
      </c>
      <c r="I261" s="10">
        <v>275.42</v>
      </c>
      <c r="J261" s="10">
        <v>625.95000000000005</v>
      </c>
      <c r="L261" s="3">
        <v>0</v>
      </c>
      <c r="M261" t="s">
        <v>61</v>
      </c>
      <c r="N261" s="10">
        <v>27.92</v>
      </c>
      <c r="O261" t="s">
        <v>62</v>
      </c>
      <c r="P261" s="5">
        <v>45838</v>
      </c>
      <c r="Q261" s="5">
        <v>45848</v>
      </c>
      <c r="R261" s="5">
        <v>45850</v>
      </c>
      <c r="S261" t="s">
        <v>33</v>
      </c>
      <c r="T261" s="6">
        <v>1</v>
      </c>
      <c r="U261" t="s">
        <v>258</v>
      </c>
      <c r="V261" s="10">
        <v>1877.85</v>
      </c>
      <c r="W261" s="10">
        <v>826.26</v>
      </c>
      <c r="X261" s="10">
        <v>1023.67</v>
      </c>
      <c r="Y261" s="11">
        <v>0.54512873765210224</v>
      </c>
      <c r="Z261" s="6">
        <v>2</v>
      </c>
      <c r="AA261" t="s">
        <v>103</v>
      </c>
    </row>
    <row r="262" spans="1:27" x14ac:dyDescent="0.25">
      <c r="A262" t="s">
        <v>401</v>
      </c>
      <c r="B262">
        <v>8</v>
      </c>
      <c r="C262" s="9">
        <v>45837.78806712963</v>
      </c>
      <c r="D262" t="s">
        <v>43</v>
      </c>
      <c r="E262" t="s">
        <v>44</v>
      </c>
      <c r="F262" t="s">
        <v>45</v>
      </c>
      <c r="G262">
        <v>0</v>
      </c>
      <c r="H262" s="6">
        <v>1</v>
      </c>
      <c r="I262" s="10">
        <v>51.23</v>
      </c>
      <c r="J262" s="10">
        <v>141.91</v>
      </c>
      <c r="L262" s="3">
        <v>0</v>
      </c>
      <c r="M262" t="s">
        <v>76</v>
      </c>
      <c r="N262" s="10">
        <v>28.71</v>
      </c>
      <c r="O262" t="s">
        <v>97</v>
      </c>
      <c r="P262" s="5">
        <v>45839</v>
      </c>
      <c r="Q262" s="5">
        <v>45848</v>
      </c>
      <c r="R262" s="5">
        <v>45846</v>
      </c>
      <c r="S262" t="s">
        <v>33</v>
      </c>
      <c r="T262" s="6">
        <v>5</v>
      </c>
      <c r="U262" t="s">
        <v>134</v>
      </c>
      <c r="V262" s="10">
        <v>141.91</v>
      </c>
      <c r="W262" s="10">
        <v>51.23</v>
      </c>
      <c r="X262" s="10">
        <v>61.970000000000013</v>
      </c>
      <c r="Y262" s="11">
        <v>0.43668522302868018</v>
      </c>
      <c r="Z262" s="6">
        <v>-2</v>
      </c>
      <c r="AA262" t="s">
        <v>35</v>
      </c>
    </row>
    <row r="263" spans="1:27" x14ac:dyDescent="0.25">
      <c r="A263" t="s">
        <v>402</v>
      </c>
      <c r="B263">
        <v>164</v>
      </c>
      <c r="C263" s="9">
        <v>45838.245775462958</v>
      </c>
      <c r="D263" t="s">
        <v>74</v>
      </c>
      <c r="E263" t="s">
        <v>75</v>
      </c>
      <c r="F263" t="s">
        <v>30</v>
      </c>
      <c r="G263">
        <v>2414</v>
      </c>
      <c r="H263" s="6">
        <v>3</v>
      </c>
      <c r="I263" s="10">
        <v>2812.69</v>
      </c>
      <c r="J263" s="10">
        <v>4850.07</v>
      </c>
      <c r="L263" s="3">
        <v>0</v>
      </c>
      <c r="M263" t="s">
        <v>76</v>
      </c>
      <c r="N263" s="10">
        <v>65.150000000000006</v>
      </c>
      <c r="O263" t="s">
        <v>47</v>
      </c>
      <c r="P263" s="5">
        <v>45839</v>
      </c>
      <c r="Q263" s="5">
        <v>45849</v>
      </c>
      <c r="R263" s="5">
        <v>45848</v>
      </c>
      <c r="S263" t="s">
        <v>33</v>
      </c>
      <c r="T263" s="6">
        <v>4</v>
      </c>
      <c r="U263" t="s">
        <v>117</v>
      </c>
      <c r="V263" s="10">
        <v>14550.21</v>
      </c>
      <c r="W263" s="10">
        <v>8438.07</v>
      </c>
      <c r="X263" s="10">
        <v>6046.99</v>
      </c>
      <c r="Y263" s="11">
        <v>0.41559468901136137</v>
      </c>
      <c r="Z263" s="6">
        <v>-1</v>
      </c>
      <c r="AA263" t="s">
        <v>35</v>
      </c>
    </row>
    <row r="264" spans="1:27" x14ac:dyDescent="0.25">
      <c r="A264" t="s">
        <v>403</v>
      </c>
      <c r="B264">
        <v>97</v>
      </c>
      <c r="C264" s="9">
        <v>45838.554652777777</v>
      </c>
      <c r="D264" t="s">
        <v>148</v>
      </c>
      <c r="E264" t="s">
        <v>149</v>
      </c>
      <c r="F264" t="s">
        <v>30</v>
      </c>
      <c r="G264">
        <v>2987</v>
      </c>
      <c r="H264" s="6">
        <v>3</v>
      </c>
      <c r="I264" s="10">
        <v>551.79</v>
      </c>
      <c r="J264" s="10">
        <v>949.47</v>
      </c>
      <c r="K264" t="s">
        <v>60</v>
      </c>
      <c r="L264" s="3">
        <v>0.2</v>
      </c>
      <c r="M264" t="s">
        <v>31</v>
      </c>
      <c r="N264" s="10">
        <v>135.66</v>
      </c>
      <c r="O264" t="s">
        <v>47</v>
      </c>
      <c r="P264" s="5">
        <v>45839</v>
      </c>
      <c r="Q264" s="5">
        <v>45844</v>
      </c>
      <c r="R264" s="5">
        <v>45843</v>
      </c>
      <c r="S264" t="s">
        <v>33</v>
      </c>
      <c r="T264" s="6">
        <v>5</v>
      </c>
      <c r="U264" t="s">
        <v>41</v>
      </c>
      <c r="V264" s="10">
        <v>2278.7280000000001</v>
      </c>
      <c r="W264" s="10">
        <v>1655.37</v>
      </c>
      <c r="X264" s="10">
        <v>487.69800000000021</v>
      </c>
      <c r="Y264" s="11">
        <v>0.21402203334491879</v>
      </c>
      <c r="Z264" s="6">
        <v>-1</v>
      </c>
      <c r="AA264" t="s">
        <v>35</v>
      </c>
    </row>
    <row r="265" spans="1:27" x14ac:dyDescent="0.25">
      <c r="A265" t="s">
        <v>404</v>
      </c>
      <c r="B265">
        <v>189</v>
      </c>
      <c r="C265" s="9">
        <v>45839.097129629627</v>
      </c>
      <c r="D265" t="s">
        <v>92</v>
      </c>
      <c r="E265" t="s">
        <v>93</v>
      </c>
      <c r="F265" t="s">
        <v>52</v>
      </c>
      <c r="G265">
        <v>207</v>
      </c>
      <c r="H265" s="6">
        <v>1</v>
      </c>
      <c r="I265" s="10">
        <v>31.7</v>
      </c>
      <c r="J265" s="10">
        <v>47.61</v>
      </c>
      <c r="L265" s="3">
        <v>0</v>
      </c>
      <c r="M265" t="s">
        <v>76</v>
      </c>
      <c r="N265" s="10">
        <v>31.51</v>
      </c>
      <c r="O265" t="s">
        <v>62</v>
      </c>
      <c r="P265" s="5">
        <v>45840</v>
      </c>
      <c r="Q265" s="5">
        <v>45846</v>
      </c>
      <c r="S265" t="s">
        <v>161</v>
      </c>
      <c r="T265" s="6">
        <v>3</v>
      </c>
      <c r="U265" t="s">
        <v>405</v>
      </c>
      <c r="V265" s="10">
        <v>47.61</v>
      </c>
      <c r="W265" s="10">
        <v>31.7</v>
      </c>
      <c r="X265" s="10">
        <v>-15.6</v>
      </c>
      <c r="Y265" s="11">
        <v>-0.32766225582860747</v>
      </c>
      <c r="Z265" s="6"/>
      <c r="AA265" t="s">
        <v>56</v>
      </c>
    </row>
    <row r="266" spans="1:27" x14ac:dyDescent="0.25">
      <c r="A266" t="s">
        <v>406</v>
      </c>
      <c r="B266">
        <v>14</v>
      </c>
      <c r="C266" s="9">
        <v>45839.71266203704</v>
      </c>
      <c r="D266" t="s">
        <v>114</v>
      </c>
      <c r="E266" t="s">
        <v>115</v>
      </c>
      <c r="F266" t="s">
        <v>116</v>
      </c>
      <c r="G266">
        <v>0</v>
      </c>
      <c r="H266" s="6">
        <v>2</v>
      </c>
      <c r="I266" s="10">
        <v>272.36</v>
      </c>
      <c r="J266" s="10">
        <v>439.74</v>
      </c>
      <c r="L266" s="3">
        <v>0</v>
      </c>
      <c r="M266" t="s">
        <v>76</v>
      </c>
      <c r="N266" s="10">
        <v>22.65</v>
      </c>
      <c r="O266" t="s">
        <v>157</v>
      </c>
      <c r="P266" s="5">
        <v>45841</v>
      </c>
      <c r="Q266" s="5">
        <v>45847</v>
      </c>
      <c r="R266" s="5">
        <v>45843</v>
      </c>
      <c r="S266" t="s">
        <v>33</v>
      </c>
      <c r="T266" s="6">
        <v>4</v>
      </c>
      <c r="U266" t="s">
        <v>166</v>
      </c>
      <c r="V266" s="10">
        <v>879.48</v>
      </c>
      <c r="W266" s="10">
        <v>544.72</v>
      </c>
      <c r="X266" s="10">
        <v>312.11</v>
      </c>
      <c r="Y266" s="11">
        <v>0.35488015645608773</v>
      </c>
      <c r="Z266" s="6">
        <v>-4</v>
      </c>
      <c r="AA266" t="s">
        <v>35</v>
      </c>
    </row>
    <row r="267" spans="1:27" x14ac:dyDescent="0.25">
      <c r="A267" t="s">
        <v>407</v>
      </c>
      <c r="B267">
        <v>69</v>
      </c>
      <c r="C267" s="9">
        <v>45839.82435185185</v>
      </c>
      <c r="D267" t="s">
        <v>137</v>
      </c>
      <c r="E267" t="s">
        <v>138</v>
      </c>
      <c r="F267" t="s">
        <v>52</v>
      </c>
      <c r="G267">
        <v>462</v>
      </c>
      <c r="H267" s="6">
        <v>2</v>
      </c>
      <c r="I267" s="10">
        <v>115.53</v>
      </c>
      <c r="J267" s="10">
        <v>186.86</v>
      </c>
      <c r="K267" t="s">
        <v>46</v>
      </c>
      <c r="L267" s="3">
        <v>0.1</v>
      </c>
      <c r="M267" t="s">
        <v>76</v>
      </c>
      <c r="N267" s="10">
        <v>34.69</v>
      </c>
      <c r="O267" t="s">
        <v>68</v>
      </c>
      <c r="P267" s="5">
        <v>45841</v>
      </c>
      <c r="Q267" s="5">
        <v>45847</v>
      </c>
      <c r="S267" t="s">
        <v>54</v>
      </c>
      <c r="T267" s="6">
        <v>3</v>
      </c>
      <c r="U267" t="s">
        <v>230</v>
      </c>
      <c r="V267" s="10">
        <v>336.34800000000001</v>
      </c>
      <c r="W267" s="10">
        <v>231.06</v>
      </c>
      <c r="X267" s="10">
        <v>70.598000000000013</v>
      </c>
      <c r="Y267" s="11">
        <v>0.2098957032597191</v>
      </c>
      <c r="Z267" s="6"/>
      <c r="AA267" t="s">
        <v>56</v>
      </c>
    </row>
    <row r="268" spans="1:27" x14ac:dyDescent="0.25">
      <c r="A268" t="s">
        <v>408</v>
      </c>
      <c r="B268">
        <v>52</v>
      </c>
      <c r="C268" s="9">
        <v>45840.021828703713</v>
      </c>
      <c r="D268" t="s">
        <v>105</v>
      </c>
      <c r="E268" t="s">
        <v>106</v>
      </c>
      <c r="F268" t="s">
        <v>30</v>
      </c>
      <c r="G268">
        <v>2016</v>
      </c>
      <c r="H268" s="6">
        <v>3</v>
      </c>
      <c r="I268" s="10">
        <v>204.97</v>
      </c>
      <c r="J268" s="10">
        <v>505.47</v>
      </c>
      <c r="L268" s="3">
        <v>0</v>
      </c>
      <c r="M268" t="s">
        <v>61</v>
      </c>
      <c r="N268" s="10">
        <v>147.9</v>
      </c>
      <c r="O268" t="s">
        <v>99</v>
      </c>
      <c r="P268" s="5">
        <v>45841</v>
      </c>
      <c r="Q268" s="5">
        <v>45847</v>
      </c>
      <c r="R268" s="5">
        <v>45846</v>
      </c>
      <c r="S268" t="s">
        <v>33</v>
      </c>
      <c r="T268" s="6">
        <v>4</v>
      </c>
      <c r="U268" t="s">
        <v>172</v>
      </c>
      <c r="V268" s="10">
        <v>1516.41</v>
      </c>
      <c r="W268" s="10">
        <v>614.91</v>
      </c>
      <c r="X268" s="10">
        <v>753.60000000000014</v>
      </c>
      <c r="Y268" s="11">
        <v>0.49696322234751822</v>
      </c>
      <c r="Z268" s="6">
        <v>-1</v>
      </c>
      <c r="AA268" t="s">
        <v>35</v>
      </c>
    </row>
    <row r="269" spans="1:27" x14ac:dyDescent="0.25">
      <c r="A269" t="s">
        <v>409</v>
      </c>
      <c r="B269">
        <v>18</v>
      </c>
      <c r="C269" s="9">
        <v>45840.312997685192</v>
      </c>
      <c r="D269" t="s">
        <v>177</v>
      </c>
      <c r="E269" t="s">
        <v>178</v>
      </c>
      <c r="F269" t="s">
        <v>116</v>
      </c>
      <c r="G269">
        <v>0</v>
      </c>
      <c r="H269" s="6">
        <v>1</v>
      </c>
      <c r="I269" s="10">
        <v>299.89999999999998</v>
      </c>
      <c r="J269" s="10">
        <v>384.25</v>
      </c>
      <c r="L269" s="3">
        <v>0</v>
      </c>
      <c r="M269" t="s">
        <v>31</v>
      </c>
      <c r="N269" s="10">
        <v>22.22</v>
      </c>
      <c r="O269" t="s">
        <v>47</v>
      </c>
      <c r="P269" s="5">
        <v>45842</v>
      </c>
      <c r="Q269" s="5">
        <v>45848</v>
      </c>
      <c r="R269" s="5">
        <v>45848</v>
      </c>
      <c r="S269" t="s">
        <v>33</v>
      </c>
      <c r="T269" s="6">
        <v>4</v>
      </c>
      <c r="U269" t="s">
        <v>117</v>
      </c>
      <c r="V269" s="10">
        <v>384.25</v>
      </c>
      <c r="W269" s="10">
        <v>299.89999999999998</v>
      </c>
      <c r="X269" s="10">
        <v>62.130000000000017</v>
      </c>
      <c r="Y269" s="11">
        <v>0.1616916070266754</v>
      </c>
      <c r="Z269" s="6">
        <v>0</v>
      </c>
      <c r="AA269" t="s">
        <v>35</v>
      </c>
    </row>
    <row r="270" spans="1:27" x14ac:dyDescent="0.25">
      <c r="A270" t="s">
        <v>410</v>
      </c>
      <c r="B270">
        <v>26</v>
      </c>
      <c r="C270" s="9">
        <v>45840.351261574076</v>
      </c>
      <c r="D270" t="s">
        <v>81</v>
      </c>
      <c r="E270" t="s">
        <v>82</v>
      </c>
      <c r="F270" t="s">
        <v>45</v>
      </c>
      <c r="G270">
        <v>0</v>
      </c>
      <c r="H270" s="6">
        <v>1</v>
      </c>
      <c r="I270" s="10">
        <v>105.91</v>
      </c>
      <c r="J270" s="10">
        <v>243.58</v>
      </c>
      <c r="K270" t="s">
        <v>46</v>
      </c>
      <c r="L270" s="3">
        <v>0.1</v>
      </c>
      <c r="M270" t="s">
        <v>39</v>
      </c>
      <c r="N270" s="10">
        <v>24.19</v>
      </c>
      <c r="O270" t="s">
        <v>40</v>
      </c>
      <c r="P270" s="5">
        <v>45841</v>
      </c>
      <c r="Q270" s="5">
        <v>45851</v>
      </c>
      <c r="R270" s="5">
        <v>45849</v>
      </c>
      <c r="S270" t="s">
        <v>33</v>
      </c>
      <c r="T270" s="6">
        <v>5</v>
      </c>
      <c r="U270" t="s">
        <v>69</v>
      </c>
      <c r="V270" s="10">
        <v>219.22200000000001</v>
      </c>
      <c r="W270" s="10">
        <v>105.91</v>
      </c>
      <c r="X270" s="10">
        <v>89.122000000000014</v>
      </c>
      <c r="Y270" s="11">
        <v>0.40653766501537258</v>
      </c>
      <c r="Z270" s="6">
        <v>-2</v>
      </c>
      <c r="AA270" t="s">
        <v>35</v>
      </c>
    </row>
    <row r="271" spans="1:27" x14ac:dyDescent="0.25">
      <c r="A271" t="s">
        <v>411</v>
      </c>
      <c r="B271">
        <v>200</v>
      </c>
      <c r="C271" s="9">
        <v>45840.54215277778</v>
      </c>
      <c r="D271" t="s">
        <v>81</v>
      </c>
      <c r="E271" t="s">
        <v>82</v>
      </c>
      <c r="F271" t="s">
        <v>45</v>
      </c>
      <c r="G271">
        <v>0</v>
      </c>
      <c r="H271" s="6">
        <v>3</v>
      </c>
      <c r="I271" s="10">
        <v>26.46</v>
      </c>
      <c r="J271" s="10">
        <v>153.18</v>
      </c>
      <c r="L271" s="3">
        <v>0</v>
      </c>
      <c r="M271" t="s">
        <v>76</v>
      </c>
      <c r="N271" s="10">
        <v>17.829999999999998</v>
      </c>
      <c r="O271" t="s">
        <v>62</v>
      </c>
      <c r="P271" s="5">
        <v>45841</v>
      </c>
      <c r="Q271" s="5">
        <v>45850</v>
      </c>
      <c r="R271" s="5">
        <v>45847</v>
      </c>
      <c r="S271" t="s">
        <v>33</v>
      </c>
      <c r="T271" s="6">
        <v>4</v>
      </c>
      <c r="U271" t="s">
        <v>166</v>
      </c>
      <c r="V271" s="10">
        <v>459.54</v>
      </c>
      <c r="W271" s="10">
        <v>79.38</v>
      </c>
      <c r="X271" s="10">
        <v>362.33</v>
      </c>
      <c r="Y271" s="11">
        <v>0.78846237541889719</v>
      </c>
      <c r="Z271" s="6">
        <v>-3</v>
      </c>
      <c r="AA271" t="s">
        <v>35</v>
      </c>
    </row>
    <row r="272" spans="1:27" x14ac:dyDescent="0.25">
      <c r="A272" t="s">
        <v>412</v>
      </c>
      <c r="B272">
        <v>21</v>
      </c>
      <c r="C272" s="9">
        <v>45840.686157407406</v>
      </c>
      <c r="D272" t="s">
        <v>43</v>
      </c>
      <c r="E272" t="s">
        <v>44</v>
      </c>
      <c r="F272" t="s">
        <v>45</v>
      </c>
      <c r="G272">
        <v>0</v>
      </c>
      <c r="H272" s="6">
        <v>1</v>
      </c>
      <c r="I272" s="10">
        <v>48.51</v>
      </c>
      <c r="J272" s="10">
        <v>81.95</v>
      </c>
      <c r="L272" s="3">
        <v>0</v>
      </c>
      <c r="M272" t="s">
        <v>39</v>
      </c>
      <c r="N272" s="10">
        <v>28.18</v>
      </c>
      <c r="O272" t="s">
        <v>62</v>
      </c>
      <c r="P272" s="5">
        <v>45842</v>
      </c>
      <c r="Q272" s="5">
        <v>45850</v>
      </c>
      <c r="S272" t="s">
        <v>161</v>
      </c>
      <c r="T272" s="6">
        <v>1</v>
      </c>
      <c r="U272" t="s">
        <v>258</v>
      </c>
      <c r="V272" s="10">
        <v>81.95</v>
      </c>
      <c r="W272" s="10">
        <v>48.51</v>
      </c>
      <c r="X272" s="10">
        <v>5.2600000000000051</v>
      </c>
      <c r="Y272" s="11">
        <v>6.4185478950579689E-2</v>
      </c>
      <c r="Z272" s="6"/>
      <c r="AA272" t="s">
        <v>56</v>
      </c>
    </row>
    <row r="273" spans="1:27" x14ac:dyDescent="0.25">
      <c r="A273" t="s">
        <v>413</v>
      </c>
      <c r="B273">
        <v>128</v>
      </c>
      <c r="C273" s="9">
        <v>45841.011006944442</v>
      </c>
      <c r="D273" t="s">
        <v>74</v>
      </c>
      <c r="E273" t="s">
        <v>75</v>
      </c>
      <c r="F273" t="s">
        <v>30</v>
      </c>
      <c r="G273">
        <v>2943</v>
      </c>
      <c r="H273" s="6">
        <v>2</v>
      </c>
      <c r="I273" s="10">
        <v>2473.56</v>
      </c>
      <c r="J273" s="10">
        <v>4552.16</v>
      </c>
      <c r="L273" s="3">
        <v>0</v>
      </c>
      <c r="M273" t="s">
        <v>61</v>
      </c>
      <c r="N273" s="10">
        <v>123.85</v>
      </c>
      <c r="O273" t="s">
        <v>40</v>
      </c>
      <c r="P273" s="5">
        <v>45842</v>
      </c>
      <c r="Q273" s="5">
        <v>45849</v>
      </c>
      <c r="R273" s="5">
        <v>45847</v>
      </c>
      <c r="S273" t="s">
        <v>33</v>
      </c>
      <c r="T273" s="6">
        <v>4</v>
      </c>
      <c r="U273" t="s">
        <v>119</v>
      </c>
      <c r="V273" s="10">
        <v>9104.32</v>
      </c>
      <c r="W273" s="10">
        <v>4947.12</v>
      </c>
      <c r="X273" s="10">
        <v>4033.35</v>
      </c>
      <c r="Y273" s="11">
        <v>0.44301496432462828</v>
      </c>
      <c r="Z273" s="6">
        <v>-2</v>
      </c>
      <c r="AA273" t="s">
        <v>35</v>
      </c>
    </row>
    <row r="274" spans="1:27" x14ac:dyDescent="0.25">
      <c r="A274" t="s">
        <v>414</v>
      </c>
      <c r="B274">
        <v>83</v>
      </c>
      <c r="C274" s="9">
        <v>45841.209722222222</v>
      </c>
      <c r="D274" t="s">
        <v>155</v>
      </c>
      <c r="E274" t="s">
        <v>156</v>
      </c>
      <c r="F274" t="s">
        <v>30</v>
      </c>
      <c r="G274">
        <v>4566</v>
      </c>
      <c r="H274" s="6">
        <v>2</v>
      </c>
      <c r="I274" s="10">
        <v>542.04999999999995</v>
      </c>
      <c r="J274" s="10">
        <v>876.38</v>
      </c>
      <c r="K274" t="s">
        <v>60</v>
      </c>
      <c r="L274" s="3">
        <v>0.2</v>
      </c>
      <c r="M274" t="s">
        <v>61</v>
      </c>
      <c r="N274" s="10">
        <v>127.07</v>
      </c>
      <c r="O274" t="s">
        <v>97</v>
      </c>
      <c r="P274" s="5">
        <v>45842</v>
      </c>
      <c r="Q274" s="5">
        <v>45848</v>
      </c>
      <c r="R274" s="5">
        <v>45852</v>
      </c>
      <c r="S274" t="s">
        <v>33</v>
      </c>
      <c r="T274" s="6">
        <v>2</v>
      </c>
      <c r="U274" t="s">
        <v>168</v>
      </c>
      <c r="V274" s="10">
        <v>1402.2080000000001</v>
      </c>
      <c r="W274" s="10">
        <v>1084.0999999999999</v>
      </c>
      <c r="X274" s="10">
        <v>191.03800000000021</v>
      </c>
      <c r="Y274" s="11">
        <v>0.13624084301330491</v>
      </c>
      <c r="Z274" s="6">
        <v>4</v>
      </c>
      <c r="AA274" t="s">
        <v>103</v>
      </c>
    </row>
    <row r="275" spans="1:27" x14ac:dyDescent="0.25">
      <c r="A275" t="s">
        <v>415</v>
      </c>
      <c r="B275">
        <v>110</v>
      </c>
      <c r="C275" s="9">
        <v>45841.284421296303</v>
      </c>
      <c r="D275" t="s">
        <v>86</v>
      </c>
      <c r="E275" t="s">
        <v>87</v>
      </c>
      <c r="F275" t="s">
        <v>45</v>
      </c>
      <c r="G275">
        <v>0</v>
      </c>
      <c r="H275" s="6">
        <v>2</v>
      </c>
      <c r="I275" s="10">
        <v>30.86</v>
      </c>
      <c r="J275" s="10">
        <v>74.19</v>
      </c>
      <c r="L275" s="3">
        <v>0</v>
      </c>
      <c r="M275" t="s">
        <v>76</v>
      </c>
      <c r="N275" s="10">
        <v>28.65</v>
      </c>
      <c r="O275" t="s">
        <v>150</v>
      </c>
      <c r="P275" s="5">
        <v>45842</v>
      </c>
      <c r="Q275" s="5">
        <v>45850</v>
      </c>
      <c r="R275" s="5">
        <v>45845</v>
      </c>
      <c r="S275" t="s">
        <v>33</v>
      </c>
      <c r="T275" s="6">
        <v>4</v>
      </c>
      <c r="U275" t="s">
        <v>84</v>
      </c>
      <c r="V275" s="10">
        <v>148.38</v>
      </c>
      <c r="W275" s="10">
        <v>61.72</v>
      </c>
      <c r="X275" s="10">
        <v>58.01</v>
      </c>
      <c r="Y275" s="11">
        <v>0.39095565440086272</v>
      </c>
      <c r="Z275" s="6">
        <v>-5</v>
      </c>
      <c r="AA275" t="s">
        <v>35</v>
      </c>
    </row>
    <row r="276" spans="1:27" x14ac:dyDescent="0.25">
      <c r="A276" t="s">
        <v>416</v>
      </c>
      <c r="B276">
        <v>37</v>
      </c>
      <c r="C276" s="9">
        <v>45841.455000000002</v>
      </c>
      <c r="D276" t="s">
        <v>92</v>
      </c>
      <c r="E276" t="s">
        <v>93</v>
      </c>
      <c r="F276" t="s">
        <v>52</v>
      </c>
      <c r="G276">
        <v>203</v>
      </c>
      <c r="H276" s="6">
        <v>3</v>
      </c>
      <c r="I276" s="10">
        <v>52.03</v>
      </c>
      <c r="J276" s="10">
        <v>72.03</v>
      </c>
      <c r="L276" s="3">
        <v>0</v>
      </c>
      <c r="M276" t="s">
        <v>31</v>
      </c>
      <c r="N276" s="10">
        <v>35.74</v>
      </c>
      <c r="O276" t="s">
        <v>40</v>
      </c>
      <c r="P276" s="5">
        <v>45842</v>
      </c>
      <c r="Q276" s="5">
        <v>45850</v>
      </c>
      <c r="R276" s="5">
        <v>45850</v>
      </c>
      <c r="S276" t="s">
        <v>33</v>
      </c>
      <c r="T276" s="6">
        <v>5</v>
      </c>
      <c r="U276" t="s">
        <v>134</v>
      </c>
      <c r="V276" s="10">
        <v>216.09</v>
      </c>
      <c r="W276" s="10">
        <v>156.09</v>
      </c>
      <c r="X276" s="10">
        <v>24.26</v>
      </c>
      <c r="Y276" s="11">
        <v>0.1122680364662872</v>
      </c>
      <c r="Z276" s="6">
        <v>0</v>
      </c>
      <c r="AA276" t="s">
        <v>35</v>
      </c>
    </row>
    <row r="277" spans="1:27" x14ac:dyDescent="0.25">
      <c r="A277" t="s">
        <v>417</v>
      </c>
      <c r="B277">
        <v>161</v>
      </c>
      <c r="C277" s="9">
        <v>45841.793009259258</v>
      </c>
      <c r="D277" t="s">
        <v>148</v>
      </c>
      <c r="E277" t="s">
        <v>149</v>
      </c>
      <c r="F277" t="s">
        <v>30</v>
      </c>
      <c r="G277">
        <v>3164</v>
      </c>
      <c r="H277" s="6">
        <v>2</v>
      </c>
      <c r="I277" s="10">
        <v>357.93</v>
      </c>
      <c r="J277" s="10">
        <v>766.1</v>
      </c>
      <c r="L277" s="3">
        <v>0</v>
      </c>
      <c r="M277" t="s">
        <v>76</v>
      </c>
      <c r="N277" s="10">
        <v>104.57</v>
      </c>
      <c r="O277" t="s">
        <v>53</v>
      </c>
      <c r="P277" s="5">
        <v>45842</v>
      </c>
      <c r="Q277" s="5">
        <v>45849</v>
      </c>
      <c r="R277" s="5">
        <v>45845</v>
      </c>
      <c r="S277" t="s">
        <v>33</v>
      </c>
      <c r="T277" s="6">
        <v>5</v>
      </c>
      <c r="U277" t="s">
        <v>77</v>
      </c>
      <c r="V277" s="10">
        <v>1532.2</v>
      </c>
      <c r="W277" s="10">
        <v>715.86</v>
      </c>
      <c r="X277" s="10">
        <v>711.77</v>
      </c>
      <c r="Y277" s="11">
        <v>0.46454118261323579</v>
      </c>
      <c r="Z277" s="6">
        <v>-4</v>
      </c>
      <c r="AA277" t="s">
        <v>35</v>
      </c>
    </row>
    <row r="278" spans="1:27" x14ac:dyDescent="0.25">
      <c r="A278" t="s">
        <v>418</v>
      </c>
      <c r="B278">
        <v>44</v>
      </c>
      <c r="C278" s="9">
        <v>45842.150729166657</v>
      </c>
      <c r="D278" t="s">
        <v>50</v>
      </c>
      <c r="E278" t="s">
        <v>51</v>
      </c>
      <c r="F278" t="s">
        <v>52</v>
      </c>
      <c r="G278">
        <v>797</v>
      </c>
      <c r="H278" s="6">
        <v>2</v>
      </c>
      <c r="I278" s="10">
        <v>183.57</v>
      </c>
      <c r="J278" s="10">
        <v>315.75</v>
      </c>
      <c r="L278" s="3">
        <v>0</v>
      </c>
      <c r="M278" t="s">
        <v>39</v>
      </c>
      <c r="N278" s="10">
        <v>41.09</v>
      </c>
      <c r="O278" t="s">
        <v>97</v>
      </c>
      <c r="P278" s="5">
        <v>45843</v>
      </c>
      <c r="Q278" s="5">
        <v>45852</v>
      </c>
      <c r="R278" s="5">
        <v>45846</v>
      </c>
      <c r="S278" t="s">
        <v>33</v>
      </c>
      <c r="T278" s="6">
        <v>4</v>
      </c>
      <c r="U278" t="s">
        <v>77</v>
      </c>
      <c r="V278" s="10">
        <v>631.5</v>
      </c>
      <c r="W278" s="10">
        <v>367.14</v>
      </c>
      <c r="X278" s="10">
        <v>223.27</v>
      </c>
      <c r="Y278" s="11">
        <v>0.35355502771179731</v>
      </c>
      <c r="Z278" s="6">
        <v>-6</v>
      </c>
      <c r="AA278" t="s">
        <v>35</v>
      </c>
    </row>
    <row r="279" spans="1:27" x14ac:dyDescent="0.25">
      <c r="A279" t="s">
        <v>419</v>
      </c>
      <c r="B279">
        <v>74</v>
      </c>
      <c r="C279" s="9">
        <v>45842.549212962957</v>
      </c>
      <c r="D279" t="s">
        <v>71</v>
      </c>
      <c r="E279" t="s">
        <v>72</v>
      </c>
      <c r="F279" t="s">
        <v>52</v>
      </c>
      <c r="G279">
        <v>341</v>
      </c>
      <c r="H279" s="6">
        <v>3</v>
      </c>
      <c r="I279" s="10">
        <v>52.54</v>
      </c>
      <c r="J279" s="10">
        <v>137.82</v>
      </c>
      <c r="L279" s="3">
        <v>0</v>
      </c>
      <c r="M279" t="s">
        <v>61</v>
      </c>
      <c r="N279" s="10">
        <v>59.68</v>
      </c>
      <c r="O279" t="s">
        <v>126</v>
      </c>
      <c r="P279" s="5">
        <v>45843</v>
      </c>
      <c r="Q279" s="5">
        <v>45851</v>
      </c>
      <c r="R279" s="5">
        <v>45847</v>
      </c>
      <c r="S279" t="s">
        <v>33</v>
      </c>
      <c r="T279" s="6">
        <v>4</v>
      </c>
      <c r="U279" t="s">
        <v>84</v>
      </c>
      <c r="V279" s="10">
        <v>413.46</v>
      </c>
      <c r="W279" s="10">
        <v>157.62</v>
      </c>
      <c r="X279" s="10">
        <v>196.16</v>
      </c>
      <c r="Y279" s="11">
        <v>0.47443525371257189</v>
      </c>
      <c r="Z279" s="6">
        <v>-4</v>
      </c>
      <c r="AA279" t="s">
        <v>35</v>
      </c>
    </row>
    <row r="280" spans="1:27" x14ac:dyDescent="0.25">
      <c r="A280" t="s">
        <v>420</v>
      </c>
      <c r="B280">
        <v>187</v>
      </c>
      <c r="C280" s="9">
        <v>45842.894270833327</v>
      </c>
      <c r="D280" t="s">
        <v>86</v>
      </c>
      <c r="E280" t="s">
        <v>87</v>
      </c>
      <c r="F280" t="s">
        <v>45</v>
      </c>
      <c r="G280">
        <v>0</v>
      </c>
      <c r="H280" s="6">
        <v>3</v>
      </c>
      <c r="I280" s="10">
        <v>43.44</v>
      </c>
      <c r="J280" s="10">
        <v>188.54</v>
      </c>
      <c r="L280" s="3">
        <v>0</v>
      </c>
      <c r="M280" t="s">
        <v>31</v>
      </c>
      <c r="N280" s="10">
        <v>28.3</v>
      </c>
      <c r="O280" t="s">
        <v>150</v>
      </c>
      <c r="P280" s="5">
        <v>45844</v>
      </c>
      <c r="Q280" s="5">
        <v>45854</v>
      </c>
      <c r="R280" s="5">
        <v>45848</v>
      </c>
      <c r="S280" t="s">
        <v>33</v>
      </c>
      <c r="T280" s="6">
        <v>5</v>
      </c>
      <c r="U280" t="s">
        <v>117</v>
      </c>
      <c r="V280" s="10">
        <v>565.62</v>
      </c>
      <c r="W280" s="10">
        <v>130.32</v>
      </c>
      <c r="X280" s="10">
        <v>407</v>
      </c>
      <c r="Y280" s="11">
        <v>0.71956437183975108</v>
      </c>
      <c r="Z280" s="6">
        <v>-6</v>
      </c>
      <c r="AA280" t="s">
        <v>35</v>
      </c>
    </row>
    <row r="281" spans="1:27" x14ac:dyDescent="0.25">
      <c r="A281" t="s">
        <v>421</v>
      </c>
      <c r="B281">
        <v>97</v>
      </c>
      <c r="C281" s="9">
        <v>45843.281736111108</v>
      </c>
      <c r="D281" t="s">
        <v>37</v>
      </c>
      <c r="E281" t="s">
        <v>38</v>
      </c>
      <c r="F281" t="s">
        <v>30</v>
      </c>
      <c r="G281">
        <v>2639</v>
      </c>
      <c r="H281" s="6">
        <v>3</v>
      </c>
      <c r="I281" s="10">
        <v>470.28</v>
      </c>
      <c r="J281" s="10">
        <v>1316.05</v>
      </c>
      <c r="K281" t="s">
        <v>46</v>
      </c>
      <c r="L281" s="3">
        <v>0.1</v>
      </c>
      <c r="M281" t="s">
        <v>39</v>
      </c>
      <c r="N281" s="10">
        <v>138.47</v>
      </c>
      <c r="O281" t="s">
        <v>99</v>
      </c>
      <c r="P281" s="5">
        <v>45844</v>
      </c>
      <c r="Q281" s="5">
        <v>45854</v>
      </c>
      <c r="R281" s="5">
        <v>45855</v>
      </c>
      <c r="S281" t="s">
        <v>33</v>
      </c>
      <c r="T281" s="6">
        <v>1</v>
      </c>
      <c r="U281" t="s">
        <v>108</v>
      </c>
      <c r="V281" s="10">
        <v>3553.335</v>
      </c>
      <c r="W281" s="10">
        <v>1410.84</v>
      </c>
      <c r="X281" s="10">
        <v>2004.0250000000001</v>
      </c>
      <c r="Y281" s="11">
        <v>0.56398425704303146</v>
      </c>
      <c r="Z281" s="6">
        <v>1</v>
      </c>
      <c r="AA281" t="s">
        <v>103</v>
      </c>
    </row>
    <row r="282" spans="1:27" x14ac:dyDescent="0.25">
      <c r="A282" t="s">
        <v>422</v>
      </c>
      <c r="B282">
        <v>26</v>
      </c>
      <c r="C282" s="9">
        <v>45843.422002314823</v>
      </c>
      <c r="D282" t="s">
        <v>110</v>
      </c>
      <c r="E282" t="s">
        <v>111</v>
      </c>
      <c r="F282" t="s">
        <v>30</v>
      </c>
      <c r="G282">
        <v>2122</v>
      </c>
      <c r="H282" s="6">
        <v>1</v>
      </c>
      <c r="I282" s="10">
        <v>1412.22</v>
      </c>
      <c r="J282" s="10">
        <v>1757.2</v>
      </c>
      <c r="K282" t="s">
        <v>60</v>
      </c>
      <c r="L282" s="3">
        <v>0.2</v>
      </c>
      <c r="M282" t="s">
        <v>39</v>
      </c>
      <c r="N282" s="10">
        <v>87.22</v>
      </c>
      <c r="O282" t="s">
        <v>62</v>
      </c>
      <c r="P282" s="5">
        <v>45844</v>
      </c>
      <c r="Q282" s="5">
        <v>45850</v>
      </c>
      <c r="R282" s="5">
        <v>45849</v>
      </c>
      <c r="S282" t="s">
        <v>33</v>
      </c>
      <c r="T282" s="6">
        <v>5</v>
      </c>
      <c r="U282" t="s">
        <v>79</v>
      </c>
      <c r="V282" s="10">
        <v>1405.76</v>
      </c>
      <c r="W282" s="10">
        <v>1412.22</v>
      </c>
      <c r="X282" s="10">
        <v>-93.679999999999808</v>
      </c>
      <c r="Y282" s="11">
        <v>-6.6640109264739206E-2</v>
      </c>
      <c r="Z282" s="6">
        <v>-1</v>
      </c>
      <c r="AA282" t="s">
        <v>35</v>
      </c>
    </row>
    <row r="283" spans="1:27" x14ac:dyDescent="0.25">
      <c r="A283" t="s">
        <v>423</v>
      </c>
      <c r="B283">
        <v>73</v>
      </c>
      <c r="C283" s="9">
        <v>45844.187916666669</v>
      </c>
      <c r="D283" t="s">
        <v>164</v>
      </c>
      <c r="E283" t="s">
        <v>165</v>
      </c>
      <c r="F283" t="s">
        <v>116</v>
      </c>
      <c r="G283">
        <v>0</v>
      </c>
      <c r="H283" s="6">
        <v>1</v>
      </c>
      <c r="I283" s="10">
        <v>340.24</v>
      </c>
      <c r="J283" s="10">
        <v>402.68</v>
      </c>
      <c r="L283" s="3">
        <v>0</v>
      </c>
      <c r="M283" t="s">
        <v>39</v>
      </c>
      <c r="N283" s="10">
        <v>17.809999999999999</v>
      </c>
      <c r="O283" t="s">
        <v>97</v>
      </c>
      <c r="P283" s="5">
        <v>45846</v>
      </c>
      <c r="Q283" s="5">
        <v>45853</v>
      </c>
      <c r="R283" s="5">
        <v>45850</v>
      </c>
      <c r="S283" t="s">
        <v>33</v>
      </c>
      <c r="T283" s="6">
        <v>4</v>
      </c>
      <c r="U283" t="s">
        <v>48</v>
      </c>
      <c r="V283" s="10">
        <v>402.68</v>
      </c>
      <c r="W283" s="10">
        <v>340.24</v>
      </c>
      <c r="X283" s="10">
        <v>44.63</v>
      </c>
      <c r="Y283" s="11">
        <v>0.110832422767458</v>
      </c>
      <c r="Z283" s="6">
        <v>-3</v>
      </c>
      <c r="AA283" t="s">
        <v>35</v>
      </c>
    </row>
    <row r="284" spans="1:27" x14ac:dyDescent="0.25">
      <c r="A284" t="s">
        <v>424</v>
      </c>
      <c r="B284">
        <v>44</v>
      </c>
      <c r="C284" s="9">
        <v>45844.361828703702</v>
      </c>
      <c r="D284" t="s">
        <v>28</v>
      </c>
      <c r="E284" t="s">
        <v>29</v>
      </c>
      <c r="F284" t="s">
        <v>30</v>
      </c>
      <c r="G284">
        <v>2151</v>
      </c>
      <c r="H284" s="6">
        <v>1</v>
      </c>
      <c r="I284" s="10">
        <v>2195.77</v>
      </c>
      <c r="J284" s="10">
        <v>3623.55</v>
      </c>
      <c r="L284" s="3">
        <v>0</v>
      </c>
      <c r="M284" t="s">
        <v>31</v>
      </c>
      <c r="N284" s="10">
        <v>67.97</v>
      </c>
      <c r="O284" t="s">
        <v>62</v>
      </c>
      <c r="P284" s="5">
        <v>45846</v>
      </c>
      <c r="Q284" s="5">
        <v>45852</v>
      </c>
      <c r="R284" s="5">
        <v>45852</v>
      </c>
      <c r="S284" t="s">
        <v>33</v>
      </c>
      <c r="T284" s="6">
        <v>5</v>
      </c>
      <c r="U284" t="s">
        <v>34</v>
      </c>
      <c r="V284" s="10">
        <v>3623.55</v>
      </c>
      <c r="W284" s="10">
        <v>2195.77</v>
      </c>
      <c r="X284" s="10">
        <v>1359.81</v>
      </c>
      <c r="Y284" s="11">
        <v>0.37527010804321731</v>
      </c>
      <c r="Z284" s="6">
        <v>0</v>
      </c>
      <c r="AA284" t="s">
        <v>35</v>
      </c>
    </row>
    <row r="285" spans="1:27" x14ac:dyDescent="0.25">
      <c r="A285" t="s">
        <v>425</v>
      </c>
      <c r="B285">
        <v>67</v>
      </c>
      <c r="C285" s="9">
        <v>45844.454930555563</v>
      </c>
      <c r="D285" t="s">
        <v>74</v>
      </c>
      <c r="E285" t="s">
        <v>75</v>
      </c>
      <c r="F285" t="s">
        <v>30</v>
      </c>
      <c r="G285">
        <v>2995</v>
      </c>
      <c r="H285" s="6">
        <v>3</v>
      </c>
      <c r="I285" s="10">
        <v>2474.79</v>
      </c>
      <c r="J285" s="10">
        <v>3819.87</v>
      </c>
      <c r="L285" s="3">
        <v>0</v>
      </c>
      <c r="M285" t="s">
        <v>31</v>
      </c>
      <c r="N285" s="10">
        <v>132.44</v>
      </c>
      <c r="O285" t="s">
        <v>47</v>
      </c>
      <c r="P285" s="5">
        <v>45846</v>
      </c>
      <c r="Q285" s="5">
        <v>45851</v>
      </c>
      <c r="R285" s="5">
        <v>45850</v>
      </c>
      <c r="S285" t="s">
        <v>33</v>
      </c>
      <c r="T285" s="6">
        <v>5</v>
      </c>
      <c r="U285" t="s">
        <v>211</v>
      </c>
      <c r="V285" s="10">
        <v>11459.61</v>
      </c>
      <c r="W285" s="10">
        <v>7424.37</v>
      </c>
      <c r="X285" s="10">
        <v>3902.8000000000011</v>
      </c>
      <c r="Y285" s="11">
        <v>0.3405700543037678</v>
      </c>
      <c r="Z285" s="6">
        <v>-1</v>
      </c>
      <c r="AA285" t="s">
        <v>35</v>
      </c>
    </row>
    <row r="286" spans="1:27" x14ac:dyDescent="0.25">
      <c r="A286" t="s">
        <v>426</v>
      </c>
      <c r="B286">
        <v>154</v>
      </c>
      <c r="C286" s="9">
        <v>45844.565520833326</v>
      </c>
      <c r="D286" t="s">
        <v>198</v>
      </c>
      <c r="E286" t="s">
        <v>199</v>
      </c>
      <c r="F286" t="s">
        <v>116</v>
      </c>
      <c r="G286">
        <v>0</v>
      </c>
      <c r="H286" s="6">
        <v>2</v>
      </c>
      <c r="I286" s="10">
        <v>486.06</v>
      </c>
      <c r="J286" s="10">
        <v>688.86</v>
      </c>
      <c r="L286" s="3">
        <v>0</v>
      </c>
      <c r="M286" t="s">
        <v>76</v>
      </c>
      <c r="N286" s="10">
        <v>25.7</v>
      </c>
      <c r="O286" t="s">
        <v>40</v>
      </c>
      <c r="P286" s="5">
        <v>45846</v>
      </c>
      <c r="Q286" s="5">
        <v>45856</v>
      </c>
      <c r="R286" s="5">
        <v>45850</v>
      </c>
      <c r="S286" t="s">
        <v>33</v>
      </c>
      <c r="T286" s="6">
        <v>4</v>
      </c>
      <c r="U286" t="s">
        <v>172</v>
      </c>
      <c r="V286" s="10">
        <v>1377.72</v>
      </c>
      <c r="W286" s="10">
        <v>972.12</v>
      </c>
      <c r="X286" s="10">
        <v>379.9</v>
      </c>
      <c r="Y286" s="11">
        <v>0.27574543448596228</v>
      </c>
      <c r="Z286" s="6">
        <v>-6</v>
      </c>
      <c r="AA286" t="s">
        <v>35</v>
      </c>
    </row>
    <row r="287" spans="1:27" x14ac:dyDescent="0.25">
      <c r="A287" t="s">
        <v>427</v>
      </c>
      <c r="B287">
        <v>168</v>
      </c>
      <c r="C287" s="9">
        <v>45844.586678240739</v>
      </c>
      <c r="D287" t="s">
        <v>177</v>
      </c>
      <c r="E287" t="s">
        <v>178</v>
      </c>
      <c r="F287" t="s">
        <v>116</v>
      </c>
      <c r="G287">
        <v>0</v>
      </c>
      <c r="H287" s="6">
        <v>1</v>
      </c>
      <c r="I287" s="10">
        <v>172.6</v>
      </c>
      <c r="J287" s="10">
        <v>479.93</v>
      </c>
      <c r="L287" s="3">
        <v>0</v>
      </c>
      <c r="M287" t="s">
        <v>76</v>
      </c>
      <c r="N287" s="10">
        <v>16.78</v>
      </c>
      <c r="O287" t="s">
        <v>47</v>
      </c>
      <c r="P287" s="5">
        <v>45845</v>
      </c>
      <c r="Q287" s="5">
        <v>45853</v>
      </c>
      <c r="R287" s="5">
        <v>45852</v>
      </c>
      <c r="S287" t="s">
        <v>33</v>
      </c>
      <c r="T287" s="6">
        <v>4</v>
      </c>
      <c r="U287" t="s">
        <v>211</v>
      </c>
      <c r="V287" s="10">
        <v>479.93</v>
      </c>
      <c r="W287" s="10">
        <v>172.6</v>
      </c>
      <c r="X287" s="10">
        <v>290.55000000000013</v>
      </c>
      <c r="Y287" s="11">
        <v>0.6054007876148606</v>
      </c>
      <c r="Z287" s="6">
        <v>-1</v>
      </c>
      <c r="AA287" t="s">
        <v>35</v>
      </c>
    </row>
    <row r="288" spans="1:27" x14ac:dyDescent="0.25">
      <c r="A288" t="s">
        <v>428</v>
      </c>
      <c r="B288">
        <v>142</v>
      </c>
      <c r="C288" s="9">
        <v>45844.597557870373</v>
      </c>
      <c r="D288" t="s">
        <v>114</v>
      </c>
      <c r="E288" t="s">
        <v>115</v>
      </c>
      <c r="F288" t="s">
        <v>116</v>
      </c>
      <c r="G288">
        <v>0</v>
      </c>
      <c r="H288" s="6">
        <v>2</v>
      </c>
      <c r="I288" s="10">
        <v>292.14999999999998</v>
      </c>
      <c r="J288" s="10">
        <v>453.4</v>
      </c>
      <c r="L288" s="3">
        <v>0</v>
      </c>
      <c r="M288" t="s">
        <v>61</v>
      </c>
      <c r="N288" s="10">
        <v>21.82</v>
      </c>
      <c r="O288" t="s">
        <v>97</v>
      </c>
      <c r="P288" s="5">
        <v>45845</v>
      </c>
      <c r="Q288" s="5">
        <v>45850</v>
      </c>
      <c r="R288" s="5">
        <v>45854</v>
      </c>
      <c r="S288" t="s">
        <v>33</v>
      </c>
      <c r="T288" s="6">
        <v>1</v>
      </c>
      <c r="U288" t="s">
        <v>168</v>
      </c>
      <c r="V288" s="10">
        <v>906.8</v>
      </c>
      <c r="W288" s="10">
        <v>584.29999999999995</v>
      </c>
      <c r="X288" s="10">
        <v>300.68</v>
      </c>
      <c r="Y288" s="11">
        <v>0.33158359064843412</v>
      </c>
      <c r="Z288" s="6">
        <v>4</v>
      </c>
      <c r="AA288" t="s">
        <v>103</v>
      </c>
    </row>
    <row r="289" spans="1:27" x14ac:dyDescent="0.25">
      <c r="A289" t="s">
        <v>429</v>
      </c>
      <c r="B289">
        <v>164</v>
      </c>
      <c r="C289" s="9">
        <v>45844.907916666663</v>
      </c>
      <c r="D289" t="s">
        <v>89</v>
      </c>
      <c r="E289" t="s">
        <v>90</v>
      </c>
      <c r="F289" t="s">
        <v>52</v>
      </c>
      <c r="G289">
        <v>283</v>
      </c>
      <c r="H289" s="6">
        <v>2</v>
      </c>
      <c r="I289" s="10">
        <v>59.37</v>
      </c>
      <c r="J289" s="10">
        <v>173.37</v>
      </c>
      <c r="L289" s="3">
        <v>0</v>
      </c>
      <c r="M289" t="s">
        <v>39</v>
      </c>
      <c r="N289" s="10">
        <v>28.5</v>
      </c>
      <c r="O289" t="s">
        <v>97</v>
      </c>
      <c r="P289" s="5">
        <v>45845</v>
      </c>
      <c r="Q289" s="5">
        <v>45852</v>
      </c>
      <c r="S289" t="s">
        <v>63</v>
      </c>
      <c r="T289" s="6">
        <v>2</v>
      </c>
      <c r="U289" t="s">
        <v>108</v>
      </c>
      <c r="V289" s="10">
        <v>346.74</v>
      </c>
      <c r="W289" s="10">
        <v>118.74</v>
      </c>
      <c r="X289" s="10">
        <v>199.5</v>
      </c>
      <c r="Y289" s="11">
        <v>0.57535905866066794</v>
      </c>
      <c r="Z289" s="6"/>
      <c r="AA289" t="s">
        <v>56</v>
      </c>
    </row>
    <row r="290" spans="1:27" x14ac:dyDescent="0.25">
      <c r="A290" t="s">
        <v>430</v>
      </c>
      <c r="B290">
        <v>46</v>
      </c>
      <c r="C290" s="9">
        <v>45845.267650462964</v>
      </c>
      <c r="D290" t="s">
        <v>43</v>
      </c>
      <c r="E290" t="s">
        <v>44</v>
      </c>
      <c r="F290" t="s">
        <v>45</v>
      </c>
      <c r="G290">
        <v>0</v>
      </c>
      <c r="H290" s="6">
        <v>2</v>
      </c>
      <c r="I290" s="10">
        <v>36.590000000000003</v>
      </c>
      <c r="J290" s="10">
        <v>91.28</v>
      </c>
      <c r="K290" t="s">
        <v>60</v>
      </c>
      <c r="L290" s="3">
        <v>0.2</v>
      </c>
      <c r="M290" t="s">
        <v>61</v>
      </c>
      <c r="N290" s="10">
        <v>22.97</v>
      </c>
      <c r="O290" t="s">
        <v>133</v>
      </c>
      <c r="P290" s="5">
        <v>45847</v>
      </c>
      <c r="Q290" s="5">
        <v>45854</v>
      </c>
      <c r="R290" s="5">
        <v>45853</v>
      </c>
      <c r="S290" t="s">
        <v>33</v>
      </c>
      <c r="T290" s="6">
        <v>4</v>
      </c>
      <c r="U290" t="s">
        <v>34</v>
      </c>
      <c r="V290" s="10">
        <v>146.048</v>
      </c>
      <c r="W290" s="10">
        <v>73.180000000000007</v>
      </c>
      <c r="X290" s="10">
        <v>49.898000000000003</v>
      </c>
      <c r="Y290" s="11">
        <v>0.3416547984224364</v>
      </c>
      <c r="Z290" s="6">
        <v>-1</v>
      </c>
      <c r="AA290" t="s">
        <v>35</v>
      </c>
    </row>
    <row r="291" spans="1:27" x14ac:dyDescent="0.25">
      <c r="A291" t="s">
        <v>431</v>
      </c>
      <c r="B291">
        <v>186</v>
      </c>
      <c r="C291" s="9">
        <v>45846.299513888887</v>
      </c>
      <c r="D291" t="s">
        <v>86</v>
      </c>
      <c r="E291" t="s">
        <v>87</v>
      </c>
      <c r="F291" t="s">
        <v>45</v>
      </c>
      <c r="G291">
        <v>0</v>
      </c>
      <c r="H291" s="6">
        <v>1</v>
      </c>
      <c r="I291" s="10">
        <v>31.33</v>
      </c>
      <c r="J291" s="10">
        <v>175.41</v>
      </c>
      <c r="K291" t="s">
        <v>46</v>
      </c>
      <c r="L291" s="3">
        <v>0.1</v>
      </c>
      <c r="M291" t="s">
        <v>61</v>
      </c>
      <c r="N291" s="10">
        <v>16.920000000000002</v>
      </c>
      <c r="O291" t="s">
        <v>47</v>
      </c>
      <c r="P291" s="5">
        <v>45848</v>
      </c>
      <c r="Q291" s="5">
        <v>45855</v>
      </c>
      <c r="R291" s="5">
        <v>45851</v>
      </c>
      <c r="S291" t="s">
        <v>33</v>
      </c>
      <c r="T291" s="6">
        <v>5</v>
      </c>
      <c r="U291" t="s">
        <v>166</v>
      </c>
      <c r="V291" s="10">
        <v>157.869</v>
      </c>
      <c r="W291" s="10">
        <v>31.33</v>
      </c>
      <c r="X291" s="10">
        <v>109.619</v>
      </c>
      <c r="Y291" s="11">
        <v>0.69436684846296615</v>
      </c>
      <c r="Z291" s="6">
        <v>-4</v>
      </c>
      <c r="AA291" t="s">
        <v>35</v>
      </c>
    </row>
    <row r="292" spans="1:27" x14ac:dyDescent="0.25">
      <c r="A292" t="s">
        <v>432</v>
      </c>
      <c r="B292">
        <v>125</v>
      </c>
      <c r="C292" s="9">
        <v>45846.337847222218</v>
      </c>
      <c r="D292" t="s">
        <v>89</v>
      </c>
      <c r="E292" t="s">
        <v>90</v>
      </c>
      <c r="F292" t="s">
        <v>52</v>
      </c>
      <c r="G292">
        <v>225</v>
      </c>
      <c r="H292" s="6">
        <v>3</v>
      </c>
      <c r="I292" s="10">
        <v>74.569999999999993</v>
      </c>
      <c r="J292" s="10">
        <v>127.73</v>
      </c>
      <c r="L292" s="3">
        <v>0</v>
      </c>
      <c r="M292" t="s">
        <v>31</v>
      </c>
      <c r="N292" s="10">
        <v>37.32</v>
      </c>
      <c r="O292" t="s">
        <v>47</v>
      </c>
      <c r="P292" s="5">
        <v>45848</v>
      </c>
      <c r="Q292" s="5">
        <v>45854</v>
      </c>
      <c r="R292" s="5">
        <v>45856</v>
      </c>
      <c r="S292" t="s">
        <v>33</v>
      </c>
      <c r="T292" s="6">
        <v>2</v>
      </c>
      <c r="U292" t="s">
        <v>129</v>
      </c>
      <c r="V292" s="10">
        <v>383.19</v>
      </c>
      <c r="W292" s="10">
        <v>223.71</v>
      </c>
      <c r="X292" s="10">
        <v>122.16</v>
      </c>
      <c r="Y292" s="11">
        <v>0.31879746339935811</v>
      </c>
      <c r="Z292" s="6">
        <v>2</v>
      </c>
      <c r="AA292" t="s">
        <v>103</v>
      </c>
    </row>
    <row r="293" spans="1:27" x14ac:dyDescent="0.25">
      <c r="A293" t="s">
        <v>433</v>
      </c>
      <c r="B293">
        <v>85</v>
      </c>
      <c r="C293" s="9">
        <v>45846.881388888891</v>
      </c>
      <c r="D293" t="s">
        <v>148</v>
      </c>
      <c r="E293" t="s">
        <v>149</v>
      </c>
      <c r="F293" t="s">
        <v>30</v>
      </c>
      <c r="G293">
        <v>3204</v>
      </c>
      <c r="H293" s="6">
        <v>3</v>
      </c>
      <c r="I293" s="10">
        <v>468.21</v>
      </c>
      <c r="J293" s="10">
        <v>617.89</v>
      </c>
      <c r="L293" s="3">
        <v>0</v>
      </c>
      <c r="M293" t="s">
        <v>61</v>
      </c>
      <c r="N293" s="10">
        <v>54.84</v>
      </c>
      <c r="O293" t="s">
        <v>157</v>
      </c>
      <c r="P293" s="5">
        <v>45848</v>
      </c>
      <c r="Q293" s="5">
        <v>45853</v>
      </c>
      <c r="R293" s="5">
        <v>45850</v>
      </c>
      <c r="S293" t="s">
        <v>33</v>
      </c>
      <c r="T293" s="6">
        <v>5</v>
      </c>
      <c r="U293" t="s">
        <v>77</v>
      </c>
      <c r="V293" s="10">
        <v>1853.67</v>
      </c>
      <c r="W293" s="10">
        <v>1404.63</v>
      </c>
      <c r="X293" s="10">
        <v>394.20000000000022</v>
      </c>
      <c r="Y293" s="11">
        <v>0.2126592111864572</v>
      </c>
      <c r="Z293" s="6">
        <v>-3</v>
      </c>
      <c r="AA293" t="s">
        <v>35</v>
      </c>
    </row>
    <row r="294" spans="1:27" x14ac:dyDescent="0.25">
      <c r="A294" t="s">
        <v>434</v>
      </c>
      <c r="B294">
        <v>177</v>
      </c>
      <c r="C294" s="9">
        <v>45847.279629629629</v>
      </c>
      <c r="D294" t="s">
        <v>95</v>
      </c>
      <c r="E294" t="s">
        <v>96</v>
      </c>
      <c r="F294" t="s">
        <v>52</v>
      </c>
      <c r="G294">
        <v>561</v>
      </c>
      <c r="H294" s="6">
        <v>3</v>
      </c>
      <c r="I294" s="10">
        <v>37.96</v>
      </c>
      <c r="J294" s="10">
        <v>63.88</v>
      </c>
      <c r="L294" s="3">
        <v>0</v>
      </c>
      <c r="M294" t="s">
        <v>31</v>
      </c>
      <c r="N294" s="10">
        <v>48.65</v>
      </c>
      <c r="O294" t="s">
        <v>47</v>
      </c>
      <c r="P294" s="5">
        <v>45849</v>
      </c>
      <c r="Q294" s="5">
        <v>45855</v>
      </c>
      <c r="R294" s="5">
        <v>45851</v>
      </c>
      <c r="S294" t="s">
        <v>33</v>
      </c>
      <c r="T294" s="6">
        <v>4</v>
      </c>
      <c r="U294" t="s">
        <v>84</v>
      </c>
      <c r="V294" s="10">
        <v>191.64</v>
      </c>
      <c r="W294" s="10">
        <v>113.88</v>
      </c>
      <c r="X294" s="10">
        <v>29.110000000000021</v>
      </c>
      <c r="Y294" s="11">
        <v>0.15189939469839289</v>
      </c>
      <c r="Z294" s="6">
        <v>-4</v>
      </c>
      <c r="AA294" t="s">
        <v>35</v>
      </c>
    </row>
    <row r="295" spans="1:27" x14ac:dyDescent="0.25">
      <c r="A295" t="s">
        <v>435</v>
      </c>
      <c r="B295">
        <v>58</v>
      </c>
      <c r="C295" s="9">
        <v>45847.463437500002</v>
      </c>
      <c r="D295" t="s">
        <v>74</v>
      </c>
      <c r="E295" t="s">
        <v>75</v>
      </c>
      <c r="F295" t="s">
        <v>30</v>
      </c>
      <c r="G295">
        <v>2326</v>
      </c>
      <c r="H295" s="6">
        <v>2</v>
      </c>
      <c r="I295" s="10">
        <v>2748.38</v>
      </c>
      <c r="J295" s="10">
        <v>4834.67</v>
      </c>
      <c r="L295" s="3">
        <v>0</v>
      </c>
      <c r="M295" t="s">
        <v>61</v>
      </c>
      <c r="N295" s="10">
        <v>130.97999999999999</v>
      </c>
      <c r="O295" t="s">
        <v>62</v>
      </c>
      <c r="P295" s="5">
        <v>45849</v>
      </c>
      <c r="Q295" s="5">
        <v>45857</v>
      </c>
      <c r="R295" s="5">
        <v>45852</v>
      </c>
      <c r="S295" t="s">
        <v>33</v>
      </c>
      <c r="T295" s="6">
        <v>5</v>
      </c>
      <c r="U295" t="s">
        <v>77</v>
      </c>
      <c r="V295" s="10">
        <v>9669.34</v>
      </c>
      <c r="W295" s="10">
        <v>5496.76</v>
      </c>
      <c r="X295" s="10">
        <v>4041.6</v>
      </c>
      <c r="Y295" s="11">
        <v>0.41798095836944399</v>
      </c>
      <c r="Z295" s="6">
        <v>-5</v>
      </c>
      <c r="AA295" t="s">
        <v>35</v>
      </c>
    </row>
    <row r="296" spans="1:27" x14ac:dyDescent="0.25">
      <c r="A296" t="s">
        <v>436</v>
      </c>
      <c r="B296">
        <v>16</v>
      </c>
      <c r="C296" s="9">
        <v>45847.70517361111</v>
      </c>
      <c r="D296" t="s">
        <v>81</v>
      </c>
      <c r="E296" t="s">
        <v>82</v>
      </c>
      <c r="F296" t="s">
        <v>45</v>
      </c>
      <c r="G296">
        <v>0</v>
      </c>
      <c r="H296" s="6">
        <v>1</v>
      </c>
      <c r="I296" s="10">
        <v>119.9</v>
      </c>
      <c r="J296" s="10">
        <v>202.7</v>
      </c>
      <c r="L296" s="3">
        <v>0</v>
      </c>
      <c r="M296" t="s">
        <v>76</v>
      </c>
      <c r="N296" s="10">
        <v>19.510000000000002</v>
      </c>
      <c r="O296" t="s">
        <v>47</v>
      </c>
      <c r="P296" s="5">
        <v>45849</v>
      </c>
      <c r="Q296" s="5">
        <v>45855</v>
      </c>
      <c r="R296" s="5">
        <v>45851</v>
      </c>
      <c r="S296" t="s">
        <v>33</v>
      </c>
      <c r="T296" s="6">
        <v>4</v>
      </c>
      <c r="U296" t="s">
        <v>117</v>
      </c>
      <c r="V296" s="10">
        <v>202.7</v>
      </c>
      <c r="W296" s="10">
        <v>119.9</v>
      </c>
      <c r="X296" s="10">
        <v>63.289999999999978</v>
      </c>
      <c r="Y296" s="11">
        <v>0.31223482979773048</v>
      </c>
      <c r="Z296" s="6">
        <v>-4</v>
      </c>
      <c r="AA296" t="s">
        <v>35</v>
      </c>
    </row>
    <row r="297" spans="1:27" x14ac:dyDescent="0.25">
      <c r="A297" t="s">
        <v>437</v>
      </c>
      <c r="B297">
        <v>119</v>
      </c>
      <c r="C297" s="9">
        <v>45847.860578703701</v>
      </c>
      <c r="D297" t="s">
        <v>198</v>
      </c>
      <c r="E297" t="s">
        <v>199</v>
      </c>
      <c r="F297" t="s">
        <v>116</v>
      </c>
      <c r="G297">
        <v>0</v>
      </c>
      <c r="H297" s="6">
        <v>1</v>
      </c>
      <c r="I297" s="10">
        <v>319.52</v>
      </c>
      <c r="J297" s="10">
        <v>740.2</v>
      </c>
      <c r="L297" s="3">
        <v>0</v>
      </c>
      <c r="M297" t="s">
        <v>61</v>
      </c>
      <c r="N297" s="10">
        <v>26.45</v>
      </c>
      <c r="O297" t="s">
        <v>101</v>
      </c>
      <c r="P297" s="5">
        <v>45849</v>
      </c>
      <c r="Q297" s="5">
        <v>45856</v>
      </c>
      <c r="R297" s="5">
        <v>45853</v>
      </c>
      <c r="S297" t="s">
        <v>33</v>
      </c>
      <c r="T297" s="6">
        <v>5</v>
      </c>
      <c r="U297" t="s">
        <v>77</v>
      </c>
      <c r="V297" s="10">
        <v>740.2</v>
      </c>
      <c r="W297" s="10">
        <v>319.52</v>
      </c>
      <c r="X297" s="10">
        <v>394.23000000000008</v>
      </c>
      <c r="Y297" s="11">
        <v>0.53259929748716572</v>
      </c>
      <c r="Z297" s="6">
        <v>-3</v>
      </c>
      <c r="AA297" t="s">
        <v>35</v>
      </c>
    </row>
    <row r="298" spans="1:27" x14ac:dyDescent="0.25">
      <c r="A298" t="s">
        <v>438</v>
      </c>
      <c r="B298">
        <v>32</v>
      </c>
      <c r="C298" s="9">
        <v>45847.97111111111</v>
      </c>
      <c r="D298" t="s">
        <v>123</v>
      </c>
      <c r="E298" t="s">
        <v>124</v>
      </c>
      <c r="F298" t="s">
        <v>45</v>
      </c>
      <c r="G298">
        <v>0</v>
      </c>
      <c r="H298" s="6">
        <v>1</v>
      </c>
      <c r="I298" s="10">
        <v>225.01</v>
      </c>
      <c r="J298" s="10">
        <v>480.75</v>
      </c>
      <c r="L298" s="3">
        <v>0</v>
      </c>
      <c r="M298" t="s">
        <v>61</v>
      </c>
      <c r="N298" s="10">
        <v>22.72</v>
      </c>
      <c r="O298" t="s">
        <v>150</v>
      </c>
      <c r="P298" s="5">
        <v>45848</v>
      </c>
      <c r="Q298" s="5">
        <v>45856</v>
      </c>
      <c r="R298" s="5">
        <v>45855</v>
      </c>
      <c r="S298" t="s">
        <v>33</v>
      </c>
      <c r="T298" s="6">
        <v>5</v>
      </c>
      <c r="U298" t="s">
        <v>34</v>
      </c>
      <c r="V298" s="10">
        <v>480.75</v>
      </c>
      <c r="W298" s="10">
        <v>225.01</v>
      </c>
      <c r="X298" s="10">
        <v>233.02</v>
      </c>
      <c r="Y298" s="11">
        <v>0.48470098803952161</v>
      </c>
      <c r="Z298" s="6">
        <v>-1</v>
      </c>
      <c r="AA298" t="s">
        <v>35</v>
      </c>
    </row>
    <row r="299" spans="1:27" x14ac:dyDescent="0.25">
      <c r="A299" t="s">
        <v>439</v>
      </c>
      <c r="B299">
        <v>154</v>
      </c>
      <c r="C299" s="9">
        <v>45848.024305555547</v>
      </c>
      <c r="D299" t="s">
        <v>81</v>
      </c>
      <c r="E299" t="s">
        <v>82</v>
      </c>
      <c r="F299" t="s">
        <v>45</v>
      </c>
      <c r="G299">
        <v>0</v>
      </c>
      <c r="H299" s="6">
        <v>2</v>
      </c>
      <c r="I299" s="10">
        <v>114.22</v>
      </c>
      <c r="J299" s="10">
        <v>163.93</v>
      </c>
      <c r="K299" t="s">
        <v>46</v>
      </c>
      <c r="L299" s="3">
        <v>0.1</v>
      </c>
      <c r="M299" t="s">
        <v>61</v>
      </c>
      <c r="N299" s="10">
        <v>22.83</v>
      </c>
      <c r="O299" t="s">
        <v>47</v>
      </c>
      <c r="P299" s="5">
        <v>45850</v>
      </c>
      <c r="Q299" s="5">
        <v>45860</v>
      </c>
      <c r="R299" s="5">
        <v>45852</v>
      </c>
      <c r="S299" t="s">
        <v>33</v>
      </c>
      <c r="T299" s="6">
        <v>5</v>
      </c>
      <c r="U299" t="s">
        <v>119</v>
      </c>
      <c r="V299" s="10">
        <v>295.07400000000001</v>
      </c>
      <c r="W299" s="10">
        <v>228.44</v>
      </c>
      <c r="X299" s="10">
        <v>43.804000000000023</v>
      </c>
      <c r="Y299" s="11">
        <v>0.14845089706310971</v>
      </c>
      <c r="Z299" s="6">
        <v>-8</v>
      </c>
      <c r="AA299" t="s">
        <v>35</v>
      </c>
    </row>
    <row r="300" spans="1:27" x14ac:dyDescent="0.25">
      <c r="A300" t="s">
        <v>440</v>
      </c>
      <c r="B300">
        <v>197</v>
      </c>
      <c r="C300" s="9">
        <v>45848.035231481481</v>
      </c>
      <c r="D300" t="s">
        <v>58</v>
      </c>
      <c r="E300" t="s">
        <v>59</v>
      </c>
      <c r="F300" t="s">
        <v>30</v>
      </c>
      <c r="G300">
        <v>4768</v>
      </c>
      <c r="H300" s="6">
        <v>1</v>
      </c>
      <c r="I300" s="10">
        <v>276.62</v>
      </c>
      <c r="J300" s="10">
        <v>656.41</v>
      </c>
      <c r="L300" s="3">
        <v>0</v>
      </c>
      <c r="M300" t="s">
        <v>31</v>
      </c>
      <c r="N300" s="10">
        <v>97.25</v>
      </c>
      <c r="O300" t="s">
        <v>68</v>
      </c>
      <c r="P300" s="5">
        <v>45850</v>
      </c>
      <c r="Q300" s="5">
        <v>45858</v>
      </c>
      <c r="R300" s="5">
        <v>45860</v>
      </c>
      <c r="S300" t="s">
        <v>33</v>
      </c>
      <c r="T300" s="6">
        <v>2</v>
      </c>
      <c r="U300" t="s">
        <v>168</v>
      </c>
      <c r="V300" s="10">
        <v>656.41</v>
      </c>
      <c r="W300" s="10">
        <v>276.62</v>
      </c>
      <c r="X300" s="10">
        <v>282.54000000000002</v>
      </c>
      <c r="Y300" s="11">
        <v>0.43043219938757787</v>
      </c>
      <c r="Z300" s="6">
        <v>2</v>
      </c>
      <c r="AA300" t="s">
        <v>103</v>
      </c>
    </row>
    <row r="301" spans="1:27" x14ac:dyDescent="0.25">
      <c r="A301" t="s">
        <v>441</v>
      </c>
      <c r="B301">
        <v>109</v>
      </c>
      <c r="C301" s="9">
        <v>45848.333425925928</v>
      </c>
      <c r="D301" t="s">
        <v>114</v>
      </c>
      <c r="E301" t="s">
        <v>115</v>
      </c>
      <c r="F301" t="s">
        <v>116</v>
      </c>
      <c r="G301">
        <v>0</v>
      </c>
      <c r="H301" s="6">
        <v>2</v>
      </c>
      <c r="I301" s="10">
        <v>480.61</v>
      </c>
      <c r="J301" s="10">
        <v>690.5</v>
      </c>
      <c r="L301" s="3">
        <v>0</v>
      </c>
      <c r="M301" t="s">
        <v>61</v>
      </c>
      <c r="N301" s="10">
        <v>28.39</v>
      </c>
      <c r="O301" t="s">
        <v>53</v>
      </c>
      <c r="P301" s="5">
        <v>45849</v>
      </c>
      <c r="Q301" s="5">
        <v>45859</v>
      </c>
      <c r="R301" s="5">
        <v>45852</v>
      </c>
      <c r="S301" t="s">
        <v>33</v>
      </c>
      <c r="T301" s="6">
        <v>5</v>
      </c>
      <c r="U301" t="s">
        <v>41</v>
      </c>
      <c r="V301" s="10">
        <v>1381</v>
      </c>
      <c r="W301" s="10">
        <v>961.22</v>
      </c>
      <c r="X301" s="10">
        <v>391.39</v>
      </c>
      <c r="Y301" s="11">
        <v>0.2834105720492397</v>
      </c>
      <c r="Z301" s="6">
        <v>-7</v>
      </c>
      <c r="AA301" t="s">
        <v>35</v>
      </c>
    </row>
    <row r="302" spans="1:27" x14ac:dyDescent="0.25">
      <c r="A302" t="s">
        <v>442</v>
      </c>
      <c r="B302">
        <v>152</v>
      </c>
      <c r="C302" s="9">
        <v>45848.584594907406</v>
      </c>
      <c r="D302" t="s">
        <v>148</v>
      </c>
      <c r="E302" t="s">
        <v>149</v>
      </c>
      <c r="F302" t="s">
        <v>30</v>
      </c>
      <c r="G302">
        <v>2538</v>
      </c>
      <c r="H302" s="6">
        <v>2</v>
      </c>
      <c r="I302" s="10">
        <v>358.33</v>
      </c>
      <c r="J302" s="10">
        <v>575.30999999999995</v>
      </c>
      <c r="L302" s="3">
        <v>0</v>
      </c>
      <c r="M302" t="s">
        <v>61</v>
      </c>
      <c r="N302" s="10">
        <v>128.96</v>
      </c>
      <c r="O302" t="s">
        <v>32</v>
      </c>
      <c r="P302" s="5">
        <v>45850</v>
      </c>
      <c r="Q302" s="5">
        <v>45858</v>
      </c>
      <c r="S302" t="s">
        <v>54</v>
      </c>
      <c r="T302" s="6">
        <v>4</v>
      </c>
      <c r="U302" t="s">
        <v>69</v>
      </c>
      <c r="V302" s="10">
        <v>1150.6199999999999</v>
      </c>
      <c r="W302" s="10">
        <v>716.66</v>
      </c>
      <c r="X302" s="10">
        <v>304.99999999999989</v>
      </c>
      <c r="Y302" s="11">
        <v>0.26507448158384173</v>
      </c>
      <c r="Z302" s="6"/>
      <c r="AA302" t="s">
        <v>56</v>
      </c>
    </row>
    <row r="303" spans="1:27" x14ac:dyDescent="0.25">
      <c r="A303" t="s">
        <v>443</v>
      </c>
      <c r="B303">
        <v>119</v>
      </c>
      <c r="C303" s="9">
        <v>45848.706712962958</v>
      </c>
      <c r="D303" t="s">
        <v>95</v>
      </c>
      <c r="E303" t="s">
        <v>96</v>
      </c>
      <c r="F303" t="s">
        <v>52</v>
      </c>
      <c r="G303">
        <v>501</v>
      </c>
      <c r="H303" s="6">
        <v>3</v>
      </c>
      <c r="I303" s="10">
        <v>16.760000000000002</v>
      </c>
      <c r="J303" s="10">
        <v>89.58</v>
      </c>
      <c r="K303" t="s">
        <v>60</v>
      </c>
      <c r="L303" s="3">
        <v>0.2</v>
      </c>
      <c r="M303" t="s">
        <v>61</v>
      </c>
      <c r="N303" s="10">
        <v>59.36</v>
      </c>
      <c r="O303" t="s">
        <v>32</v>
      </c>
      <c r="P303" s="5">
        <v>45849</v>
      </c>
      <c r="Q303" s="5">
        <v>45854</v>
      </c>
      <c r="R303" s="5">
        <v>45854</v>
      </c>
      <c r="S303" t="s">
        <v>33</v>
      </c>
      <c r="T303" s="6">
        <v>4</v>
      </c>
      <c r="U303" t="s">
        <v>34</v>
      </c>
      <c r="V303" s="10">
        <v>214.99199999999999</v>
      </c>
      <c r="W303" s="10">
        <v>50.28</v>
      </c>
      <c r="X303" s="10">
        <v>105.352</v>
      </c>
      <c r="Y303" s="11">
        <v>0.49002753590831288</v>
      </c>
      <c r="Z303" s="6">
        <v>0</v>
      </c>
      <c r="AA303" t="s">
        <v>35</v>
      </c>
    </row>
    <row r="304" spans="1:27" x14ac:dyDescent="0.25">
      <c r="A304" t="s">
        <v>444</v>
      </c>
      <c r="B304">
        <v>168</v>
      </c>
      <c r="C304" s="9">
        <v>45848.794710648152</v>
      </c>
      <c r="D304" t="s">
        <v>92</v>
      </c>
      <c r="E304" t="s">
        <v>93</v>
      </c>
      <c r="F304" t="s">
        <v>52</v>
      </c>
      <c r="G304">
        <v>215</v>
      </c>
      <c r="H304" s="6">
        <v>1</v>
      </c>
      <c r="I304" s="10">
        <v>27.06</v>
      </c>
      <c r="J304" s="10">
        <v>79.22</v>
      </c>
      <c r="K304" t="s">
        <v>46</v>
      </c>
      <c r="L304" s="3">
        <v>0.1</v>
      </c>
      <c r="M304" t="s">
        <v>61</v>
      </c>
      <c r="N304" s="10">
        <v>25.82</v>
      </c>
      <c r="O304" t="s">
        <v>40</v>
      </c>
      <c r="P304" s="5">
        <v>45850</v>
      </c>
      <c r="Q304" s="5">
        <v>45855</v>
      </c>
      <c r="R304" s="5">
        <v>45854</v>
      </c>
      <c r="S304" t="s">
        <v>33</v>
      </c>
      <c r="T304" s="6">
        <v>4</v>
      </c>
      <c r="U304" t="s">
        <v>166</v>
      </c>
      <c r="V304" s="10">
        <v>71.298000000000002</v>
      </c>
      <c r="W304" s="10">
        <v>27.06</v>
      </c>
      <c r="X304" s="10">
        <v>18.417999999999999</v>
      </c>
      <c r="Y304" s="11">
        <v>0.25832421666806921</v>
      </c>
      <c r="Z304" s="6">
        <v>-1</v>
      </c>
      <c r="AA304" t="s">
        <v>35</v>
      </c>
    </row>
    <row r="305" spans="1:27" x14ac:dyDescent="0.25">
      <c r="A305" t="s">
        <v>445</v>
      </c>
      <c r="B305">
        <v>111</v>
      </c>
      <c r="C305" s="9">
        <v>45848.846608796302</v>
      </c>
      <c r="D305" t="s">
        <v>37</v>
      </c>
      <c r="E305" t="s">
        <v>38</v>
      </c>
      <c r="F305" t="s">
        <v>30</v>
      </c>
      <c r="G305">
        <v>2130</v>
      </c>
      <c r="H305" s="6">
        <v>2</v>
      </c>
      <c r="I305" s="10">
        <v>761.04</v>
      </c>
      <c r="J305" s="10">
        <v>1113.3800000000001</v>
      </c>
      <c r="K305" t="s">
        <v>46</v>
      </c>
      <c r="L305" s="3">
        <v>0.1</v>
      </c>
      <c r="M305" t="s">
        <v>31</v>
      </c>
      <c r="N305" s="10">
        <v>139.69</v>
      </c>
      <c r="O305" t="s">
        <v>97</v>
      </c>
      <c r="P305" s="5">
        <v>45850</v>
      </c>
      <c r="Q305" s="5">
        <v>45858</v>
      </c>
      <c r="S305" t="s">
        <v>54</v>
      </c>
      <c r="T305" s="6">
        <v>3</v>
      </c>
      <c r="U305" t="s">
        <v>352</v>
      </c>
      <c r="V305" s="10">
        <v>2004.0840000000001</v>
      </c>
      <c r="W305" s="10">
        <v>1522.08</v>
      </c>
      <c r="X305" s="10">
        <v>342.31400000000042</v>
      </c>
      <c r="Y305" s="11">
        <v>0.17080820963592361</v>
      </c>
      <c r="Z305" s="6"/>
      <c r="AA305" t="s">
        <v>56</v>
      </c>
    </row>
    <row r="306" spans="1:27" x14ac:dyDescent="0.25">
      <c r="A306" t="s">
        <v>446</v>
      </c>
      <c r="B306">
        <v>103</v>
      </c>
      <c r="C306" s="9">
        <v>45849.751527777778</v>
      </c>
      <c r="D306" t="s">
        <v>58</v>
      </c>
      <c r="E306" t="s">
        <v>59</v>
      </c>
      <c r="F306" t="s">
        <v>30</v>
      </c>
      <c r="G306">
        <v>4194</v>
      </c>
      <c r="H306" s="6">
        <v>3</v>
      </c>
      <c r="I306" s="10">
        <v>211.37</v>
      </c>
      <c r="J306" s="10">
        <v>706.01</v>
      </c>
      <c r="K306" t="s">
        <v>46</v>
      </c>
      <c r="L306" s="3">
        <v>0.1</v>
      </c>
      <c r="M306" t="s">
        <v>76</v>
      </c>
      <c r="N306" s="10">
        <v>63.55</v>
      </c>
      <c r="O306" t="s">
        <v>157</v>
      </c>
      <c r="P306" s="5">
        <v>45851</v>
      </c>
      <c r="Q306" s="5">
        <v>45859</v>
      </c>
      <c r="S306" t="s">
        <v>63</v>
      </c>
      <c r="T306" s="6">
        <v>1</v>
      </c>
      <c r="U306" t="s">
        <v>102</v>
      </c>
      <c r="V306" s="10">
        <v>1906.2270000000001</v>
      </c>
      <c r="W306" s="10">
        <v>634.11</v>
      </c>
      <c r="X306" s="10">
        <v>1208.567</v>
      </c>
      <c r="Y306" s="11">
        <v>0.6340100103502887</v>
      </c>
      <c r="Z306" s="6"/>
      <c r="AA306" t="s">
        <v>56</v>
      </c>
    </row>
    <row r="307" spans="1:27" x14ac:dyDescent="0.25">
      <c r="A307" t="s">
        <v>447</v>
      </c>
      <c r="B307">
        <v>112</v>
      </c>
      <c r="C307" s="9">
        <v>45849.846250000002</v>
      </c>
      <c r="D307" t="s">
        <v>110</v>
      </c>
      <c r="E307" t="s">
        <v>111</v>
      </c>
      <c r="F307" t="s">
        <v>30</v>
      </c>
      <c r="G307">
        <v>2015</v>
      </c>
      <c r="H307" s="6">
        <v>2</v>
      </c>
      <c r="I307" s="10">
        <v>1199.98</v>
      </c>
      <c r="J307" s="10">
        <v>2161</v>
      </c>
      <c r="L307" s="3">
        <v>0</v>
      </c>
      <c r="M307" t="s">
        <v>39</v>
      </c>
      <c r="N307" s="10">
        <v>59.41</v>
      </c>
      <c r="O307" t="s">
        <v>264</v>
      </c>
      <c r="P307" s="5">
        <v>45850</v>
      </c>
      <c r="Q307" s="5">
        <v>45855</v>
      </c>
      <c r="R307" s="5">
        <v>45853</v>
      </c>
      <c r="S307" t="s">
        <v>33</v>
      </c>
      <c r="T307" s="6">
        <v>4</v>
      </c>
      <c r="U307" t="s">
        <v>112</v>
      </c>
      <c r="V307" s="10">
        <v>4322</v>
      </c>
      <c r="W307" s="10">
        <v>2399.96</v>
      </c>
      <c r="X307" s="10">
        <v>1862.63</v>
      </c>
      <c r="Y307" s="11">
        <v>0.43096483109671452</v>
      </c>
      <c r="Z307" s="6">
        <v>-2</v>
      </c>
      <c r="AA307" t="s">
        <v>35</v>
      </c>
    </row>
    <row r="308" spans="1:27" x14ac:dyDescent="0.25">
      <c r="A308" t="s">
        <v>448</v>
      </c>
      <c r="B308">
        <v>33</v>
      </c>
      <c r="C308" s="9">
        <v>45849.928032407413</v>
      </c>
      <c r="D308" t="s">
        <v>92</v>
      </c>
      <c r="E308" t="s">
        <v>93</v>
      </c>
      <c r="F308" t="s">
        <v>52</v>
      </c>
      <c r="G308">
        <v>287</v>
      </c>
      <c r="H308" s="6">
        <v>2</v>
      </c>
      <c r="I308" s="10">
        <v>29.26</v>
      </c>
      <c r="J308" s="10">
        <v>100.19</v>
      </c>
      <c r="K308" t="s">
        <v>60</v>
      </c>
      <c r="L308" s="3">
        <v>0.2</v>
      </c>
      <c r="M308" t="s">
        <v>39</v>
      </c>
      <c r="N308" s="10">
        <v>44.56</v>
      </c>
      <c r="O308" t="s">
        <v>47</v>
      </c>
      <c r="P308" s="5">
        <v>45850</v>
      </c>
      <c r="Q308" s="5">
        <v>45858</v>
      </c>
      <c r="R308" s="5">
        <v>45858</v>
      </c>
      <c r="S308" t="s">
        <v>33</v>
      </c>
      <c r="T308" s="6">
        <v>5</v>
      </c>
      <c r="U308" t="s">
        <v>166</v>
      </c>
      <c r="V308" s="10">
        <v>160.304</v>
      </c>
      <c r="W308" s="10">
        <v>58.52</v>
      </c>
      <c r="X308" s="10">
        <v>57.22399999999999</v>
      </c>
      <c r="Y308" s="11">
        <v>0.35697175366803069</v>
      </c>
      <c r="Z308" s="6">
        <v>0</v>
      </c>
      <c r="AA308" t="s">
        <v>35</v>
      </c>
    </row>
    <row r="309" spans="1:27" x14ac:dyDescent="0.25">
      <c r="A309" t="s">
        <v>449</v>
      </c>
      <c r="B309">
        <v>169</v>
      </c>
      <c r="C309" s="9">
        <v>45850.057997685188</v>
      </c>
      <c r="D309" t="s">
        <v>86</v>
      </c>
      <c r="E309" t="s">
        <v>87</v>
      </c>
      <c r="F309" t="s">
        <v>45</v>
      </c>
      <c r="G309">
        <v>0</v>
      </c>
      <c r="H309" s="6">
        <v>3</v>
      </c>
      <c r="I309" s="10">
        <v>90.75</v>
      </c>
      <c r="J309" s="10">
        <v>184.15</v>
      </c>
      <c r="L309" s="3">
        <v>0</v>
      </c>
      <c r="M309" t="s">
        <v>61</v>
      </c>
      <c r="N309" s="10">
        <v>15.57</v>
      </c>
      <c r="O309" t="s">
        <v>32</v>
      </c>
      <c r="P309" s="5">
        <v>45851</v>
      </c>
      <c r="Q309" s="5">
        <v>45856</v>
      </c>
      <c r="S309" t="s">
        <v>54</v>
      </c>
      <c r="T309" s="6">
        <v>3</v>
      </c>
      <c r="U309" t="s">
        <v>230</v>
      </c>
      <c r="V309" s="10">
        <v>552.45000000000005</v>
      </c>
      <c r="W309" s="10">
        <v>272.25</v>
      </c>
      <c r="X309" s="10">
        <v>264.63000000000011</v>
      </c>
      <c r="Y309" s="11">
        <v>0.47901167526472987</v>
      </c>
      <c r="Z309" s="6"/>
      <c r="AA309" t="s">
        <v>56</v>
      </c>
    </row>
    <row r="310" spans="1:27" x14ac:dyDescent="0.25">
      <c r="A310" t="s">
        <v>450</v>
      </c>
      <c r="B310">
        <v>136</v>
      </c>
      <c r="C310" s="9">
        <v>45850.150312500002</v>
      </c>
      <c r="D310" t="s">
        <v>155</v>
      </c>
      <c r="E310" t="s">
        <v>156</v>
      </c>
      <c r="F310" t="s">
        <v>30</v>
      </c>
      <c r="G310">
        <v>3798</v>
      </c>
      <c r="H310" s="6">
        <v>3</v>
      </c>
      <c r="I310" s="10">
        <v>662.24</v>
      </c>
      <c r="J310" s="10">
        <v>1203.8699999999999</v>
      </c>
      <c r="L310" s="3">
        <v>0</v>
      </c>
      <c r="M310" t="s">
        <v>31</v>
      </c>
      <c r="N310" s="10">
        <v>54.3</v>
      </c>
      <c r="O310" t="s">
        <v>68</v>
      </c>
      <c r="P310" s="5">
        <v>45852</v>
      </c>
      <c r="Q310" s="5">
        <v>45857</v>
      </c>
      <c r="R310" s="5">
        <v>45856</v>
      </c>
      <c r="S310" t="s">
        <v>33</v>
      </c>
      <c r="T310" s="6">
        <v>4</v>
      </c>
      <c r="U310" t="s">
        <v>48</v>
      </c>
      <c r="V310" s="10">
        <v>3611.61</v>
      </c>
      <c r="W310" s="10">
        <v>1986.72</v>
      </c>
      <c r="X310" s="10">
        <v>1570.59</v>
      </c>
      <c r="Y310" s="11">
        <v>0.43487253607117038</v>
      </c>
      <c r="Z310" s="6">
        <v>-1</v>
      </c>
      <c r="AA310" t="s">
        <v>35</v>
      </c>
    </row>
    <row r="311" spans="1:27" x14ac:dyDescent="0.25">
      <c r="A311" t="s">
        <v>451</v>
      </c>
      <c r="B311">
        <v>195</v>
      </c>
      <c r="C311" s="9">
        <v>45850.183657407397</v>
      </c>
      <c r="D311" t="s">
        <v>71</v>
      </c>
      <c r="E311" t="s">
        <v>72</v>
      </c>
      <c r="F311" t="s">
        <v>52</v>
      </c>
      <c r="G311">
        <v>232</v>
      </c>
      <c r="H311" s="6">
        <v>3</v>
      </c>
      <c r="I311" s="10">
        <v>79.23</v>
      </c>
      <c r="J311" s="10">
        <v>118.45</v>
      </c>
      <c r="L311" s="3">
        <v>0</v>
      </c>
      <c r="M311" t="s">
        <v>39</v>
      </c>
      <c r="N311" s="10">
        <v>40.56</v>
      </c>
      <c r="O311" t="s">
        <v>133</v>
      </c>
      <c r="P311" s="5">
        <v>45852</v>
      </c>
      <c r="Q311" s="5">
        <v>45857</v>
      </c>
      <c r="R311" s="5">
        <v>45854</v>
      </c>
      <c r="S311" t="s">
        <v>33</v>
      </c>
      <c r="T311" s="6">
        <v>5</v>
      </c>
      <c r="U311" t="s">
        <v>79</v>
      </c>
      <c r="V311" s="10">
        <v>355.35</v>
      </c>
      <c r="W311" s="10">
        <v>237.69</v>
      </c>
      <c r="X311" s="10">
        <v>77.100000000000023</v>
      </c>
      <c r="Y311" s="11">
        <v>0.21696918531025761</v>
      </c>
      <c r="Z311" s="6">
        <v>-3</v>
      </c>
      <c r="AA311" t="s">
        <v>35</v>
      </c>
    </row>
    <row r="312" spans="1:27" x14ac:dyDescent="0.25">
      <c r="A312" t="s">
        <v>452</v>
      </c>
      <c r="B312">
        <v>22</v>
      </c>
      <c r="C312" s="9">
        <v>45850.291331018518</v>
      </c>
      <c r="D312" t="s">
        <v>114</v>
      </c>
      <c r="E312" t="s">
        <v>115</v>
      </c>
      <c r="F312" t="s">
        <v>116</v>
      </c>
      <c r="G312">
        <v>0</v>
      </c>
      <c r="H312" s="6">
        <v>1</v>
      </c>
      <c r="I312" s="10">
        <v>493.84</v>
      </c>
      <c r="J312" s="10">
        <v>714.49</v>
      </c>
      <c r="L312" s="3">
        <v>0</v>
      </c>
      <c r="M312" t="s">
        <v>39</v>
      </c>
      <c r="N312" s="10">
        <v>26.96</v>
      </c>
      <c r="O312" t="s">
        <v>157</v>
      </c>
      <c r="P312" s="5">
        <v>45852</v>
      </c>
      <c r="Q312" s="5">
        <v>45860</v>
      </c>
      <c r="R312" s="5">
        <v>45858</v>
      </c>
      <c r="S312" t="s">
        <v>33</v>
      </c>
      <c r="T312" s="6">
        <v>5</v>
      </c>
      <c r="U312" t="s">
        <v>119</v>
      </c>
      <c r="V312" s="10">
        <v>714.49</v>
      </c>
      <c r="W312" s="10">
        <v>493.84</v>
      </c>
      <c r="X312" s="10">
        <v>193.69</v>
      </c>
      <c r="Y312" s="11">
        <v>0.27108846869795239</v>
      </c>
      <c r="Z312" s="6">
        <v>-2</v>
      </c>
      <c r="AA312" t="s">
        <v>35</v>
      </c>
    </row>
    <row r="313" spans="1:27" x14ac:dyDescent="0.25">
      <c r="A313" t="s">
        <v>453</v>
      </c>
      <c r="B313">
        <v>166</v>
      </c>
      <c r="C313" s="9">
        <v>45850.671111111107</v>
      </c>
      <c r="D313" t="s">
        <v>37</v>
      </c>
      <c r="E313" t="s">
        <v>38</v>
      </c>
      <c r="F313" t="s">
        <v>30</v>
      </c>
      <c r="G313">
        <v>2255</v>
      </c>
      <c r="H313" s="6">
        <v>2</v>
      </c>
      <c r="I313" s="10">
        <v>762.32</v>
      </c>
      <c r="J313" s="10">
        <v>1377.09</v>
      </c>
      <c r="K313" t="s">
        <v>46</v>
      </c>
      <c r="L313" s="3">
        <v>0.1</v>
      </c>
      <c r="M313" t="s">
        <v>31</v>
      </c>
      <c r="N313" s="10">
        <v>76.3</v>
      </c>
      <c r="O313" t="s">
        <v>32</v>
      </c>
      <c r="P313" s="5">
        <v>45852</v>
      </c>
      <c r="Q313" s="5">
        <v>45858</v>
      </c>
      <c r="R313" s="5">
        <v>45856</v>
      </c>
      <c r="S313" t="s">
        <v>33</v>
      </c>
      <c r="T313" s="6">
        <v>4</v>
      </c>
      <c r="U313" t="s">
        <v>211</v>
      </c>
      <c r="V313" s="10">
        <v>2478.7620000000002</v>
      </c>
      <c r="W313" s="10">
        <v>1524.64</v>
      </c>
      <c r="X313" s="10">
        <v>877.82199999999966</v>
      </c>
      <c r="Y313" s="11">
        <v>0.35413726690985248</v>
      </c>
      <c r="Z313" s="6">
        <v>-2</v>
      </c>
      <c r="AA313" t="s">
        <v>35</v>
      </c>
    </row>
    <row r="314" spans="1:27" x14ac:dyDescent="0.25">
      <c r="A314" t="s">
        <v>454</v>
      </c>
      <c r="B314">
        <v>12</v>
      </c>
      <c r="C314" s="9">
        <v>45851.079189814824</v>
      </c>
      <c r="D314" t="s">
        <v>58</v>
      </c>
      <c r="E314" t="s">
        <v>59</v>
      </c>
      <c r="F314" t="s">
        <v>30</v>
      </c>
      <c r="G314">
        <v>4278</v>
      </c>
      <c r="H314" s="6">
        <v>2</v>
      </c>
      <c r="I314" s="10">
        <v>207.35</v>
      </c>
      <c r="J314" s="10">
        <v>484.15</v>
      </c>
      <c r="L314" s="3">
        <v>0</v>
      </c>
      <c r="M314" t="s">
        <v>31</v>
      </c>
      <c r="N314" s="10">
        <v>123.21</v>
      </c>
      <c r="O314" t="s">
        <v>264</v>
      </c>
      <c r="P314" s="5">
        <v>45852</v>
      </c>
      <c r="Q314" s="5">
        <v>45859</v>
      </c>
      <c r="R314" s="5">
        <v>45854</v>
      </c>
      <c r="S314" t="s">
        <v>33</v>
      </c>
      <c r="T314" s="6">
        <v>4</v>
      </c>
      <c r="U314" t="s">
        <v>77</v>
      </c>
      <c r="V314" s="10">
        <v>968.3</v>
      </c>
      <c r="W314" s="10">
        <v>414.7</v>
      </c>
      <c r="X314" s="10">
        <v>430.38999999999987</v>
      </c>
      <c r="Y314" s="11">
        <v>0.44448001652380448</v>
      </c>
      <c r="Z314" s="6">
        <v>-5</v>
      </c>
      <c r="AA314" t="s">
        <v>35</v>
      </c>
    </row>
    <row r="315" spans="1:27" x14ac:dyDescent="0.25">
      <c r="A315" t="s">
        <v>455</v>
      </c>
      <c r="B315">
        <v>187</v>
      </c>
      <c r="C315" s="9">
        <v>45852.349745370368</v>
      </c>
      <c r="D315" t="s">
        <v>198</v>
      </c>
      <c r="E315" t="s">
        <v>199</v>
      </c>
      <c r="F315" t="s">
        <v>116</v>
      </c>
      <c r="G315">
        <v>0</v>
      </c>
      <c r="H315" s="6">
        <v>1</v>
      </c>
      <c r="I315" s="10">
        <v>301.08</v>
      </c>
      <c r="J315" s="10">
        <v>566.33000000000004</v>
      </c>
      <c r="K315" t="s">
        <v>46</v>
      </c>
      <c r="L315" s="3">
        <v>0.1</v>
      </c>
      <c r="M315" t="s">
        <v>76</v>
      </c>
      <c r="N315" s="10">
        <v>20.63</v>
      </c>
      <c r="O315" t="s">
        <v>99</v>
      </c>
      <c r="P315" s="5">
        <v>45854</v>
      </c>
      <c r="Q315" s="5">
        <v>45864</v>
      </c>
      <c r="R315" s="5">
        <v>45864</v>
      </c>
      <c r="S315" t="s">
        <v>33</v>
      </c>
      <c r="T315" s="6">
        <v>4</v>
      </c>
      <c r="U315" t="s">
        <v>79</v>
      </c>
      <c r="V315" s="10">
        <v>509.69700000000012</v>
      </c>
      <c r="W315" s="10">
        <v>301.08</v>
      </c>
      <c r="X315" s="10">
        <v>187.98700000000011</v>
      </c>
      <c r="Y315" s="11">
        <v>0.36882108389886548</v>
      </c>
      <c r="Z315" s="6">
        <v>0</v>
      </c>
      <c r="AA315" t="s">
        <v>35</v>
      </c>
    </row>
    <row r="316" spans="1:27" x14ac:dyDescent="0.25">
      <c r="A316" t="s">
        <v>456</v>
      </c>
      <c r="B316">
        <v>179</v>
      </c>
      <c r="C316" s="9">
        <v>45853.438923611109</v>
      </c>
      <c r="D316" t="s">
        <v>123</v>
      </c>
      <c r="E316" t="s">
        <v>124</v>
      </c>
      <c r="F316" t="s">
        <v>45</v>
      </c>
      <c r="G316">
        <v>0</v>
      </c>
      <c r="H316" s="6">
        <v>1</v>
      </c>
      <c r="I316" s="10">
        <v>116.99</v>
      </c>
      <c r="J316" s="10">
        <v>200.2</v>
      </c>
      <c r="K316" t="s">
        <v>60</v>
      </c>
      <c r="L316" s="3">
        <v>0.2</v>
      </c>
      <c r="M316" t="s">
        <v>39</v>
      </c>
      <c r="N316" s="10">
        <v>28.29</v>
      </c>
      <c r="O316" t="s">
        <v>83</v>
      </c>
      <c r="P316" s="5">
        <v>45855</v>
      </c>
      <c r="Q316" s="5">
        <v>45863</v>
      </c>
      <c r="R316" s="5">
        <v>45859</v>
      </c>
      <c r="S316" t="s">
        <v>33</v>
      </c>
      <c r="T316" s="6">
        <v>5</v>
      </c>
      <c r="U316" t="s">
        <v>41</v>
      </c>
      <c r="V316" s="10">
        <v>160.16</v>
      </c>
      <c r="W316" s="10">
        <v>116.99</v>
      </c>
      <c r="X316" s="10">
        <v>14.88</v>
      </c>
      <c r="Y316" s="11">
        <v>9.2907092907092925E-2</v>
      </c>
      <c r="Z316" s="6">
        <v>-4</v>
      </c>
      <c r="AA316" t="s">
        <v>35</v>
      </c>
    </row>
    <row r="317" spans="1:27" x14ac:dyDescent="0.25">
      <c r="A317" t="s">
        <v>457</v>
      </c>
      <c r="B317">
        <v>194</v>
      </c>
      <c r="C317" s="9">
        <v>45853.470659722218</v>
      </c>
      <c r="D317" t="s">
        <v>89</v>
      </c>
      <c r="E317" t="s">
        <v>90</v>
      </c>
      <c r="F317" t="s">
        <v>52</v>
      </c>
      <c r="G317">
        <v>207</v>
      </c>
      <c r="H317" s="6">
        <v>1</v>
      </c>
      <c r="I317" s="10">
        <v>77.78</v>
      </c>
      <c r="J317" s="10">
        <v>96</v>
      </c>
      <c r="L317" s="3">
        <v>0</v>
      </c>
      <c r="M317" t="s">
        <v>39</v>
      </c>
      <c r="N317" s="10">
        <v>28.91</v>
      </c>
      <c r="O317" t="s">
        <v>47</v>
      </c>
      <c r="P317" s="5">
        <v>45854</v>
      </c>
      <c r="Q317" s="5">
        <v>45864</v>
      </c>
      <c r="R317" s="5">
        <v>45856</v>
      </c>
      <c r="S317" t="s">
        <v>33</v>
      </c>
      <c r="T317" s="6">
        <v>5</v>
      </c>
      <c r="U317" t="s">
        <v>34</v>
      </c>
      <c r="V317" s="10">
        <v>96</v>
      </c>
      <c r="W317" s="10">
        <v>77.78</v>
      </c>
      <c r="X317" s="10">
        <v>-10.69</v>
      </c>
      <c r="Y317" s="11">
        <v>-0.1113541666666667</v>
      </c>
      <c r="Z317" s="6">
        <v>-8</v>
      </c>
      <c r="AA317" t="s">
        <v>35</v>
      </c>
    </row>
    <row r="318" spans="1:27" x14ac:dyDescent="0.25">
      <c r="A318" t="s">
        <v>458</v>
      </c>
      <c r="B318">
        <v>80</v>
      </c>
      <c r="C318" s="9">
        <v>45853.824953703697</v>
      </c>
      <c r="D318" t="s">
        <v>198</v>
      </c>
      <c r="E318" t="s">
        <v>199</v>
      </c>
      <c r="F318" t="s">
        <v>116</v>
      </c>
      <c r="G318">
        <v>0</v>
      </c>
      <c r="H318" s="6">
        <v>3</v>
      </c>
      <c r="I318" s="10">
        <v>384.4</v>
      </c>
      <c r="J318" s="10">
        <v>778.32</v>
      </c>
      <c r="K318" t="s">
        <v>60</v>
      </c>
      <c r="L318" s="3">
        <v>0.2</v>
      </c>
      <c r="M318" t="s">
        <v>76</v>
      </c>
      <c r="N318" s="10">
        <v>15.03</v>
      </c>
      <c r="O318" t="s">
        <v>53</v>
      </c>
      <c r="P318" s="5">
        <v>45855</v>
      </c>
      <c r="Q318" s="5">
        <v>45864</v>
      </c>
      <c r="R318" s="5">
        <v>45868</v>
      </c>
      <c r="S318" t="s">
        <v>33</v>
      </c>
      <c r="T318" s="6">
        <v>2</v>
      </c>
      <c r="U318" t="s">
        <v>162</v>
      </c>
      <c r="V318" s="10">
        <v>1867.9680000000001</v>
      </c>
      <c r="W318" s="10">
        <v>1153.2</v>
      </c>
      <c r="X318" s="10">
        <v>699.73800000000028</v>
      </c>
      <c r="Y318" s="11">
        <v>0.37459849419262009</v>
      </c>
      <c r="Z318" s="6">
        <v>4</v>
      </c>
      <c r="AA318" t="s">
        <v>103</v>
      </c>
    </row>
    <row r="319" spans="1:27" x14ac:dyDescent="0.25">
      <c r="A319" t="s">
        <v>459</v>
      </c>
      <c r="B319">
        <v>110</v>
      </c>
      <c r="C319" s="9">
        <v>45853.949594907397</v>
      </c>
      <c r="D319" t="s">
        <v>95</v>
      </c>
      <c r="E319" t="s">
        <v>96</v>
      </c>
      <c r="F319" t="s">
        <v>52</v>
      </c>
      <c r="G319">
        <v>454</v>
      </c>
      <c r="H319" s="6">
        <v>2</v>
      </c>
      <c r="I319" s="10">
        <v>48.07</v>
      </c>
      <c r="J319" s="10">
        <v>74.3</v>
      </c>
      <c r="L319" s="3">
        <v>0</v>
      </c>
      <c r="M319" t="s">
        <v>61</v>
      </c>
      <c r="N319" s="10">
        <v>50.07</v>
      </c>
      <c r="O319" t="s">
        <v>99</v>
      </c>
      <c r="P319" s="5">
        <v>45855</v>
      </c>
      <c r="Q319" s="5">
        <v>45863</v>
      </c>
      <c r="S319" t="s">
        <v>54</v>
      </c>
      <c r="T319" s="6">
        <v>2</v>
      </c>
      <c r="U319" t="s">
        <v>102</v>
      </c>
      <c r="V319" s="10">
        <v>148.6</v>
      </c>
      <c r="W319" s="10">
        <v>96.14</v>
      </c>
      <c r="X319" s="10">
        <v>2.389999999999993</v>
      </c>
      <c r="Y319" s="11">
        <v>1.6083445491251638E-2</v>
      </c>
      <c r="Z319" s="6"/>
      <c r="AA319" t="s">
        <v>56</v>
      </c>
    </row>
    <row r="320" spans="1:27" x14ac:dyDescent="0.25">
      <c r="A320" t="s">
        <v>460</v>
      </c>
      <c r="B320">
        <v>40</v>
      </c>
      <c r="C320" s="9">
        <v>45854.262083333328</v>
      </c>
      <c r="D320" t="s">
        <v>71</v>
      </c>
      <c r="E320" t="s">
        <v>72</v>
      </c>
      <c r="F320" t="s">
        <v>52</v>
      </c>
      <c r="G320">
        <v>266</v>
      </c>
      <c r="H320" s="6">
        <v>1</v>
      </c>
      <c r="I320" s="10">
        <v>37.520000000000003</v>
      </c>
      <c r="J320" s="10">
        <v>122.49</v>
      </c>
      <c r="L320" s="3">
        <v>0</v>
      </c>
      <c r="M320" t="s">
        <v>31</v>
      </c>
      <c r="N320" s="10">
        <v>37.090000000000003</v>
      </c>
      <c r="O320" t="s">
        <v>97</v>
      </c>
      <c r="P320" s="5">
        <v>45856</v>
      </c>
      <c r="Q320" s="5">
        <v>45862</v>
      </c>
      <c r="R320" s="5">
        <v>45867</v>
      </c>
      <c r="S320" t="s">
        <v>33</v>
      </c>
      <c r="T320" s="6">
        <v>1</v>
      </c>
      <c r="U320" t="s">
        <v>461</v>
      </c>
      <c r="V320" s="10">
        <v>122.49</v>
      </c>
      <c r="W320" s="10">
        <v>37.520000000000003</v>
      </c>
      <c r="X320" s="10">
        <v>47.88</v>
      </c>
      <c r="Y320" s="11">
        <v>0.39088905216752379</v>
      </c>
      <c r="Z320" s="6">
        <v>5</v>
      </c>
      <c r="AA320" t="s">
        <v>103</v>
      </c>
    </row>
    <row r="321" spans="1:27" x14ac:dyDescent="0.25">
      <c r="A321" t="s">
        <v>462</v>
      </c>
      <c r="B321">
        <v>46</v>
      </c>
      <c r="C321" s="9">
        <v>45855.510972222219</v>
      </c>
      <c r="D321" t="s">
        <v>92</v>
      </c>
      <c r="E321" t="s">
        <v>93</v>
      </c>
      <c r="F321" t="s">
        <v>52</v>
      </c>
      <c r="G321">
        <v>221</v>
      </c>
      <c r="H321" s="6">
        <v>3</v>
      </c>
      <c r="I321" s="10">
        <v>54.69</v>
      </c>
      <c r="J321" s="10">
        <v>74.16</v>
      </c>
      <c r="K321" t="s">
        <v>60</v>
      </c>
      <c r="L321" s="3">
        <v>0.2</v>
      </c>
      <c r="M321" t="s">
        <v>31</v>
      </c>
      <c r="N321" s="10">
        <v>50.27</v>
      </c>
      <c r="O321" t="s">
        <v>68</v>
      </c>
      <c r="P321" s="5">
        <v>45857</v>
      </c>
      <c r="Q321" s="5">
        <v>45863</v>
      </c>
      <c r="R321" s="5">
        <v>45859</v>
      </c>
      <c r="S321" t="s">
        <v>33</v>
      </c>
      <c r="T321" s="6">
        <v>4</v>
      </c>
      <c r="U321" t="s">
        <v>112</v>
      </c>
      <c r="V321" s="10">
        <v>177.98400000000001</v>
      </c>
      <c r="W321" s="10">
        <v>164.07</v>
      </c>
      <c r="X321" s="10">
        <v>-36.355999999999987</v>
      </c>
      <c r="Y321" s="11">
        <v>-0.20426555195972659</v>
      </c>
      <c r="Z321" s="6">
        <v>-4</v>
      </c>
      <c r="AA321" t="s">
        <v>35</v>
      </c>
    </row>
    <row r="322" spans="1:27" x14ac:dyDescent="0.25">
      <c r="A322" t="s">
        <v>463</v>
      </c>
      <c r="B322">
        <v>40</v>
      </c>
      <c r="C322" s="9">
        <v>45855.966597222221</v>
      </c>
      <c r="D322" t="s">
        <v>86</v>
      </c>
      <c r="E322" t="s">
        <v>87</v>
      </c>
      <c r="F322" t="s">
        <v>45</v>
      </c>
      <c r="G322">
        <v>0</v>
      </c>
      <c r="H322" s="6">
        <v>2</v>
      </c>
      <c r="I322" s="10">
        <v>89.48</v>
      </c>
      <c r="J322" s="10">
        <v>171.29</v>
      </c>
      <c r="L322" s="3">
        <v>0</v>
      </c>
      <c r="M322" t="s">
        <v>61</v>
      </c>
      <c r="N322" s="10">
        <v>15.36</v>
      </c>
      <c r="O322" t="s">
        <v>40</v>
      </c>
      <c r="P322" s="5">
        <v>45856</v>
      </c>
      <c r="Q322" s="5">
        <v>45861</v>
      </c>
      <c r="R322" s="5">
        <v>45860</v>
      </c>
      <c r="S322" t="s">
        <v>33</v>
      </c>
      <c r="T322" s="6">
        <v>5</v>
      </c>
      <c r="U322" t="s">
        <v>119</v>
      </c>
      <c r="V322" s="10">
        <v>342.58</v>
      </c>
      <c r="W322" s="10">
        <v>178.96</v>
      </c>
      <c r="X322" s="10">
        <v>148.26</v>
      </c>
      <c r="Y322" s="11">
        <v>0.43277482631794029</v>
      </c>
      <c r="Z322" s="6">
        <v>-1</v>
      </c>
      <c r="AA322" t="s">
        <v>35</v>
      </c>
    </row>
    <row r="323" spans="1:27" x14ac:dyDescent="0.25">
      <c r="A323" t="s">
        <v>464</v>
      </c>
      <c r="B323">
        <v>43</v>
      </c>
      <c r="C323" s="9">
        <v>45856.016145833331</v>
      </c>
      <c r="D323" t="s">
        <v>110</v>
      </c>
      <c r="E323" t="s">
        <v>111</v>
      </c>
      <c r="F323" t="s">
        <v>30</v>
      </c>
      <c r="G323">
        <v>2020</v>
      </c>
      <c r="H323" s="6">
        <v>1</v>
      </c>
      <c r="I323" s="10">
        <v>810.43</v>
      </c>
      <c r="J323" s="10">
        <v>2415.2800000000002</v>
      </c>
      <c r="L323" s="3">
        <v>0</v>
      </c>
      <c r="M323" t="s">
        <v>31</v>
      </c>
      <c r="N323" s="10">
        <v>110.92</v>
      </c>
      <c r="O323" t="s">
        <v>40</v>
      </c>
      <c r="P323" s="5">
        <v>45857</v>
      </c>
      <c r="Q323" s="5">
        <v>45866</v>
      </c>
      <c r="R323" s="5">
        <v>45865</v>
      </c>
      <c r="S323" t="s">
        <v>33</v>
      </c>
      <c r="T323" s="6">
        <v>5</v>
      </c>
      <c r="U323" t="s">
        <v>79</v>
      </c>
      <c r="V323" s="10">
        <v>2415.2800000000002</v>
      </c>
      <c r="W323" s="10">
        <v>810.43</v>
      </c>
      <c r="X323" s="10">
        <v>1493.93</v>
      </c>
      <c r="Y323" s="11">
        <v>0.61853284091285488</v>
      </c>
      <c r="Z323" s="6">
        <v>-1</v>
      </c>
      <c r="AA323" t="s">
        <v>35</v>
      </c>
    </row>
    <row r="324" spans="1:27" x14ac:dyDescent="0.25">
      <c r="A324" t="s">
        <v>465</v>
      </c>
      <c r="B324">
        <v>120</v>
      </c>
      <c r="C324" s="9">
        <v>45857.249571759261</v>
      </c>
      <c r="D324" t="s">
        <v>66</v>
      </c>
      <c r="E324" t="s">
        <v>67</v>
      </c>
      <c r="F324" t="s">
        <v>52</v>
      </c>
      <c r="G324">
        <v>260</v>
      </c>
      <c r="H324" s="6">
        <v>2</v>
      </c>
      <c r="I324" s="10">
        <v>67.7</v>
      </c>
      <c r="J324" s="10">
        <v>119.81</v>
      </c>
      <c r="L324" s="3">
        <v>0</v>
      </c>
      <c r="M324" t="s">
        <v>31</v>
      </c>
      <c r="N324" s="10">
        <v>54.75</v>
      </c>
      <c r="O324" t="s">
        <v>157</v>
      </c>
      <c r="P324" s="5">
        <v>45859</v>
      </c>
      <c r="Q324" s="5">
        <v>45867</v>
      </c>
      <c r="S324" t="s">
        <v>63</v>
      </c>
      <c r="T324" s="6">
        <v>1</v>
      </c>
      <c r="U324" t="s">
        <v>129</v>
      </c>
      <c r="V324" s="10">
        <v>239.62</v>
      </c>
      <c r="W324" s="10">
        <v>135.4</v>
      </c>
      <c r="X324" s="10">
        <v>49.47</v>
      </c>
      <c r="Y324" s="11">
        <v>0.2064518821467323</v>
      </c>
      <c r="Z324" s="6"/>
      <c r="AA324" t="s">
        <v>56</v>
      </c>
    </row>
    <row r="325" spans="1:27" x14ac:dyDescent="0.25">
      <c r="A325" t="s">
        <v>466</v>
      </c>
      <c r="B325">
        <v>137</v>
      </c>
      <c r="C325" s="9">
        <v>45857.612060185187</v>
      </c>
      <c r="D325" t="s">
        <v>81</v>
      </c>
      <c r="E325" t="s">
        <v>82</v>
      </c>
      <c r="F325" t="s">
        <v>45</v>
      </c>
      <c r="G325">
        <v>0</v>
      </c>
      <c r="H325" s="6">
        <v>1</v>
      </c>
      <c r="I325" s="10">
        <v>100.9</v>
      </c>
      <c r="J325" s="10">
        <v>150.82</v>
      </c>
      <c r="L325" s="3">
        <v>0</v>
      </c>
      <c r="M325" t="s">
        <v>39</v>
      </c>
      <c r="N325" s="10">
        <v>18.75</v>
      </c>
      <c r="O325" t="s">
        <v>264</v>
      </c>
      <c r="P325" s="5">
        <v>45859</v>
      </c>
      <c r="Q325" s="5">
        <v>45865</v>
      </c>
      <c r="R325" s="5">
        <v>45862</v>
      </c>
      <c r="S325" t="s">
        <v>33</v>
      </c>
      <c r="T325" s="6">
        <v>5</v>
      </c>
      <c r="U325" t="s">
        <v>117</v>
      </c>
      <c r="V325" s="10">
        <v>150.82</v>
      </c>
      <c r="W325" s="10">
        <v>100.9</v>
      </c>
      <c r="X325" s="10">
        <v>31.169999999999991</v>
      </c>
      <c r="Y325" s="11">
        <v>0.20667020289086321</v>
      </c>
      <c r="Z325" s="6">
        <v>-3</v>
      </c>
      <c r="AA325" t="s">
        <v>35</v>
      </c>
    </row>
    <row r="326" spans="1:27" x14ac:dyDescent="0.25">
      <c r="A326" t="s">
        <v>467</v>
      </c>
      <c r="B326">
        <v>173</v>
      </c>
      <c r="C326" s="9">
        <v>45857.931562500002</v>
      </c>
      <c r="D326" t="s">
        <v>92</v>
      </c>
      <c r="E326" t="s">
        <v>93</v>
      </c>
      <c r="F326" t="s">
        <v>52</v>
      </c>
      <c r="G326">
        <v>260</v>
      </c>
      <c r="H326" s="6">
        <v>3</v>
      </c>
      <c r="I326" s="10">
        <v>45.7</v>
      </c>
      <c r="J326" s="10">
        <v>90.97</v>
      </c>
      <c r="K326" t="s">
        <v>46</v>
      </c>
      <c r="L326" s="3">
        <v>0.1</v>
      </c>
      <c r="M326" t="s">
        <v>76</v>
      </c>
      <c r="N326" s="10">
        <v>34.99</v>
      </c>
      <c r="O326" t="s">
        <v>47</v>
      </c>
      <c r="P326" s="5">
        <v>45859</v>
      </c>
      <c r="Q326" s="5">
        <v>45866</v>
      </c>
      <c r="R326" s="5">
        <v>45861</v>
      </c>
      <c r="S326" t="s">
        <v>33</v>
      </c>
      <c r="T326" s="6">
        <v>5</v>
      </c>
      <c r="U326" t="s">
        <v>112</v>
      </c>
      <c r="V326" s="10">
        <v>245.619</v>
      </c>
      <c r="W326" s="10">
        <v>137.1</v>
      </c>
      <c r="X326" s="10">
        <v>73.52899999999994</v>
      </c>
      <c r="Y326" s="11">
        <v>0.29936202003916612</v>
      </c>
      <c r="Z326" s="6">
        <v>-5</v>
      </c>
      <c r="AA326" t="s">
        <v>35</v>
      </c>
    </row>
    <row r="327" spans="1:27" x14ac:dyDescent="0.25">
      <c r="A327" t="s">
        <v>468</v>
      </c>
      <c r="B327">
        <v>105</v>
      </c>
      <c r="C327" s="9">
        <v>45858.270740740743</v>
      </c>
      <c r="D327" t="s">
        <v>66</v>
      </c>
      <c r="E327" t="s">
        <v>67</v>
      </c>
      <c r="F327" t="s">
        <v>52</v>
      </c>
      <c r="G327">
        <v>269</v>
      </c>
      <c r="H327" s="6">
        <v>2</v>
      </c>
      <c r="I327" s="10">
        <v>76.12</v>
      </c>
      <c r="J327" s="10">
        <v>135.33000000000001</v>
      </c>
      <c r="K327" t="s">
        <v>46</v>
      </c>
      <c r="L327" s="3">
        <v>0.1</v>
      </c>
      <c r="M327" t="s">
        <v>76</v>
      </c>
      <c r="N327" s="10">
        <v>58.31</v>
      </c>
      <c r="O327" t="s">
        <v>101</v>
      </c>
      <c r="P327" s="5">
        <v>45860</v>
      </c>
      <c r="Q327" s="5">
        <v>45868</v>
      </c>
      <c r="S327" t="s">
        <v>63</v>
      </c>
      <c r="T327" s="6">
        <v>3</v>
      </c>
      <c r="U327" t="s">
        <v>146</v>
      </c>
      <c r="V327" s="10">
        <v>243.59399999999999</v>
      </c>
      <c r="W327" s="10">
        <v>152.24</v>
      </c>
      <c r="X327" s="10">
        <v>33.044000000000011</v>
      </c>
      <c r="Y327" s="11">
        <v>0.13565194545021639</v>
      </c>
      <c r="Z327" s="6"/>
      <c r="AA327" t="s">
        <v>56</v>
      </c>
    </row>
    <row r="328" spans="1:27" x14ac:dyDescent="0.25">
      <c r="A328" t="s">
        <v>469</v>
      </c>
      <c r="B328">
        <v>49</v>
      </c>
      <c r="C328" s="9">
        <v>45858.916064814817</v>
      </c>
      <c r="D328" t="s">
        <v>74</v>
      </c>
      <c r="E328" t="s">
        <v>75</v>
      </c>
      <c r="F328" t="s">
        <v>30</v>
      </c>
      <c r="G328">
        <v>2489</v>
      </c>
      <c r="H328" s="6">
        <v>1</v>
      </c>
      <c r="I328" s="10">
        <v>2319.36</v>
      </c>
      <c r="J328" s="10">
        <v>4356.67</v>
      </c>
      <c r="L328" s="3">
        <v>0</v>
      </c>
      <c r="M328" t="s">
        <v>76</v>
      </c>
      <c r="N328" s="10">
        <v>105.87</v>
      </c>
      <c r="O328" t="s">
        <v>47</v>
      </c>
      <c r="P328" s="5">
        <v>45859</v>
      </c>
      <c r="Q328" s="5">
        <v>45869</v>
      </c>
      <c r="S328" t="s">
        <v>63</v>
      </c>
      <c r="T328" s="6">
        <v>1</v>
      </c>
      <c r="U328" t="s">
        <v>170</v>
      </c>
      <c r="V328" s="10">
        <v>4356.67</v>
      </c>
      <c r="W328" s="10">
        <v>2319.36</v>
      </c>
      <c r="X328" s="10">
        <v>1931.44</v>
      </c>
      <c r="Y328" s="11">
        <v>0.44332942361941569</v>
      </c>
      <c r="Z328" s="6"/>
      <c r="AA328" t="s">
        <v>56</v>
      </c>
    </row>
    <row r="329" spans="1:27" x14ac:dyDescent="0.25">
      <c r="A329" t="s">
        <v>470</v>
      </c>
      <c r="B329">
        <v>41</v>
      </c>
      <c r="C329" s="9">
        <v>45858.994652777779</v>
      </c>
      <c r="D329" t="s">
        <v>137</v>
      </c>
      <c r="E329" t="s">
        <v>138</v>
      </c>
      <c r="F329" t="s">
        <v>52</v>
      </c>
      <c r="G329">
        <v>479</v>
      </c>
      <c r="H329" s="6">
        <v>2</v>
      </c>
      <c r="I329" s="10">
        <v>74.42</v>
      </c>
      <c r="J329" s="10">
        <v>108.77</v>
      </c>
      <c r="L329" s="3">
        <v>0</v>
      </c>
      <c r="M329" t="s">
        <v>31</v>
      </c>
      <c r="N329" s="10">
        <v>28.98</v>
      </c>
      <c r="O329" t="s">
        <v>99</v>
      </c>
      <c r="P329" s="5">
        <v>45860</v>
      </c>
      <c r="Q329" s="5">
        <v>45868</v>
      </c>
      <c r="R329" s="5">
        <v>45867</v>
      </c>
      <c r="S329" t="s">
        <v>33</v>
      </c>
      <c r="T329" s="6">
        <v>5</v>
      </c>
      <c r="U329" t="s">
        <v>172</v>
      </c>
      <c r="V329" s="10">
        <v>217.54</v>
      </c>
      <c r="W329" s="10">
        <v>148.84</v>
      </c>
      <c r="X329" s="10">
        <v>39.719999999999978</v>
      </c>
      <c r="Y329" s="11">
        <v>0.1825871104164751</v>
      </c>
      <c r="Z329" s="6">
        <v>-1</v>
      </c>
      <c r="AA329" t="s">
        <v>35</v>
      </c>
    </row>
    <row r="330" spans="1:27" x14ac:dyDescent="0.25">
      <c r="A330" t="s">
        <v>471</v>
      </c>
      <c r="B330">
        <v>1</v>
      </c>
      <c r="C330" s="9">
        <v>45859.073275462957</v>
      </c>
      <c r="D330" t="s">
        <v>74</v>
      </c>
      <c r="E330" t="s">
        <v>75</v>
      </c>
      <c r="F330" t="s">
        <v>30</v>
      </c>
      <c r="G330">
        <v>2448</v>
      </c>
      <c r="H330" s="6">
        <v>2</v>
      </c>
      <c r="I330" s="10">
        <v>2981.45</v>
      </c>
      <c r="J330" s="10">
        <v>4056.15</v>
      </c>
      <c r="K330" t="s">
        <v>60</v>
      </c>
      <c r="L330" s="3">
        <v>0.2</v>
      </c>
      <c r="M330" t="s">
        <v>61</v>
      </c>
      <c r="N330" s="10">
        <v>62.12</v>
      </c>
      <c r="O330" t="s">
        <v>62</v>
      </c>
      <c r="P330" s="5">
        <v>45860</v>
      </c>
      <c r="Q330" s="5">
        <v>45868</v>
      </c>
      <c r="R330" s="5">
        <v>45862</v>
      </c>
      <c r="S330" t="s">
        <v>33</v>
      </c>
      <c r="T330" s="6">
        <v>5</v>
      </c>
      <c r="U330" t="s">
        <v>166</v>
      </c>
      <c r="V330" s="10">
        <v>6489.84</v>
      </c>
      <c r="W330" s="10">
        <v>5962.9</v>
      </c>
      <c r="X330" s="10">
        <v>464.8200000000005</v>
      </c>
      <c r="Y330" s="11">
        <v>7.1622721053215557E-2</v>
      </c>
      <c r="Z330" s="6">
        <v>-6</v>
      </c>
      <c r="AA330" t="s">
        <v>35</v>
      </c>
    </row>
    <row r="331" spans="1:27" x14ac:dyDescent="0.25">
      <c r="A331" t="s">
        <v>472</v>
      </c>
      <c r="B331">
        <v>33</v>
      </c>
      <c r="C331" s="9">
        <v>45859.740266203713</v>
      </c>
      <c r="D331" t="s">
        <v>105</v>
      </c>
      <c r="E331" t="s">
        <v>106</v>
      </c>
      <c r="F331" t="s">
        <v>30</v>
      </c>
      <c r="G331">
        <v>2049</v>
      </c>
      <c r="H331" s="6">
        <v>1</v>
      </c>
      <c r="I331" s="10">
        <v>286.7</v>
      </c>
      <c r="J331" s="10">
        <v>551.45000000000005</v>
      </c>
      <c r="L331" s="3">
        <v>0</v>
      </c>
      <c r="M331" t="s">
        <v>39</v>
      </c>
      <c r="N331" s="10">
        <v>79.930000000000007</v>
      </c>
      <c r="O331" t="s">
        <v>32</v>
      </c>
      <c r="P331" s="5">
        <v>45861</v>
      </c>
      <c r="Q331" s="5">
        <v>45868</v>
      </c>
      <c r="R331" s="5">
        <v>45868</v>
      </c>
      <c r="S331" t="s">
        <v>33</v>
      </c>
      <c r="T331" s="6">
        <v>5</v>
      </c>
      <c r="U331" t="s">
        <v>134</v>
      </c>
      <c r="V331" s="10">
        <v>551.45000000000005</v>
      </c>
      <c r="W331" s="10">
        <v>286.7</v>
      </c>
      <c r="X331" s="10">
        <v>184.82000000000011</v>
      </c>
      <c r="Y331" s="11">
        <v>0.33515277903708413</v>
      </c>
      <c r="Z331" s="6">
        <v>0</v>
      </c>
      <c r="AA331" t="s">
        <v>35</v>
      </c>
    </row>
    <row r="332" spans="1:27" x14ac:dyDescent="0.25">
      <c r="A332" t="s">
        <v>473</v>
      </c>
      <c r="B332">
        <v>127</v>
      </c>
      <c r="C332" s="9">
        <v>45860.023368055547</v>
      </c>
      <c r="D332" t="s">
        <v>148</v>
      </c>
      <c r="E332" t="s">
        <v>149</v>
      </c>
      <c r="F332" t="s">
        <v>30</v>
      </c>
      <c r="G332">
        <v>2810</v>
      </c>
      <c r="H332" s="6">
        <v>3</v>
      </c>
      <c r="I332" s="10">
        <v>303.29000000000002</v>
      </c>
      <c r="J332" s="10">
        <v>987.5</v>
      </c>
      <c r="L332" s="3">
        <v>0</v>
      </c>
      <c r="M332" t="s">
        <v>39</v>
      </c>
      <c r="N332" s="10">
        <v>111.9</v>
      </c>
      <c r="O332" t="s">
        <v>83</v>
      </c>
      <c r="P332" s="5">
        <v>45862</v>
      </c>
      <c r="Q332" s="5">
        <v>45872</v>
      </c>
      <c r="R332" s="5">
        <v>45872</v>
      </c>
      <c r="S332" t="s">
        <v>33</v>
      </c>
      <c r="T332" s="6">
        <v>5</v>
      </c>
      <c r="U332" t="s">
        <v>119</v>
      </c>
      <c r="V332" s="10">
        <v>2962.5</v>
      </c>
      <c r="W332" s="10">
        <v>909.87000000000012</v>
      </c>
      <c r="X332" s="10">
        <v>1940.73</v>
      </c>
      <c r="Y332" s="11">
        <v>0.6550987341772152</v>
      </c>
      <c r="Z332" s="6">
        <v>0</v>
      </c>
      <c r="AA332" t="s">
        <v>35</v>
      </c>
    </row>
    <row r="333" spans="1:27" x14ac:dyDescent="0.25">
      <c r="A333" t="s">
        <v>474</v>
      </c>
      <c r="B333">
        <v>96</v>
      </c>
      <c r="C333" s="9">
        <v>45860.164351851847</v>
      </c>
      <c r="D333" t="s">
        <v>137</v>
      </c>
      <c r="E333" t="s">
        <v>138</v>
      </c>
      <c r="F333" t="s">
        <v>52</v>
      </c>
      <c r="G333">
        <v>313</v>
      </c>
      <c r="H333" s="6">
        <v>2</v>
      </c>
      <c r="I333" s="10">
        <v>126.27</v>
      </c>
      <c r="J333" s="10">
        <v>209.86</v>
      </c>
      <c r="L333" s="3">
        <v>0</v>
      </c>
      <c r="M333" t="s">
        <v>76</v>
      </c>
      <c r="N333" s="10">
        <v>41.46</v>
      </c>
      <c r="O333" t="s">
        <v>126</v>
      </c>
      <c r="P333" s="5">
        <v>45862</v>
      </c>
      <c r="Q333" s="5">
        <v>45869</v>
      </c>
      <c r="R333" s="5">
        <v>45866</v>
      </c>
      <c r="S333" t="s">
        <v>33</v>
      </c>
      <c r="T333" s="6">
        <v>5</v>
      </c>
      <c r="U333" t="s">
        <v>34</v>
      </c>
      <c r="V333" s="10">
        <v>419.72</v>
      </c>
      <c r="W333" s="10">
        <v>252.54</v>
      </c>
      <c r="X333" s="10">
        <v>125.72</v>
      </c>
      <c r="Y333" s="11">
        <v>0.29953302201467652</v>
      </c>
      <c r="Z333" s="6">
        <v>-3</v>
      </c>
      <c r="AA333" t="s">
        <v>35</v>
      </c>
    </row>
    <row r="334" spans="1:27" x14ac:dyDescent="0.25">
      <c r="A334" t="s">
        <v>475</v>
      </c>
      <c r="B334">
        <v>117</v>
      </c>
      <c r="C334" s="9">
        <v>45860.295949074083</v>
      </c>
      <c r="D334" t="s">
        <v>81</v>
      </c>
      <c r="E334" t="s">
        <v>82</v>
      </c>
      <c r="F334" t="s">
        <v>45</v>
      </c>
      <c r="G334">
        <v>0</v>
      </c>
      <c r="H334" s="6">
        <v>1</v>
      </c>
      <c r="I334" s="10">
        <v>83.35</v>
      </c>
      <c r="J334" s="10">
        <v>129.19</v>
      </c>
      <c r="L334" s="3">
        <v>0</v>
      </c>
      <c r="M334" t="s">
        <v>76</v>
      </c>
      <c r="N334" s="10">
        <v>25.08</v>
      </c>
      <c r="O334" t="s">
        <v>62</v>
      </c>
      <c r="P334" s="5">
        <v>45862</v>
      </c>
      <c r="Q334" s="5">
        <v>45870</v>
      </c>
      <c r="R334" s="5">
        <v>45866</v>
      </c>
      <c r="S334" t="s">
        <v>33</v>
      </c>
      <c r="T334" s="6">
        <v>4</v>
      </c>
      <c r="U334" t="s">
        <v>117</v>
      </c>
      <c r="V334" s="10">
        <v>129.19</v>
      </c>
      <c r="W334" s="10">
        <v>83.35</v>
      </c>
      <c r="X334" s="10">
        <v>20.760000000000009</v>
      </c>
      <c r="Y334" s="11">
        <v>0.16069355213251801</v>
      </c>
      <c r="Z334" s="6">
        <v>-4</v>
      </c>
      <c r="AA334" t="s">
        <v>35</v>
      </c>
    </row>
    <row r="335" spans="1:27" x14ac:dyDescent="0.25">
      <c r="A335" t="s">
        <v>476</v>
      </c>
      <c r="B335">
        <v>180</v>
      </c>
      <c r="C335" s="9">
        <v>45861.022280092591</v>
      </c>
      <c r="D335" t="s">
        <v>137</v>
      </c>
      <c r="E335" t="s">
        <v>138</v>
      </c>
      <c r="F335" t="s">
        <v>52</v>
      </c>
      <c r="G335">
        <v>448</v>
      </c>
      <c r="H335" s="6">
        <v>1</v>
      </c>
      <c r="I335" s="10">
        <v>85.67</v>
      </c>
      <c r="J335" s="10">
        <v>234.03</v>
      </c>
      <c r="K335" t="s">
        <v>60</v>
      </c>
      <c r="L335" s="3">
        <v>0.2</v>
      </c>
      <c r="M335" t="s">
        <v>76</v>
      </c>
      <c r="N335" s="10">
        <v>39.53</v>
      </c>
      <c r="O335" t="s">
        <v>97</v>
      </c>
      <c r="P335" s="5">
        <v>45863</v>
      </c>
      <c r="Q335" s="5">
        <v>45868</v>
      </c>
      <c r="S335" t="s">
        <v>54</v>
      </c>
      <c r="T335" s="6">
        <v>3</v>
      </c>
      <c r="U335" t="s">
        <v>352</v>
      </c>
      <c r="V335" s="10">
        <v>187.22399999999999</v>
      </c>
      <c r="W335" s="10">
        <v>85.67</v>
      </c>
      <c r="X335" s="10">
        <v>62.024000000000022</v>
      </c>
      <c r="Y335" s="11">
        <v>0.33128231423321802</v>
      </c>
      <c r="Z335" s="6"/>
      <c r="AA335" t="s">
        <v>56</v>
      </c>
    </row>
    <row r="336" spans="1:27" x14ac:dyDescent="0.25">
      <c r="A336" t="s">
        <v>477</v>
      </c>
      <c r="B336">
        <v>83</v>
      </c>
      <c r="C336" s="9">
        <v>45861.09375</v>
      </c>
      <c r="D336" t="s">
        <v>86</v>
      </c>
      <c r="E336" t="s">
        <v>87</v>
      </c>
      <c r="F336" t="s">
        <v>45</v>
      </c>
      <c r="G336">
        <v>0</v>
      </c>
      <c r="H336" s="6">
        <v>1</v>
      </c>
      <c r="I336" s="10">
        <v>58.34</v>
      </c>
      <c r="J336" s="10">
        <v>78.89</v>
      </c>
      <c r="K336" t="s">
        <v>46</v>
      </c>
      <c r="L336" s="3">
        <v>0.1</v>
      </c>
      <c r="M336" t="s">
        <v>76</v>
      </c>
      <c r="N336" s="10">
        <v>23.25</v>
      </c>
      <c r="O336" t="s">
        <v>150</v>
      </c>
      <c r="P336" s="5">
        <v>45862</v>
      </c>
      <c r="Q336" s="5">
        <v>45869</v>
      </c>
      <c r="R336" s="5">
        <v>45871</v>
      </c>
      <c r="S336" t="s">
        <v>33</v>
      </c>
      <c r="T336" s="6">
        <v>3</v>
      </c>
      <c r="U336" t="s">
        <v>230</v>
      </c>
      <c r="V336" s="10">
        <v>71.001000000000005</v>
      </c>
      <c r="W336" s="10">
        <v>58.34</v>
      </c>
      <c r="X336" s="10">
        <v>-10.589</v>
      </c>
      <c r="Y336" s="11">
        <v>-0.149138744524725</v>
      </c>
      <c r="Z336" s="6">
        <v>2</v>
      </c>
      <c r="AA336" t="s">
        <v>103</v>
      </c>
    </row>
    <row r="337" spans="1:27" x14ac:dyDescent="0.25">
      <c r="A337" t="s">
        <v>478</v>
      </c>
      <c r="B337">
        <v>112</v>
      </c>
      <c r="C337" s="9">
        <v>45861.109201388892</v>
      </c>
      <c r="D337" t="s">
        <v>148</v>
      </c>
      <c r="E337" t="s">
        <v>149</v>
      </c>
      <c r="F337" t="s">
        <v>30</v>
      </c>
      <c r="G337">
        <v>3032</v>
      </c>
      <c r="H337" s="6">
        <v>3</v>
      </c>
      <c r="I337" s="10">
        <v>429.35</v>
      </c>
      <c r="J337" s="10">
        <v>894.31</v>
      </c>
      <c r="L337" s="3">
        <v>0</v>
      </c>
      <c r="M337" t="s">
        <v>61</v>
      </c>
      <c r="N337" s="10">
        <v>136.35</v>
      </c>
      <c r="O337" t="s">
        <v>126</v>
      </c>
      <c r="P337" s="5">
        <v>45862</v>
      </c>
      <c r="Q337" s="5">
        <v>45868</v>
      </c>
      <c r="R337" s="5">
        <v>45867</v>
      </c>
      <c r="S337" t="s">
        <v>33</v>
      </c>
      <c r="T337" s="6">
        <v>5</v>
      </c>
      <c r="U337" t="s">
        <v>134</v>
      </c>
      <c r="V337" s="10">
        <v>2682.93</v>
      </c>
      <c r="W337" s="10">
        <v>1288.05</v>
      </c>
      <c r="X337" s="10">
        <v>1258.53</v>
      </c>
      <c r="Y337" s="11">
        <v>0.46908790016884522</v>
      </c>
      <c r="Z337" s="6">
        <v>-1</v>
      </c>
      <c r="AA337" t="s">
        <v>35</v>
      </c>
    </row>
    <row r="338" spans="1:27" x14ac:dyDescent="0.25">
      <c r="A338" t="s">
        <v>479</v>
      </c>
      <c r="B338">
        <v>21</v>
      </c>
      <c r="C338" s="9">
        <v>45861.337488425917</v>
      </c>
      <c r="D338" t="s">
        <v>66</v>
      </c>
      <c r="E338" t="s">
        <v>67</v>
      </c>
      <c r="F338" t="s">
        <v>52</v>
      </c>
      <c r="G338">
        <v>247</v>
      </c>
      <c r="H338" s="6">
        <v>3</v>
      </c>
      <c r="I338" s="10">
        <v>66.3</v>
      </c>
      <c r="J338" s="10">
        <v>112.48</v>
      </c>
      <c r="L338" s="3">
        <v>0</v>
      </c>
      <c r="M338" t="s">
        <v>31</v>
      </c>
      <c r="N338" s="10">
        <v>55.28</v>
      </c>
      <c r="O338" t="s">
        <v>99</v>
      </c>
      <c r="P338" s="5">
        <v>45863</v>
      </c>
      <c r="Q338" s="5">
        <v>45873</v>
      </c>
      <c r="S338" t="s">
        <v>54</v>
      </c>
      <c r="T338" s="6">
        <v>2</v>
      </c>
      <c r="U338" t="s">
        <v>140</v>
      </c>
      <c r="V338" s="10">
        <v>337.44</v>
      </c>
      <c r="W338" s="10">
        <v>198.9</v>
      </c>
      <c r="X338" s="10">
        <v>83.260000000000019</v>
      </c>
      <c r="Y338" s="11">
        <v>0.24674016121384551</v>
      </c>
      <c r="Z338" s="6"/>
      <c r="AA338" t="s">
        <v>56</v>
      </c>
    </row>
    <row r="339" spans="1:27" x14ac:dyDescent="0.25">
      <c r="A339" t="s">
        <v>480</v>
      </c>
      <c r="B339">
        <v>146</v>
      </c>
      <c r="C339" s="9">
        <v>45861.33866898148</v>
      </c>
      <c r="D339" t="s">
        <v>110</v>
      </c>
      <c r="E339" t="s">
        <v>111</v>
      </c>
      <c r="F339" t="s">
        <v>30</v>
      </c>
      <c r="G339">
        <v>2056</v>
      </c>
      <c r="H339" s="6">
        <v>3</v>
      </c>
      <c r="I339" s="10">
        <v>1323.35</v>
      </c>
      <c r="J339" s="10">
        <v>1563.42</v>
      </c>
      <c r="L339" s="3">
        <v>0</v>
      </c>
      <c r="M339" t="s">
        <v>39</v>
      </c>
      <c r="N339" s="10">
        <v>80.12</v>
      </c>
      <c r="O339" t="s">
        <v>62</v>
      </c>
      <c r="P339" s="5">
        <v>45863</v>
      </c>
      <c r="Q339" s="5">
        <v>45868</v>
      </c>
      <c r="R339" s="5">
        <v>45866</v>
      </c>
      <c r="S339" t="s">
        <v>33</v>
      </c>
      <c r="T339" s="6">
        <v>4</v>
      </c>
      <c r="U339" t="s">
        <v>84</v>
      </c>
      <c r="V339" s="10">
        <v>4690.26</v>
      </c>
      <c r="W339" s="10">
        <v>3970.05</v>
      </c>
      <c r="X339" s="10">
        <v>640.09000000000049</v>
      </c>
      <c r="Y339" s="11">
        <v>0.13647217851462401</v>
      </c>
      <c r="Z339" s="6">
        <v>-2</v>
      </c>
      <c r="AA339" t="s">
        <v>35</v>
      </c>
    </row>
    <row r="340" spans="1:27" x14ac:dyDescent="0.25">
      <c r="A340" t="s">
        <v>481</v>
      </c>
      <c r="B340">
        <v>180</v>
      </c>
      <c r="C340" s="9">
        <v>45861.811319444438</v>
      </c>
      <c r="D340" t="s">
        <v>66</v>
      </c>
      <c r="E340" t="s">
        <v>67</v>
      </c>
      <c r="F340" t="s">
        <v>52</v>
      </c>
      <c r="G340">
        <v>232</v>
      </c>
      <c r="H340" s="6">
        <v>1</v>
      </c>
      <c r="I340" s="10">
        <v>46.93</v>
      </c>
      <c r="J340" s="10">
        <v>91.38</v>
      </c>
      <c r="K340" t="s">
        <v>60</v>
      </c>
      <c r="L340" s="3">
        <v>0.2</v>
      </c>
      <c r="M340" t="s">
        <v>31</v>
      </c>
      <c r="N340" s="10">
        <v>29.48</v>
      </c>
      <c r="O340" t="s">
        <v>97</v>
      </c>
      <c r="P340" s="5">
        <v>45862</v>
      </c>
      <c r="Q340" s="5">
        <v>45868</v>
      </c>
      <c r="S340" t="s">
        <v>54</v>
      </c>
      <c r="T340" s="6">
        <v>4</v>
      </c>
      <c r="U340" t="s">
        <v>134</v>
      </c>
      <c r="V340" s="10">
        <v>73.103999999999999</v>
      </c>
      <c r="W340" s="10">
        <v>46.93</v>
      </c>
      <c r="X340" s="10">
        <v>-3.3060000000000009</v>
      </c>
      <c r="Y340" s="11">
        <v>-4.5223243598161537E-2</v>
      </c>
      <c r="Z340" s="6"/>
      <c r="AA340" t="s">
        <v>56</v>
      </c>
    </row>
    <row r="341" spans="1:27" x14ac:dyDescent="0.25">
      <c r="A341" t="s">
        <v>482</v>
      </c>
      <c r="B341">
        <v>47</v>
      </c>
      <c r="C341" s="9">
        <v>45861.848263888889</v>
      </c>
      <c r="D341" t="s">
        <v>110</v>
      </c>
      <c r="E341" t="s">
        <v>111</v>
      </c>
      <c r="F341" t="s">
        <v>30</v>
      </c>
      <c r="G341">
        <v>2008</v>
      </c>
      <c r="H341" s="6">
        <v>2</v>
      </c>
      <c r="I341" s="10">
        <v>886.09</v>
      </c>
      <c r="J341" s="10">
        <v>2085.59</v>
      </c>
      <c r="L341" s="3">
        <v>0</v>
      </c>
      <c r="M341" t="s">
        <v>31</v>
      </c>
      <c r="N341" s="10">
        <v>108.74</v>
      </c>
      <c r="O341" t="s">
        <v>97</v>
      </c>
      <c r="P341" s="5">
        <v>45862</v>
      </c>
      <c r="Q341" s="5">
        <v>45869</v>
      </c>
      <c r="R341" s="5">
        <v>45868</v>
      </c>
      <c r="S341" t="s">
        <v>33</v>
      </c>
      <c r="T341" s="6">
        <v>4</v>
      </c>
      <c r="U341" t="s">
        <v>84</v>
      </c>
      <c r="V341" s="10">
        <v>4171.18</v>
      </c>
      <c r="W341" s="10">
        <v>1772.18</v>
      </c>
      <c r="X341" s="10">
        <v>2290.2600000000002</v>
      </c>
      <c r="Y341" s="11">
        <v>0.54906764992160495</v>
      </c>
      <c r="Z341" s="6">
        <v>-1</v>
      </c>
      <c r="AA341" t="s">
        <v>35</v>
      </c>
    </row>
    <row r="342" spans="1:27" x14ac:dyDescent="0.25">
      <c r="A342" t="s">
        <v>483</v>
      </c>
      <c r="B342">
        <v>127</v>
      </c>
      <c r="C342" s="9">
        <v>45861.943078703713</v>
      </c>
      <c r="D342" t="s">
        <v>71</v>
      </c>
      <c r="E342" t="s">
        <v>72</v>
      </c>
      <c r="F342" t="s">
        <v>52</v>
      </c>
      <c r="G342">
        <v>228</v>
      </c>
      <c r="H342" s="6">
        <v>2</v>
      </c>
      <c r="I342" s="10">
        <v>70.7</v>
      </c>
      <c r="J342" s="10">
        <v>132.97</v>
      </c>
      <c r="L342" s="3">
        <v>0</v>
      </c>
      <c r="M342" t="s">
        <v>76</v>
      </c>
      <c r="N342" s="10">
        <v>29.81</v>
      </c>
      <c r="O342" t="s">
        <v>99</v>
      </c>
      <c r="P342" s="5">
        <v>45863</v>
      </c>
      <c r="Q342" s="5">
        <v>45872</v>
      </c>
      <c r="R342" s="5">
        <v>45872</v>
      </c>
      <c r="S342" t="s">
        <v>33</v>
      </c>
      <c r="T342" s="6">
        <v>5</v>
      </c>
      <c r="U342" t="s">
        <v>79</v>
      </c>
      <c r="V342" s="10">
        <v>265.94</v>
      </c>
      <c r="W342" s="10">
        <v>141.4</v>
      </c>
      <c r="X342" s="10">
        <v>94.72999999999999</v>
      </c>
      <c r="Y342" s="11">
        <v>0.35620816725577192</v>
      </c>
      <c r="Z342" s="6">
        <v>0</v>
      </c>
      <c r="AA342" t="s">
        <v>35</v>
      </c>
    </row>
    <row r="343" spans="1:27" x14ac:dyDescent="0.25">
      <c r="A343" t="s">
        <v>484</v>
      </c>
      <c r="B343">
        <v>20</v>
      </c>
      <c r="C343" s="9">
        <v>45862.576990740738</v>
      </c>
      <c r="D343" t="s">
        <v>66</v>
      </c>
      <c r="E343" t="s">
        <v>67</v>
      </c>
      <c r="F343" t="s">
        <v>52</v>
      </c>
      <c r="G343">
        <v>235</v>
      </c>
      <c r="H343" s="6">
        <v>1</v>
      </c>
      <c r="I343" s="10">
        <v>57.62</v>
      </c>
      <c r="J343" s="10">
        <v>75.069999999999993</v>
      </c>
      <c r="L343" s="3">
        <v>0</v>
      </c>
      <c r="M343" t="s">
        <v>61</v>
      </c>
      <c r="N343" s="10">
        <v>46.59</v>
      </c>
      <c r="O343" t="s">
        <v>99</v>
      </c>
      <c r="P343" s="5">
        <v>45863</v>
      </c>
      <c r="Q343" s="5">
        <v>45869</v>
      </c>
      <c r="R343" s="5">
        <v>45866</v>
      </c>
      <c r="S343" t="s">
        <v>33</v>
      </c>
      <c r="T343" s="6">
        <v>5</v>
      </c>
      <c r="U343" t="s">
        <v>69</v>
      </c>
      <c r="V343" s="10">
        <v>75.069999999999993</v>
      </c>
      <c r="W343" s="10">
        <v>57.62</v>
      </c>
      <c r="X343" s="10">
        <v>-29.140000000000011</v>
      </c>
      <c r="Y343" s="11">
        <v>-0.38817104036232858</v>
      </c>
      <c r="Z343" s="6">
        <v>-3</v>
      </c>
      <c r="AA343" t="s">
        <v>35</v>
      </c>
    </row>
    <row r="344" spans="1:27" x14ac:dyDescent="0.25">
      <c r="A344" t="s">
        <v>485</v>
      </c>
      <c r="B344">
        <v>16</v>
      </c>
      <c r="C344" s="9">
        <v>45862.752152777779</v>
      </c>
      <c r="D344" t="s">
        <v>105</v>
      </c>
      <c r="E344" t="s">
        <v>106</v>
      </c>
      <c r="F344" t="s">
        <v>30</v>
      </c>
      <c r="G344">
        <v>2092</v>
      </c>
      <c r="H344" s="6">
        <v>3</v>
      </c>
      <c r="I344" s="10">
        <v>266.36</v>
      </c>
      <c r="J344" s="10">
        <v>562.71</v>
      </c>
      <c r="K344" t="s">
        <v>46</v>
      </c>
      <c r="L344" s="3">
        <v>0.1</v>
      </c>
      <c r="M344" t="s">
        <v>76</v>
      </c>
      <c r="N344" s="10">
        <v>124.23</v>
      </c>
      <c r="O344" t="s">
        <v>40</v>
      </c>
      <c r="P344" s="5">
        <v>45864</v>
      </c>
      <c r="Q344" s="5">
        <v>45871</v>
      </c>
      <c r="R344" s="5">
        <v>45866</v>
      </c>
      <c r="S344" t="s">
        <v>33</v>
      </c>
      <c r="T344" s="6">
        <v>5</v>
      </c>
      <c r="U344" t="s">
        <v>211</v>
      </c>
      <c r="V344" s="10">
        <v>1519.317</v>
      </c>
      <c r="W344" s="10">
        <v>799.08</v>
      </c>
      <c r="X344" s="10">
        <v>596.00700000000018</v>
      </c>
      <c r="Y344" s="11">
        <v>0.39228613910066168</v>
      </c>
      <c r="Z344" s="6">
        <v>-5</v>
      </c>
      <c r="AA344" t="s">
        <v>35</v>
      </c>
    </row>
    <row r="345" spans="1:27" x14ac:dyDescent="0.25">
      <c r="A345" t="s">
        <v>486</v>
      </c>
      <c r="B345">
        <v>19</v>
      </c>
      <c r="C345" s="9">
        <v>45862.771967592591</v>
      </c>
      <c r="D345" t="s">
        <v>71</v>
      </c>
      <c r="E345" t="s">
        <v>72</v>
      </c>
      <c r="F345" t="s">
        <v>52</v>
      </c>
      <c r="G345">
        <v>266</v>
      </c>
      <c r="H345" s="6">
        <v>1</v>
      </c>
      <c r="I345" s="10">
        <v>44.98</v>
      </c>
      <c r="J345" s="10">
        <v>147.6</v>
      </c>
      <c r="K345" t="s">
        <v>60</v>
      </c>
      <c r="L345" s="3">
        <v>0.2</v>
      </c>
      <c r="M345" t="s">
        <v>76</v>
      </c>
      <c r="N345" s="10">
        <v>24.37</v>
      </c>
      <c r="O345" t="s">
        <v>62</v>
      </c>
      <c r="P345" s="5">
        <v>45864</v>
      </c>
      <c r="Q345" s="5">
        <v>45874</v>
      </c>
      <c r="R345" s="5">
        <v>45870</v>
      </c>
      <c r="S345" t="s">
        <v>33</v>
      </c>
      <c r="T345" s="6">
        <v>4</v>
      </c>
      <c r="U345" t="s">
        <v>119</v>
      </c>
      <c r="V345" s="10">
        <v>118.08</v>
      </c>
      <c r="W345" s="10">
        <v>44.98</v>
      </c>
      <c r="X345" s="10">
        <v>48.72999999999999</v>
      </c>
      <c r="Y345" s="11">
        <v>0.41268631436314362</v>
      </c>
      <c r="Z345" s="6">
        <v>-4</v>
      </c>
      <c r="AA345" t="s">
        <v>35</v>
      </c>
    </row>
    <row r="346" spans="1:27" x14ac:dyDescent="0.25">
      <c r="A346" t="s">
        <v>487</v>
      </c>
      <c r="B346">
        <v>43</v>
      </c>
      <c r="C346" s="9">
        <v>45863.434432870366</v>
      </c>
      <c r="D346" t="s">
        <v>110</v>
      </c>
      <c r="E346" t="s">
        <v>111</v>
      </c>
      <c r="F346" t="s">
        <v>30</v>
      </c>
      <c r="G346">
        <v>2019</v>
      </c>
      <c r="H346" s="6">
        <v>1</v>
      </c>
      <c r="I346" s="10">
        <v>1247.6400000000001</v>
      </c>
      <c r="J346" s="10">
        <v>1566.5</v>
      </c>
      <c r="K346" t="s">
        <v>46</v>
      </c>
      <c r="L346" s="3">
        <v>0.1</v>
      </c>
      <c r="M346" t="s">
        <v>31</v>
      </c>
      <c r="N346" s="10">
        <v>116.37</v>
      </c>
      <c r="O346" t="s">
        <v>40</v>
      </c>
      <c r="P346" s="5">
        <v>45864</v>
      </c>
      <c r="Q346" s="5">
        <v>45870</v>
      </c>
      <c r="R346" s="5">
        <v>45869</v>
      </c>
      <c r="S346" t="s">
        <v>33</v>
      </c>
      <c r="T346" s="6">
        <v>4</v>
      </c>
      <c r="U346" t="s">
        <v>166</v>
      </c>
      <c r="V346" s="10">
        <v>1409.85</v>
      </c>
      <c r="W346" s="10">
        <v>1247.6400000000001</v>
      </c>
      <c r="X346" s="10">
        <v>45.840000000000032</v>
      </c>
      <c r="Y346" s="11">
        <v>3.2514097244387717E-2</v>
      </c>
      <c r="Z346" s="6">
        <v>-1</v>
      </c>
      <c r="AA346" t="s">
        <v>35</v>
      </c>
    </row>
    <row r="347" spans="1:27" x14ac:dyDescent="0.25">
      <c r="A347" t="s">
        <v>488</v>
      </c>
      <c r="B347">
        <v>98</v>
      </c>
      <c r="C347" s="9">
        <v>45863.710810185177</v>
      </c>
      <c r="D347" t="s">
        <v>95</v>
      </c>
      <c r="E347" t="s">
        <v>96</v>
      </c>
      <c r="F347" t="s">
        <v>52</v>
      </c>
      <c r="G347">
        <v>521</v>
      </c>
      <c r="H347" s="6">
        <v>1</v>
      </c>
      <c r="I347" s="10">
        <v>27.43</v>
      </c>
      <c r="J347" s="10">
        <v>41.13</v>
      </c>
      <c r="L347" s="3">
        <v>0</v>
      </c>
      <c r="M347" t="s">
        <v>76</v>
      </c>
      <c r="N347" s="10">
        <v>34.76</v>
      </c>
      <c r="O347" t="s">
        <v>150</v>
      </c>
      <c r="P347" s="5">
        <v>45865</v>
      </c>
      <c r="Q347" s="5">
        <v>45874</v>
      </c>
      <c r="R347" s="5">
        <v>45872</v>
      </c>
      <c r="S347" t="s">
        <v>33</v>
      </c>
      <c r="T347" s="6">
        <v>5</v>
      </c>
      <c r="U347" t="s">
        <v>117</v>
      </c>
      <c r="V347" s="10">
        <v>41.13</v>
      </c>
      <c r="W347" s="10">
        <v>27.43</v>
      </c>
      <c r="X347" s="10">
        <v>-21.06</v>
      </c>
      <c r="Y347" s="11">
        <v>-0.51203501094091886</v>
      </c>
      <c r="Z347" s="6">
        <v>-2</v>
      </c>
      <c r="AA347" t="s">
        <v>35</v>
      </c>
    </row>
    <row r="348" spans="1:27" x14ac:dyDescent="0.25">
      <c r="A348" t="s">
        <v>489</v>
      </c>
      <c r="B348">
        <v>68</v>
      </c>
      <c r="C348" s="9">
        <v>45863.997557870367</v>
      </c>
      <c r="D348" t="s">
        <v>164</v>
      </c>
      <c r="E348" t="s">
        <v>165</v>
      </c>
      <c r="F348" t="s">
        <v>116</v>
      </c>
      <c r="G348">
        <v>0</v>
      </c>
      <c r="H348" s="6">
        <v>2</v>
      </c>
      <c r="I348" s="10">
        <v>364.28</v>
      </c>
      <c r="J348" s="10">
        <v>747.07</v>
      </c>
      <c r="K348" t="s">
        <v>60</v>
      </c>
      <c r="L348" s="3">
        <v>0.2</v>
      </c>
      <c r="M348" t="s">
        <v>76</v>
      </c>
      <c r="N348" s="10">
        <v>18.95</v>
      </c>
      <c r="O348" t="s">
        <v>97</v>
      </c>
      <c r="P348" s="5">
        <v>45865</v>
      </c>
      <c r="Q348" s="5">
        <v>45870</v>
      </c>
      <c r="R348" s="5">
        <v>45868</v>
      </c>
      <c r="S348" t="s">
        <v>33</v>
      </c>
      <c r="T348" s="6">
        <v>4</v>
      </c>
      <c r="U348" t="s">
        <v>84</v>
      </c>
      <c r="V348" s="10">
        <v>1195.3119999999999</v>
      </c>
      <c r="W348" s="10">
        <v>728.56</v>
      </c>
      <c r="X348" s="10">
        <v>447.80200000000019</v>
      </c>
      <c r="Y348" s="11">
        <v>0.37463189527085827</v>
      </c>
      <c r="Z348" s="6">
        <v>-2</v>
      </c>
      <c r="AA348" t="s">
        <v>35</v>
      </c>
    </row>
    <row r="349" spans="1:27" x14ac:dyDescent="0.25">
      <c r="A349" t="s">
        <v>490</v>
      </c>
      <c r="B349">
        <v>24</v>
      </c>
      <c r="C349" s="9">
        <v>45864.844189814823</v>
      </c>
      <c r="D349" t="s">
        <v>66</v>
      </c>
      <c r="E349" t="s">
        <v>67</v>
      </c>
      <c r="F349" t="s">
        <v>52</v>
      </c>
      <c r="G349">
        <v>239</v>
      </c>
      <c r="H349" s="6">
        <v>1</v>
      </c>
      <c r="I349" s="10">
        <v>41.64</v>
      </c>
      <c r="J349" s="10">
        <v>120.34</v>
      </c>
      <c r="K349" t="s">
        <v>60</v>
      </c>
      <c r="L349" s="3">
        <v>0.2</v>
      </c>
      <c r="M349" t="s">
        <v>31</v>
      </c>
      <c r="N349" s="10">
        <v>21.41</v>
      </c>
      <c r="O349" t="s">
        <v>157</v>
      </c>
      <c r="P349" s="5">
        <v>45866</v>
      </c>
      <c r="Q349" s="5">
        <v>45876</v>
      </c>
      <c r="S349" t="s">
        <v>161</v>
      </c>
      <c r="T349" s="6">
        <v>1</v>
      </c>
      <c r="U349" t="s">
        <v>64</v>
      </c>
      <c r="V349" s="10">
        <v>96.272000000000006</v>
      </c>
      <c r="W349" s="10">
        <v>41.64</v>
      </c>
      <c r="X349" s="10">
        <v>33.222000000000008</v>
      </c>
      <c r="Y349" s="11">
        <v>0.34508475984710002</v>
      </c>
      <c r="Z349" s="6"/>
      <c r="AA349" t="s">
        <v>56</v>
      </c>
    </row>
    <row r="350" spans="1:27" x14ac:dyDescent="0.25">
      <c r="A350" t="s">
        <v>491</v>
      </c>
      <c r="B350">
        <v>106</v>
      </c>
      <c r="C350" s="9">
        <v>45864.912893518522</v>
      </c>
      <c r="D350" t="s">
        <v>177</v>
      </c>
      <c r="E350" t="s">
        <v>178</v>
      </c>
      <c r="F350" t="s">
        <v>116</v>
      </c>
      <c r="G350">
        <v>0</v>
      </c>
      <c r="H350" s="6">
        <v>1</v>
      </c>
      <c r="I350" s="10">
        <v>312.54000000000002</v>
      </c>
      <c r="J350" s="10">
        <v>513.92999999999995</v>
      </c>
      <c r="L350" s="3">
        <v>0</v>
      </c>
      <c r="M350" t="s">
        <v>76</v>
      </c>
      <c r="N350" s="10">
        <v>20.83</v>
      </c>
      <c r="O350" t="s">
        <v>62</v>
      </c>
      <c r="P350" s="5">
        <v>45866</v>
      </c>
      <c r="Q350" s="5">
        <v>45872</v>
      </c>
      <c r="R350" s="5">
        <v>45873</v>
      </c>
      <c r="S350" t="s">
        <v>33</v>
      </c>
      <c r="T350" s="6">
        <v>2</v>
      </c>
      <c r="U350" t="s">
        <v>170</v>
      </c>
      <c r="V350" s="10">
        <v>513.92999999999995</v>
      </c>
      <c r="W350" s="10">
        <v>312.54000000000002</v>
      </c>
      <c r="X350" s="10">
        <v>180.55999999999989</v>
      </c>
      <c r="Y350" s="11">
        <v>0.35133189344852411</v>
      </c>
      <c r="Z350" s="6">
        <v>1</v>
      </c>
      <c r="AA350" t="s">
        <v>103</v>
      </c>
    </row>
    <row r="351" spans="1:27" x14ac:dyDescent="0.25">
      <c r="A351" t="s">
        <v>492</v>
      </c>
      <c r="B351">
        <v>13</v>
      </c>
      <c r="C351" s="9">
        <v>45865.095219907409</v>
      </c>
      <c r="D351" t="s">
        <v>66</v>
      </c>
      <c r="E351" t="s">
        <v>67</v>
      </c>
      <c r="F351" t="s">
        <v>52</v>
      </c>
      <c r="G351">
        <v>294</v>
      </c>
      <c r="H351" s="6">
        <v>2</v>
      </c>
      <c r="I351" s="10">
        <v>36.950000000000003</v>
      </c>
      <c r="J351" s="10">
        <v>94.33</v>
      </c>
      <c r="K351" t="s">
        <v>46</v>
      </c>
      <c r="L351" s="3">
        <v>0.1</v>
      </c>
      <c r="M351" t="s">
        <v>39</v>
      </c>
      <c r="N351" s="10">
        <v>56.3</v>
      </c>
      <c r="O351" t="s">
        <v>62</v>
      </c>
      <c r="P351" s="5">
        <v>45867</v>
      </c>
      <c r="Q351" s="5">
        <v>45877</v>
      </c>
      <c r="R351" s="5">
        <v>45874</v>
      </c>
      <c r="S351" t="s">
        <v>33</v>
      </c>
      <c r="T351" s="6">
        <v>5</v>
      </c>
      <c r="U351" t="s">
        <v>119</v>
      </c>
      <c r="V351" s="10">
        <v>169.79400000000001</v>
      </c>
      <c r="W351" s="10">
        <v>73.900000000000006</v>
      </c>
      <c r="X351" s="10">
        <v>39.594000000000008</v>
      </c>
      <c r="Y351" s="11">
        <v>0.23318845188875939</v>
      </c>
      <c r="Z351" s="6">
        <v>-3</v>
      </c>
      <c r="AA351" t="s">
        <v>35</v>
      </c>
    </row>
    <row r="352" spans="1:27" x14ac:dyDescent="0.25">
      <c r="A352" t="s">
        <v>493</v>
      </c>
      <c r="B352">
        <v>147</v>
      </c>
      <c r="C352" s="9">
        <v>45865.160671296297</v>
      </c>
      <c r="D352" t="s">
        <v>198</v>
      </c>
      <c r="E352" t="s">
        <v>199</v>
      </c>
      <c r="F352" t="s">
        <v>116</v>
      </c>
      <c r="G352">
        <v>0</v>
      </c>
      <c r="H352" s="6">
        <v>2</v>
      </c>
      <c r="I352" s="10">
        <v>495.95</v>
      </c>
      <c r="J352" s="10">
        <v>602.96</v>
      </c>
      <c r="K352" t="s">
        <v>46</v>
      </c>
      <c r="L352" s="3">
        <v>0.1</v>
      </c>
      <c r="M352" t="s">
        <v>39</v>
      </c>
      <c r="N352" s="10">
        <v>17.45</v>
      </c>
      <c r="O352" t="s">
        <v>62</v>
      </c>
      <c r="P352" s="5">
        <v>45866</v>
      </c>
      <c r="Q352" s="5">
        <v>45872</v>
      </c>
      <c r="R352" s="5">
        <v>45868</v>
      </c>
      <c r="S352" t="s">
        <v>33</v>
      </c>
      <c r="T352" s="6">
        <v>5</v>
      </c>
      <c r="U352" t="s">
        <v>166</v>
      </c>
      <c r="V352" s="10">
        <v>1085.328</v>
      </c>
      <c r="W352" s="10">
        <v>991.9</v>
      </c>
      <c r="X352" s="10">
        <v>75.978000000000222</v>
      </c>
      <c r="Y352" s="11">
        <v>7.0004643757463375E-2</v>
      </c>
      <c r="Z352" s="6">
        <v>-4</v>
      </c>
      <c r="AA352" t="s">
        <v>35</v>
      </c>
    </row>
    <row r="353" spans="1:27" x14ac:dyDescent="0.25">
      <c r="A353" t="s">
        <v>494</v>
      </c>
      <c r="B353">
        <v>57</v>
      </c>
      <c r="C353" s="9">
        <v>45865.243611111109</v>
      </c>
      <c r="D353" t="s">
        <v>66</v>
      </c>
      <c r="E353" t="s">
        <v>67</v>
      </c>
      <c r="F353" t="s">
        <v>52</v>
      </c>
      <c r="G353">
        <v>263</v>
      </c>
      <c r="H353" s="6">
        <v>1</v>
      </c>
      <c r="I353" s="10">
        <v>34.49</v>
      </c>
      <c r="J353" s="10">
        <v>105.12</v>
      </c>
      <c r="L353" s="3">
        <v>0</v>
      </c>
      <c r="M353" t="s">
        <v>31</v>
      </c>
      <c r="N353" s="10">
        <v>55.59</v>
      </c>
      <c r="O353" t="s">
        <v>47</v>
      </c>
      <c r="P353" s="5">
        <v>45866</v>
      </c>
      <c r="Q353" s="5">
        <v>45875</v>
      </c>
      <c r="R353" s="5">
        <v>45873</v>
      </c>
      <c r="S353" t="s">
        <v>33</v>
      </c>
      <c r="T353" s="6">
        <v>4</v>
      </c>
      <c r="U353" t="s">
        <v>127</v>
      </c>
      <c r="V353" s="10">
        <v>105.12</v>
      </c>
      <c r="W353" s="10">
        <v>34.49</v>
      </c>
      <c r="X353" s="10">
        <v>15.03999999999999</v>
      </c>
      <c r="Y353" s="11">
        <v>0.1430745814307457</v>
      </c>
      <c r="Z353" s="6">
        <v>-2</v>
      </c>
      <c r="AA353" t="s">
        <v>35</v>
      </c>
    </row>
    <row r="354" spans="1:27" x14ac:dyDescent="0.25">
      <c r="A354" t="s">
        <v>495</v>
      </c>
      <c r="B354">
        <v>181</v>
      </c>
      <c r="C354" s="9">
        <v>45865.907268518517</v>
      </c>
      <c r="D354" t="s">
        <v>43</v>
      </c>
      <c r="E354" t="s">
        <v>44</v>
      </c>
      <c r="F354" t="s">
        <v>45</v>
      </c>
      <c r="G354">
        <v>0</v>
      </c>
      <c r="H354" s="6">
        <v>2</v>
      </c>
      <c r="I354" s="10">
        <v>22.86</v>
      </c>
      <c r="J354" s="10">
        <v>144.74</v>
      </c>
      <c r="K354" t="s">
        <v>60</v>
      </c>
      <c r="L354" s="3">
        <v>0.2</v>
      </c>
      <c r="M354" t="s">
        <v>31</v>
      </c>
      <c r="N354" s="10">
        <v>29.65</v>
      </c>
      <c r="O354" t="s">
        <v>99</v>
      </c>
      <c r="P354" s="5">
        <v>45866</v>
      </c>
      <c r="Q354" s="5">
        <v>45875</v>
      </c>
      <c r="S354" t="s">
        <v>63</v>
      </c>
      <c r="T354" s="6">
        <v>3</v>
      </c>
      <c r="U354" t="s">
        <v>352</v>
      </c>
      <c r="V354" s="10">
        <v>231.584</v>
      </c>
      <c r="W354" s="10">
        <v>45.72</v>
      </c>
      <c r="X354" s="10">
        <v>156.214</v>
      </c>
      <c r="Y354" s="11">
        <v>0.67454573718391597</v>
      </c>
      <c r="Z354" s="6"/>
      <c r="AA354" t="s">
        <v>56</v>
      </c>
    </row>
    <row r="355" spans="1:27" x14ac:dyDescent="0.25">
      <c r="A355" t="s">
        <v>496</v>
      </c>
      <c r="B355">
        <v>149</v>
      </c>
      <c r="C355" s="9">
        <v>45866.242048611108</v>
      </c>
      <c r="D355" t="s">
        <v>86</v>
      </c>
      <c r="E355" t="s">
        <v>87</v>
      </c>
      <c r="F355" t="s">
        <v>45</v>
      </c>
      <c r="G355">
        <v>0</v>
      </c>
      <c r="H355" s="6">
        <v>2</v>
      </c>
      <c r="I355" s="10">
        <v>52.15</v>
      </c>
      <c r="J355" s="10">
        <v>155.22999999999999</v>
      </c>
      <c r="L355" s="3">
        <v>0</v>
      </c>
      <c r="M355" t="s">
        <v>61</v>
      </c>
      <c r="N355" s="10">
        <v>18.47</v>
      </c>
      <c r="O355" t="s">
        <v>97</v>
      </c>
      <c r="P355" s="5">
        <v>45867</v>
      </c>
      <c r="Q355" s="5">
        <v>45874</v>
      </c>
      <c r="R355" s="5">
        <v>45874</v>
      </c>
      <c r="S355" t="s">
        <v>33</v>
      </c>
      <c r="T355" s="6">
        <v>5</v>
      </c>
      <c r="U355" t="s">
        <v>117</v>
      </c>
      <c r="V355" s="10">
        <v>310.45999999999998</v>
      </c>
      <c r="W355" s="10">
        <v>104.3</v>
      </c>
      <c r="X355" s="10">
        <v>187.69</v>
      </c>
      <c r="Y355" s="11">
        <v>0.60455453198479669</v>
      </c>
      <c r="Z355" s="6">
        <v>0</v>
      </c>
      <c r="AA355" t="s">
        <v>35</v>
      </c>
    </row>
    <row r="356" spans="1:27" x14ac:dyDescent="0.25">
      <c r="A356" t="s">
        <v>497</v>
      </c>
      <c r="B356">
        <v>120</v>
      </c>
      <c r="C356" s="9">
        <v>45866.452974537038</v>
      </c>
      <c r="D356" t="s">
        <v>137</v>
      </c>
      <c r="E356" t="s">
        <v>138</v>
      </c>
      <c r="F356" t="s">
        <v>52</v>
      </c>
      <c r="G356">
        <v>316</v>
      </c>
      <c r="H356" s="6">
        <v>1</v>
      </c>
      <c r="I356" s="10">
        <v>138.80000000000001</v>
      </c>
      <c r="J356" s="10">
        <v>249.72</v>
      </c>
      <c r="L356" s="3">
        <v>0</v>
      </c>
      <c r="M356" t="s">
        <v>31</v>
      </c>
      <c r="N356" s="10">
        <v>47.23</v>
      </c>
      <c r="O356" t="s">
        <v>68</v>
      </c>
      <c r="P356" s="5">
        <v>45868</v>
      </c>
      <c r="Q356" s="5">
        <v>45873</v>
      </c>
      <c r="R356" s="5">
        <v>45871</v>
      </c>
      <c r="S356" t="s">
        <v>33</v>
      </c>
      <c r="T356" s="6">
        <v>4</v>
      </c>
      <c r="U356" t="s">
        <v>134</v>
      </c>
      <c r="V356" s="10">
        <v>249.72</v>
      </c>
      <c r="W356" s="10">
        <v>138.80000000000001</v>
      </c>
      <c r="X356" s="10">
        <v>63.689999999999991</v>
      </c>
      <c r="Y356" s="11">
        <v>0.25504565112926469</v>
      </c>
      <c r="Z356" s="6">
        <v>-2</v>
      </c>
      <c r="AA356" t="s">
        <v>35</v>
      </c>
    </row>
    <row r="357" spans="1:27" x14ac:dyDescent="0.25">
      <c r="A357" t="s">
        <v>498</v>
      </c>
      <c r="B357">
        <v>66</v>
      </c>
      <c r="C357" s="9">
        <v>45867.251192129632</v>
      </c>
      <c r="D357" t="s">
        <v>66</v>
      </c>
      <c r="E357" t="s">
        <v>67</v>
      </c>
      <c r="F357" t="s">
        <v>52</v>
      </c>
      <c r="G357">
        <v>286</v>
      </c>
      <c r="H357" s="6">
        <v>1</v>
      </c>
      <c r="I357" s="10">
        <v>50.02</v>
      </c>
      <c r="J357" s="10">
        <v>148.66999999999999</v>
      </c>
      <c r="L357" s="3">
        <v>0</v>
      </c>
      <c r="M357" t="s">
        <v>76</v>
      </c>
      <c r="N357" s="10">
        <v>28.71</v>
      </c>
      <c r="O357" t="s">
        <v>62</v>
      </c>
      <c r="P357" s="5">
        <v>45869</v>
      </c>
      <c r="Q357" s="5">
        <v>45879</v>
      </c>
      <c r="S357" t="s">
        <v>63</v>
      </c>
      <c r="T357" s="6">
        <v>3</v>
      </c>
      <c r="U357" t="s">
        <v>243</v>
      </c>
      <c r="V357" s="10">
        <v>148.66999999999999</v>
      </c>
      <c r="W357" s="10">
        <v>50.02</v>
      </c>
      <c r="X357" s="10">
        <v>69.939999999999969</v>
      </c>
      <c r="Y357" s="11">
        <v>0.47043788255868679</v>
      </c>
      <c r="Z357" s="6"/>
      <c r="AA357" t="s">
        <v>56</v>
      </c>
    </row>
    <row r="358" spans="1:27" x14ac:dyDescent="0.25">
      <c r="A358" t="s">
        <v>499</v>
      </c>
      <c r="B358">
        <v>104</v>
      </c>
      <c r="C358" s="9">
        <v>45867.510740740741</v>
      </c>
      <c r="D358" t="s">
        <v>148</v>
      </c>
      <c r="E358" t="s">
        <v>149</v>
      </c>
      <c r="F358" t="s">
        <v>30</v>
      </c>
      <c r="G358">
        <v>2985</v>
      </c>
      <c r="H358" s="6">
        <v>2</v>
      </c>
      <c r="I358" s="10">
        <v>424.86</v>
      </c>
      <c r="J358" s="10">
        <v>856.8</v>
      </c>
      <c r="K358" t="s">
        <v>60</v>
      </c>
      <c r="L358" s="3">
        <v>0.2</v>
      </c>
      <c r="M358" t="s">
        <v>61</v>
      </c>
      <c r="N358" s="10">
        <v>136.12</v>
      </c>
      <c r="O358" t="s">
        <v>97</v>
      </c>
      <c r="P358" s="5">
        <v>45868</v>
      </c>
      <c r="Q358" s="5">
        <v>45878</v>
      </c>
      <c r="R358" s="5">
        <v>45875</v>
      </c>
      <c r="S358" t="s">
        <v>33</v>
      </c>
      <c r="T358" s="6">
        <v>5</v>
      </c>
      <c r="U358" t="s">
        <v>127</v>
      </c>
      <c r="V358" s="10">
        <v>1370.88</v>
      </c>
      <c r="W358" s="10">
        <v>849.72</v>
      </c>
      <c r="X358" s="10">
        <v>385.04000000000008</v>
      </c>
      <c r="Y358" s="11">
        <v>0.28087068160597578</v>
      </c>
      <c r="Z358" s="6">
        <v>-3</v>
      </c>
      <c r="AA358" t="s">
        <v>35</v>
      </c>
    </row>
    <row r="359" spans="1:27" x14ac:dyDescent="0.25">
      <c r="A359" t="s">
        <v>500</v>
      </c>
      <c r="B359">
        <v>181</v>
      </c>
      <c r="C359" s="9">
        <v>45867.828506944446</v>
      </c>
      <c r="D359" t="s">
        <v>137</v>
      </c>
      <c r="E359" t="s">
        <v>138</v>
      </c>
      <c r="F359" t="s">
        <v>52</v>
      </c>
      <c r="G359">
        <v>301</v>
      </c>
      <c r="H359" s="6">
        <v>1</v>
      </c>
      <c r="I359" s="10">
        <v>66.19</v>
      </c>
      <c r="J359" s="10">
        <v>261.04000000000002</v>
      </c>
      <c r="K359" t="s">
        <v>60</v>
      </c>
      <c r="L359" s="3">
        <v>0.2</v>
      </c>
      <c r="M359" t="s">
        <v>39</v>
      </c>
      <c r="N359" s="10">
        <v>25.92</v>
      </c>
      <c r="O359" t="s">
        <v>99</v>
      </c>
      <c r="P359" s="5">
        <v>45869</v>
      </c>
      <c r="Q359" s="5">
        <v>45876</v>
      </c>
      <c r="R359" s="5">
        <v>45875</v>
      </c>
      <c r="S359" t="s">
        <v>33</v>
      </c>
      <c r="T359" s="6">
        <v>5</v>
      </c>
      <c r="U359" t="s">
        <v>172</v>
      </c>
      <c r="V359" s="10">
        <v>208.83199999999999</v>
      </c>
      <c r="W359" s="10">
        <v>66.19</v>
      </c>
      <c r="X359" s="10">
        <v>116.72199999999999</v>
      </c>
      <c r="Y359" s="11">
        <v>0.55892775053631627</v>
      </c>
      <c r="Z359" s="6">
        <v>-1</v>
      </c>
      <c r="AA359" t="s">
        <v>35</v>
      </c>
    </row>
    <row r="360" spans="1:27" x14ac:dyDescent="0.25">
      <c r="A360" t="s">
        <v>501</v>
      </c>
      <c r="B360">
        <v>65</v>
      </c>
      <c r="C360" s="9">
        <v>45868.011192129627</v>
      </c>
      <c r="D360" t="s">
        <v>37</v>
      </c>
      <c r="E360" t="s">
        <v>38</v>
      </c>
      <c r="F360" t="s">
        <v>30</v>
      </c>
      <c r="G360">
        <v>2668</v>
      </c>
      <c r="H360" s="6">
        <v>3</v>
      </c>
      <c r="I360" s="10">
        <v>862.83</v>
      </c>
      <c r="J360" s="10">
        <v>1143.94</v>
      </c>
      <c r="L360" s="3">
        <v>0</v>
      </c>
      <c r="M360" t="s">
        <v>76</v>
      </c>
      <c r="N360" s="10">
        <v>85.35</v>
      </c>
      <c r="O360" t="s">
        <v>68</v>
      </c>
      <c r="P360" s="5">
        <v>45869</v>
      </c>
      <c r="Q360" s="5">
        <v>45876</v>
      </c>
      <c r="R360" s="5">
        <v>45871</v>
      </c>
      <c r="S360" t="s">
        <v>33</v>
      </c>
      <c r="T360" s="6">
        <v>5</v>
      </c>
      <c r="U360" t="s">
        <v>41</v>
      </c>
      <c r="V360" s="10">
        <v>3431.82</v>
      </c>
      <c r="W360" s="10">
        <v>2588.4899999999998</v>
      </c>
      <c r="X360" s="10">
        <v>757.9799999999999</v>
      </c>
      <c r="Y360" s="11">
        <v>0.2208682273545815</v>
      </c>
      <c r="Z360" s="6">
        <v>-5</v>
      </c>
      <c r="AA360" t="s">
        <v>35</v>
      </c>
    </row>
    <row r="361" spans="1:27" x14ac:dyDescent="0.25">
      <c r="A361" t="s">
        <v>502</v>
      </c>
      <c r="B361">
        <v>63</v>
      </c>
      <c r="C361" s="9">
        <v>45868.092291666668</v>
      </c>
      <c r="D361" t="s">
        <v>110</v>
      </c>
      <c r="E361" t="s">
        <v>111</v>
      </c>
      <c r="F361" t="s">
        <v>30</v>
      </c>
      <c r="G361">
        <v>2071</v>
      </c>
      <c r="H361" s="6">
        <v>1</v>
      </c>
      <c r="I361" s="10">
        <v>949.53</v>
      </c>
      <c r="J361" s="10">
        <v>2484.4299999999998</v>
      </c>
      <c r="K361" t="s">
        <v>60</v>
      </c>
      <c r="L361" s="3">
        <v>0.2</v>
      </c>
      <c r="M361" t="s">
        <v>61</v>
      </c>
      <c r="N361" s="10">
        <v>126.57</v>
      </c>
      <c r="O361" t="s">
        <v>68</v>
      </c>
      <c r="P361" s="5">
        <v>45870</v>
      </c>
      <c r="Q361" s="5">
        <v>45875</v>
      </c>
      <c r="S361" t="s">
        <v>54</v>
      </c>
      <c r="T361" s="6">
        <v>4</v>
      </c>
      <c r="U361" t="s">
        <v>127</v>
      </c>
      <c r="V361" s="10">
        <v>1987.5440000000001</v>
      </c>
      <c r="W361" s="10">
        <v>949.53</v>
      </c>
      <c r="X361" s="10">
        <v>911.44399999999996</v>
      </c>
      <c r="Y361" s="11">
        <v>0.45857802393305508</v>
      </c>
      <c r="Z361" s="6"/>
      <c r="AA361" t="s">
        <v>56</v>
      </c>
    </row>
    <row r="362" spans="1:27" x14ac:dyDescent="0.25">
      <c r="A362" t="s">
        <v>503</v>
      </c>
      <c r="B362">
        <v>49</v>
      </c>
      <c r="C362" s="9">
        <v>45868.201018518521</v>
      </c>
      <c r="D362" t="s">
        <v>50</v>
      </c>
      <c r="E362" t="s">
        <v>51</v>
      </c>
      <c r="F362" t="s">
        <v>52</v>
      </c>
      <c r="G362">
        <v>643</v>
      </c>
      <c r="H362" s="6">
        <v>1</v>
      </c>
      <c r="I362" s="10">
        <v>98.23</v>
      </c>
      <c r="J362" s="10">
        <v>154.76</v>
      </c>
      <c r="K362" t="s">
        <v>60</v>
      </c>
      <c r="L362" s="3">
        <v>0.2</v>
      </c>
      <c r="M362" t="s">
        <v>39</v>
      </c>
      <c r="N362" s="10">
        <v>25.43</v>
      </c>
      <c r="O362" t="s">
        <v>40</v>
      </c>
      <c r="P362" s="5">
        <v>45870</v>
      </c>
      <c r="Q362" s="5">
        <v>45877</v>
      </c>
      <c r="S362" t="s">
        <v>54</v>
      </c>
      <c r="T362" s="6">
        <v>4</v>
      </c>
      <c r="U362" t="s">
        <v>34</v>
      </c>
      <c r="V362" s="10">
        <v>123.80800000000001</v>
      </c>
      <c r="W362" s="10">
        <v>98.23</v>
      </c>
      <c r="X362" s="10">
        <v>0.147999999999989</v>
      </c>
      <c r="Y362" s="11">
        <v>1.195399327991641E-3</v>
      </c>
      <c r="Z362" s="6"/>
      <c r="AA362" t="s">
        <v>56</v>
      </c>
    </row>
    <row r="363" spans="1:27" x14ac:dyDescent="0.25">
      <c r="A363" t="s">
        <v>504</v>
      </c>
      <c r="B363">
        <v>113</v>
      </c>
      <c r="C363" s="9">
        <v>45868.202534722222</v>
      </c>
      <c r="D363" t="s">
        <v>164</v>
      </c>
      <c r="E363" t="s">
        <v>165</v>
      </c>
      <c r="F363" t="s">
        <v>116</v>
      </c>
      <c r="G363">
        <v>0</v>
      </c>
      <c r="H363" s="6">
        <v>3</v>
      </c>
      <c r="I363" s="10">
        <v>442.06</v>
      </c>
      <c r="J363" s="10">
        <v>613.79999999999995</v>
      </c>
      <c r="K363" t="s">
        <v>46</v>
      </c>
      <c r="L363" s="3">
        <v>0.1</v>
      </c>
      <c r="M363" t="s">
        <v>76</v>
      </c>
      <c r="N363" s="10">
        <v>23.51</v>
      </c>
      <c r="O363" t="s">
        <v>62</v>
      </c>
      <c r="P363" s="5">
        <v>45870</v>
      </c>
      <c r="Q363" s="5">
        <v>45875</v>
      </c>
      <c r="S363" t="s">
        <v>54</v>
      </c>
      <c r="T363" s="6">
        <v>3</v>
      </c>
      <c r="U363" t="s">
        <v>55</v>
      </c>
      <c r="V363" s="10">
        <v>1657.26</v>
      </c>
      <c r="W363" s="10">
        <v>1326.18</v>
      </c>
      <c r="X363" s="10">
        <v>307.56999999999988</v>
      </c>
      <c r="Y363" s="11">
        <v>0.1855894669514741</v>
      </c>
      <c r="Z363" s="6"/>
      <c r="AA363" t="s">
        <v>56</v>
      </c>
    </row>
    <row r="364" spans="1:27" x14ac:dyDescent="0.25">
      <c r="A364" t="s">
        <v>505</v>
      </c>
      <c r="B364">
        <v>112</v>
      </c>
      <c r="C364" s="9">
        <v>45868.345266203702</v>
      </c>
      <c r="D364" t="s">
        <v>137</v>
      </c>
      <c r="E364" t="s">
        <v>138</v>
      </c>
      <c r="F364" t="s">
        <v>52</v>
      </c>
      <c r="G364">
        <v>412</v>
      </c>
      <c r="H364" s="6">
        <v>3</v>
      </c>
      <c r="I364" s="10">
        <v>145.46</v>
      </c>
      <c r="J364" s="10">
        <v>241.79</v>
      </c>
      <c r="K364" t="s">
        <v>60</v>
      </c>
      <c r="L364" s="3">
        <v>0.2</v>
      </c>
      <c r="M364" t="s">
        <v>39</v>
      </c>
      <c r="N364" s="10">
        <v>21.61</v>
      </c>
      <c r="O364" t="s">
        <v>40</v>
      </c>
      <c r="P364" s="5">
        <v>45870</v>
      </c>
      <c r="Q364" s="5">
        <v>45876</v>
      </c>
      <c r="R364" s="5">
        <v>45881</v>
      </c>
      <c r="S364" t="s">
        <v>33</v>
      </c>
      <c r="T364" s="6">
        <v>1</v>
      </c>
      <c r="U364" t="s">
        <v>131</v>
      </c>
      <c r="V364" s="10">
        <v>580.29600000000005</v>
      </c>
      <c r="W364" s="10">
        <v>436.38</v>
      </c>
      <c r="X364" s="10">
        <v>122.3060000000001</v>
      </c>
      <c r="Y364" s="11">
        <v>0.2107648510415375</v>
      </c>
      <c r="Z364" s="6">
        <v>5</v>
      </c>
      <c r="AA364" t="s">
        <v>103</v>
      </c>
    </row>
    <row r="365" spans="1:27" x14ac:dyDescent="0.25">
      <c r="A365" t="s">
        <v>506</v>
      </c>
      <c r="B365">
        <v>182</v>
      </c>
      <c r="C365" s="9">
        <v>45868.420659722222</v>
      </c>
      <c r="D365" t="s">
        <v>43</v>
      </c>
      <c r="E365" t="s">
        <v>44</v>
      </c>
      <c r="F365" t="s">
        <v>45</v>
      </c>
      <c r="G365">
        <v>0</v>
      </c>
      <c r="H365" s="6">
        <v>1</v>
      </c>
      <c r="I365" s="10">
        <v>24.68</v>
      </c>
      <c r="J365" s="10">
        <v>128.38999999999999</v>
      </c>
      <c r="L365" s="3">
        <v>0</v>
      </c>
      <c r="M365" t="s">
        <v>61</v>
      </c>
      <c r="N365" s="10">
        <v>24.27</v>
      </c>
      <c r="O365" t="s">
        <v>47</v>
      </c>
      <c r="P365" s="5">
        <v>45869</v>
      </c>
      <c r="Q365" s="5">
        <v>45879</v>
      </c>
      <c r="S365" t="s">
        <v>54</v>
      </c>
      <c r="T365" s="6">
        <v>3</v>
      </c>
      <c r="U365" t="s">
        <v>146</v>
      </c>
      <c r="V365" s="10">
        <v>128.38999999999999</v>
      </c>
      <c r="W365" s="10">
        <v>24.68</v>
      </c>
      <c r="X365" s="10">
        <v>79.439999999999984</v>
      </c>
      <c r="Y365" s="11">
        <v>0.61873977724121809</v>
      </c>
      <c r="Z365" s="6"/>
      <c r="AA365" t="s">
        <v>56</v>
      </c>
    </row>
    <row r="366" spans="1:27" x14ac:dyDescent="0.25">
      <c r="A366" t="s">
        <v>507</v>
      </c>
      <c r="B366">
        <v>182</v>
      </c>
      <c r="C366" s="9">
        <v>45868.619340277779</v>
      </c>
      <c r="D366" t="s">
        <v>92</v>
      </c>
      <c r="E366" t="s">
        <v>93</v>
      </c>
      <c r="F366" t="s">
        <v>52</v>
      </c>
      <c r="G366">
        <v>243</v>
      </c>
      <c r="H366" s="6">
        <v>3</v>
      </c>
      <c r="I366" s="10">
        <v>55.67</v>
      </c>
      <c r="J366" s="10">
        <v>113.06</v>
      </c>
      <c r="L366" s="3">
        <v>0</v>
      </c>
      <c r="M366" t="s">
        <v>39</v>
      </c>
      <c r="N366" s="10">
        <v>24.69</v>
      </c>
      <c r="O366" t="s">
        <v>68</v>
      </c>
      <c r="P366" s="5">
        <v>45870</v>
      </c>
      <c r="Q366" s="5">
        <v>45878</v>
      </c>
      <c r="R366" s="5">
        <v>45873</v>
      </c>
      <c r="S366" t="s">
        <v>33</v>
      </c>
      <c r="T366" s="6">
        <v>5</v>
      </c>
      <c r="U366" t="s">
        <v>84</v>
      </c>
      <c r="V366" s="10">
        <v>339.18</v>
      </c>
      <c r="W366" s="10">
        <v>167.01</v>
      </c>
      <c r="X366" s="10">
        <v>147.47999999999999</v>
      </c>
      <c r="Y366" s="11">
        <v>0.43481337343003718</v>
      </c>
      <c r="Z366" s="6">
        <v>-5</v>
      </c>
      <c r="AA366" t="s">
        <v>35</v>
      </c>
    </row>
    <row r="367" spans="1:27" x14ac:dyDescent="0.25">
      <c r="A367" t="s">
        <v>508</v>
      </c>
      <c r="B367">
        <v>167</v>
      </c>
      <c r="C367" s="9">
        <v>45868.792824074073</v>
      </c>
      <c r="D367" t="s">
        <v>110</v>
      </c>
      <c r="E367" t="s">
        <v>111</v>
      </c>
      <c r="F367" t="s">
        <v>30</v>
      </c>
      <c r="G367">
        <v>2095</v>
      </c>
      <c r="H367" s="6">
        <v>2</v>
      </c>
      <c r="I367" s="10">
        <v>1055.51</v>
      </c>
      <c r="J367" s="10">
        <v>1234.06</v>
      </c>
      <c r="K367" t="s">
        <v>60</v>
      </c>
      <c r="L367" s="3">
        <v>0.2</v>
      </c>
      <c r="M367" t="s">
        <v>61</v>
      </c>
      <c r="N367" s="10">
        <v>94.63</v>
      </c>
      <c r="O367" t="s">
        <v>47</v>
      </c>
      <c r="P367" s="5">
        <v>45869</v>
      </c>
      <c r="Q367" s="5">
        <v>45877</v>
      </c>
      <c r="S367" t="s">
        <v>63</v>
      </c>
      <c r="T367" s="6">
        <v>1</v>
      </c>
      <c r="U367" t="s">
        <v>170</v>
      </c>
      <c r="V367" s="10">
        <v>1974.4960000000001</v>
      </c>
      <c r="W367" s="10">
        <v>2111.02</v>
      </c>
      <c r="X367" s="10">
        <v>-231.15399999999991</v>
      </c>
      <c r="Y367" s="11">
        <v>-0.11706987504659409</v>
      </c>
      <c r="Z367" s="6"/>
      <c r="AA367" t="s">
        <v>56</v>
      </c>
    </row>
    <row r="368" spans="1:27" x14ac:dyDescent="0.25">
      <c r="A368" t="s">
        <v>509</v>
      </c>
      <c r="B368">
        <v>179</v>
      </c>
      <c r="C368" s="9">
        <v>45869.171585648153</v>
      </c>
      <c r="D368" t="s">
        <v>110</v>
      </c>
      <c r="E368" t="s">
        <v>111</v>
      </c>
      <c r="F368" t="s">
        <v>30</v>
      </c>
      <c r="G368">
        <v>2165</v>
      </c>
      <c r="H368" s="6">
        <v>2</v>
      </c>
      <c r="I368" s="10">
        <v>1370.03</v>
      </c>
      <c r="J368" s="10">
        <v>1720.37</v>
      </c>
      <c r="L368" s="3">
        <v>0</v>
      </c>
      <c r="M368" t="s">
        <v>31</v>
      </c>
      <c r="N368" s="10">
        <v>108.68</v>
      </c>
      <c r="O368" t="s">
        <v>47</v>
      </c>
      <c r="P368" s="5">
        <v>45871</v>
      </c>
      <c r="Q368" s="5">
        <v>45881</v>
      </c>
      <c r="R368" s="5">
        <v>45881</v>
      </c>
      <c r="S368" t="s">
        <v>33</v>
      </c>
      <c r="T368" s="6">
        <v>4</v>
      </c>
      <c r="U368" t="s">
        <v>211</v>
      </c>
      <c r="V368" s="10">
        <v>3440.74</v>
      </c>
      <c r="W368" s="10">
        <v>2740.06</v>
      </c>
      <c r="X368" s="10">
        <v>591.99999999999977</v>
      </c>
      <c r="Y368" s="11">
        <v>0.17205601120689151</v>
      </c>
      <c r="Z368" s="6">
        <v>0</v>
      </c>
      <c r="AA368" t="s">
        <v>35</v>
      </c>
    </row>
    <row r="369" spans="1:27" x14ac:dyDescent="0.25">
      <c r="A369" t="s">
        <v>510</v>
      </c>
      <c r="B369">
        <v>135</v>
      </c>
      <c r="C369" s="9">
        <v>45869.615752314807</v>
      </c>
      <c r="D369" t="s">
        <v>71</v>
      </c>
      <c r="E369" t="s">
        <v>72</v>
      </c>
      <c r="F369" t="s">
        <v>52</v>
      </c>
      <c r="G369">
        <v>310</v>
      </c>
      <c r="H369" s="6">
        <v>3</v>
      </c>
      <c r="I369" s="10">
        <v>42.52</v>
      </c>
      <c r="J369" s="10">
        <v>106.4</v>
      </c>
      <c r="L369" s="3">
        <v>0</v>
      </c>
      <c r="M369" t="s">
        <v>76</v>
      </c>
      <c r="N369" s="10">
        <v>40.299999999999997</v>
      </c>
      <c r="O369" t="s">
        <v>97</v>
      </c>
      <c r="P369" s="5">
        <v>45871</v>
      </c>
      <c r="Q369" s="5">
        <v>45877</v>
      </c>
      <c r="S369" t="s">
        <v>54</v>
      </c>
      <c r="T369" s="6">
        <v>3</v>
      </c>
      <c r="U369" t="s">
        <v>243</v>
      </c>
      <c r="V369" s="10">
        <v>319.2</v>
      </c>
      <c r="W369" s="10">
        <v>127.56</v>
      </c>
      <c r="X369" s="10">
        <v>151.34</v>
      </c>
      <c r="Y369" s="11">
        <v>0.47412280701754389</v>
      </c>
      <c r="Z369" s="6"/>
      <c r="AA369" t="s">
        <v>56</v>
      </c>
    </row>
    <row r="370" spans="1:27" x14ac:dyDescent="0.25">
      <c r="A370" t="s">
        <v>511</v>
      </c>
      <c r="B370">
        <v>65</v>
      </c>
      <c r="C370" s="9">
        <v>45869.809733796297</v>
      </c>
      <c r="D370" t="s">
        <v>89</v>
      </c>
      <c r="E370" t="s">
        <v>90</v>
      </c>
      <c r="F370" t="s">
        <v>52</v>
      </c>
      <c r="G370">
        <v>349</v>
      </c>
      <c r="H370" s="6">
        <v>1</v>
      </c>
      <c r="I370" s="10">
        <v>62.04</v>
      </c>
      <c r="J370" s="10">
        <v>201.28</v>
      </c>
      <c r="K370" t="s">
        <v>60</v>
      </c>
      <c r="L370" s="3">
        <v>0.2</v>
      </c>
      <c r="M370" t="s">
        <v>39</v>
      </c>
      <c r="N370" s="10">
        <v>45.17</v>
      </c>
      <c r="O370" t="s">
        <v>97</v>
      </c>
      <c r="P370" s="5">
        <v>45871</v>
      </c>
      <c r="Q370" s="5">
        <v>45877</v>
      </c>
      <c r="S370" t="s">
        <v>161</v>
      </c>
      <c r="T370" s="6">
        <v>1</v>
      </c>
      <c r="U370" t="s">
        <v>185</v>
      </c>
      <c r="V370" s="10">
        <v>161.024</v>
      </c>
      <c r="W370" s="10">
        <v>62.04</v>
      </c>
      <c r="X370" s="10">
        <v>53.814000000000007</v>
      </c>
      <c r="Y370" s="11">
        <v>0.33419862877583473</v>
      </c>
      <c r="Z370" s="6"/>
      <c r="AA370" t="s">
        <v>56</v>
      </c>
    </row>
    <row r="371" spans="1:27" x14ac:dyDescent="0.25">
      <c r="A371" t="s">
        <v>512</v>
      </c>
      <c r="B371">
        <v>64</v>
      </c>
      <c r="C371" s="9">
        <v>45870.106157407397</v>
      </c>
      <c r="D371" t="s">
        <v>89</v>
      </c>
      <c r="E371" t="s">
        <v>90</v>
      </c>
      <c r="F371" t="s">
        <v>52</v>
      </c>
      <c r="G371">
        <v>284</v>
      </c>
      <c r="H371" s="6">
        <v>3</v>
      </c>
      <c r="I371" s="10">
        <v>47.3</v>
      </c>
      <c r="J371" s="10">
        <v>116.89</v>
      </c>
      <c r="K371" t="s">
        <v>46</v>
      </c>
      <c r="L371" s="3">
        <v>0.1</v>
      </c>
      <c r="M371" t="s">
        <v>76</v>
      </c>
      <c r="N371" s="10">
        <v>30.91</v>
      </c>
      <c r="O371" t="s">
        <v>40</v>
      </c>
      <c r="P371" s="5">
        <v>45872</v>
      </c>
      <c r="Q371" s="5">
        <v>45879</v>
      </c>
      <c r="S371" t="s">
        <v>161</v>
      </c>
      <c r="T371" s="6">
        <v>2</v>
      </c>
      <c r="U371" t="s">
        <v>102</v>
      </c>
      <c r="V371" s="10">
        <v>315.60300000000001</v>
      </c>
      <c r="W371" s="10">
        <v>141.9</v>
      </c>
      <c r="X371" s="10">
        <v>142.79300000000001</v>
      </c>
      <c r="Y371" s="11">
        <v>0.45244500210707772</v>
      </c>
      <c r="Z371" s="6"/>
      <c r="AA371" t="s">
        <v>56</v>
      </c>
    </row>
    <row r="372" spans="1:27" x14ac:dyDescent="0.25">
      <c r="A372" t="s">
        <v>513</v>
      </c>
      <c r="B372">
        <v>46</v>
      </c>
      <c r="C372" s="9">
        <v>45870.831597222219</v>
      </c>
      <c r="D372" t="s">
        <v>198</v>
      </c>
      <c r="E372" t="s">
        <v>199</v>
      </c>
      <c r="F372" t="s">
        <v>116</v>
      </c>
      <c r="G372">
        <v>0</v>
      </c>
      <c r="H372" s="6">
        <v>3</v>
      </c>
      <c r="I372" s="10">
        <v>363.02</v>
      </c>
      <c r="J372" s="10">
        <v>579.33000000000004</v>
      </c>
      <c r="L372" s="3">
        <v>0</v>
      </c>
      <c r="M372" t="s">
        <v>31</v>
      </c>
      <c r="N372" s="10">
        <v>23.7</v>
      </c>
      <c r="O372" t="s">
        <v>83</v>
      </c>
      <c r="P372" s="5">
        <v>45872</v>
      </c>
      <c r="Q372" s="5">
        <v>45877</v>
      </c>
      <c r="R372" s="5">
        <v>45879</v>
      </c>
      <c r="S372" t="s">
        <v>33</v>
      </c>
      <c r="T372" s="6">
        <v>3</v>
      </c>
      <c r="U372" t="s">
        <v>405</v>
      </c>
      <c r="V372" s="10">
        <v>1737.99</v>
      </c>
      <c r="W372" s="10">
        <v>1089.06</v>
      </c>
      <c r="X372" s="10">
        <v>625.23000000000025</v>
      </c>
      <c r="Y372" s="11">
        <v>0.35974315157164322</v>
      </c>
      <c r="Z372" s="6">
        <v>2</v>
      </c>
      <c r="AA372" t="s">
        <v>103</v>
      </c>
    </row>
    <row r="373" spans="1:27" x14ac:dyDescent="0.25">
      <c r="A373" t="s">
        <v>514</v>
      </c>
      <c r="B373">
        <v>139</v>
      </c>
      <c r="C373" s="9">
        <v>45871.14135416667</v>
      </c>
      <c r="D373" t="s">
        <v>86</v>
      </c>
      <c r="E373" t="s">
        <v>87</v>
      </c>
      <c r="F373" t="s">
        <v>45</v>
      </c>
      <c r="G373">
        <v>0</v>
      </c>
      <c r="H373" s="6">
        <v>2</v>
      </c>
      <c r="I373" s="10">
        <v>71.260000000000005</v>
      </c>
      <c r="J373" s="10">
        <v>96.88</v>
      </c>
      <c r="K373" t="s">
        <v>60</v>
      </c>
      <c r="L373" s="3">
        <v>0.2</v>
      </c>
      <c r="M373" t="s">
        <v>76</v>
      </c>
      <c r="N373" s="10">
        <v>21.22</v>
      </c>
      <c r="O373" t="s">
        <v>47</v>
      </c>
      <c r="P373" s="5">
        <v>45872</v>
      </c>
      <c r="Q373" s="5">
        <v>45877</v>
      </c>
      <c r="S373" t="s">
        <v>63</v>
      </c>
      <c r="T373" s="6">
        <v>3</v>
      </c>
      <c r="U373" t="s">
        <v>121</v>
      </c>
      <c r="V373" s="10">
        <v>155.00800000000001</v>
      </c>
      <c r="W373" s="10">
        <v>142.52000000000001</v>
      </c>
      <c r="X373" s="10">
        <v>-8.7319999999999993</v>
      </c>
      <c r="Y373" s="11">
        <v>-5.6332576383154413E-2</v>
      </c>
      <c r="Z373" s="6"/>
      <c r="AA373" t="s">
        <v>56</v>
      </c>
    </row>
    <row r="374" spans="1:27" x14ac:dyDescent="0.25">
      <c r="A374" t="s">
        <v>515</v>
      </c>
      <c r="B374">
        <v>1</v>
      </c>
      <c r="C374" s="9">
        <v>45871.528969907413</v>
      </c>
      <c r="D374" t="s">
        <v>177</v>
      </c>
      <c r="E374" t="s">
        <v>178</v>
      </c>
      <c r="F374" t="s">
        <v>116</v>
      </c>
      <c r="G374">
        <v>0</v>
      </c>
      <c r="H374" s="6">
        <v>3</v>
      </c>
      <c r="I374" s="10">
        <v>194.02</v>
      </c>
      <c r="J374" s="10">
        <v>516.12</v>
      </c>
      <c r="K374" t="s">
        <v>46</v>
      </c>
      <c r="L374" s="3">
        <v>0.1</v>
      </c>
      <c r="M374" t="s">
        <v>31</v>
      </c>
      <c r="N374" s="10">
        <v>23.97</v>
      </c>
      <c r="O374" t="s">
        <v>47</v>
      </c>
      <c r="P374" s="5">
        <v>45873</v>
      </c>
      <c r="Q374" s="5">
        <v>45880</v>
      </c>
      <c r="R374" s="5">
        <v>45885</v>
      </c>
      <c r="S374" t="s">
        <v>33</v>
      </c>
      <c r="T374" s="6">
        <v>3</v>
      </c>
      <c r="U374" t="s">
        <v>230</v>
      </c>
      <c r="V374" s="10">
        <v>1393.5239999999999</v>
      </c>
      <c r="W374" s="10">
        <v>582.06000000000006</v>
      </c>
      <c r="X374" s="10">
        <v>787.49400000000003</v>
      </c>
      <c r="Y374" s="11">
        <v>0.56510975053174539</v>
      </c>
      <c r="Z374" s="6">
        <v>5</v>
      </c>
      <c r="AA374" t="s">
        <v>103</v>
      </c>
    </row>
    <row r="375" spans="1:27" x14ac:dyDescent="0.25">
      <c r="A375" t="s">
        <v>516</v>
      </c>
      <c r="B375">
        <v>115</v>
      </c>
      <c r="C375" s="9">
        <v>45872.371550925927</v>
      </c>
      <c r="D375" t="s">
        <v>66</v>
      </c>
      <c r="E375" t="s">
        <v>67</v>
      </c>
      <c r="F375" t="s">
        <v>52</v>
      </c>
      <c r="G375">
        <v>225</v>
      </c>
      <c r="H375" s="6">
        <v>2</v>
      </c>
      <c r="I375" s="10">
        <v>69.069999999999993</v>
      </c>
      <c r="J375" s="10">
        <v>134.37</v>
      </c>
      <c r="L375" s="3">
        <v>0</v>
      </c>
      <c r="M375" t="s">
        <v>31</v>
      </c>
      <c r="N375" s="10">
        <v>39.65</v>
      </c>
      <c r="O375" t="s">
        <v>68</v>
      </c>
      <c r="P375" s="5">
        <v>45874</v>
      </c>
      <c r="Q375" s="5">
        <v>45882</v>
      </c>
      <c r="R375" s="5">
        <v>45879</v>
      </c>
      <c r="S375" t="s">
        <v>33</v>
      </c>
      <c r="T375" s="6">
        <v>5</v>
      </c>
      <c r="U375" t="s">
        <v>79</v>
      </c>
      <c r="V375" s="10">
        <v>268.74</v>
      </c>
      <c r="W375" s="10">
        <v>138.13999999999999</v>
      </c>
      <c r="X375" s="10">
        <v>90.950000000000017</v>
      </c>
      <c r="Y375" s="11">
        <v>0.3384311974399048</v>
      </c>
      <c r="Z375" s="6">
        <v>-3</v>
      </c>
      <c r="AA375" t="s">
        <v>35</v>
      </c>
    </row>
    <row r="376" spans="1:27" x14ac:dyDescent="0.25">
      <c r="A376" t="s">
        <v>517</v>
      </c>
      <c r="B376">
        <v>119</v>
      </c>
      <c r="C376" s="9">
        <v>45872.390833333331</v>
      </c>
      <c r="D376" t="s">
        <v>89</v>
      </c>
      <c r="E376" t="s">
        <v>90</v>
      </c>
      <c r="F376" t="s">
        <v>52</v>
      </c>
      <c r="G376">
        <v>290</v>
      </c>
      <c r="H376" s="6">
        <v>1</v>
      </c>
      <c r="I376" s="10">
        <v>90.51</v>
      </c>
      <c r="J376" s="10">
        <v>215.79</v>
      </c>
      <c r="L376" s="3">
        <v>0</v>
      </c>
      <c r="M376" t="s">
        <v>76</v>
      </c>
      <c r="N376" s="10">
        <v>55.62</v>
      </c>
      <c r="O376" t="s">
        <v>150</v>
      </c>
      <c r="P376" s="5">
        <v>45873</v>
      </c>
      <c r="Q376" s="5">
        <v>45882</v>
      </c>
      <c r="R376" s="5">
        <v>45886</v>
      </c>
      <c r="S376" t="s">
        <v>33</v>
      </c>
      <c r="T376" s="6">
        <v>2</v>
      </c>
      <c r="U376" t="s">
        <v>162</v>
      </c>
      <c r="V376" s="10">
        <v>215.79</v>
      </c>
      <c r="W376" s="10">
        <v>90.51</v>
      </c>
      <c r="X376" s="10">
        <v>69.66</v>
      </c>
      <c r="Y376" s="11">
        <v>0.32281384679549557</v>
      </c>
      <c r="Z376" s="6">
        <v>4</v>
      </c>
      <c r="AA376" t="s">
        <v>103</v>
      </c>
    </row>
    <row r="377" spans="1:27" x14ac:dyDescent="0.25">
      <c r="A377" t="s">
        <v>518</v>
      </c>
      <c r="B377">
        <v>63</v>
      </c>
      <c r="C377" s="9">
        <v>45873.484224537038</v>
      </c>
      <c r="D377" t="s">
        <v>105</v>
      </c>
      <c r="E377" t="s">
        <v>106</v>
      </c>
      <c r="F377" t="s">
        <v>30</v>
      </c>
      <c r="G377">
        <v>2046</v>
      </c>
      <c r="H377" s="6">
        <v>2</v>
      </c>
      <c r="I377" s="10">
        <v>392.45</v>
      </c>
      <c r="J377" s="10">
        <v>666.51</v>
      </c>
      <c r="K377" t="s">
        <v>60</v>
      </c>
      <c r="L377" s="3">
        <v>0.2</v>
      </c>
      <c r="M377" t="s">
        <v>76</v>
      </c>
      <c r="N377" s="10">
        <v>124.13</v>
      </c>
      <c r="O377" t="s">
        <v>47</v>
      </c>
      <c r="P377" s="5">
        <v>45875</v>
      </c>
      <c r="Q377" s="5">
        <v>45883</v>
      </c>
      <c r="S377" t="s">
        <v>54</v>
      </c>
      <c r="T377" s="6">
        <v>3</v>
      </c>
      <c r="U377" t="s">
        <v>238</v>
      </c>
      <c r="V377" s="10">
        <v>1066.4159999999999</v>
      </c>
      <c r="W377" s="10">
        <v>784.9</v>
      </c>
      <c r="X377" s="10">
        <v>157.386</v>
      </c>
      <c r="Y377" s="11">
        <v>0.1475840572534545</v>
      </c>
      <c r="Z377" s="6"/>
      <c r="AA377" t="s">
        <v>56</v>
      </c>
    </row>
    <row r="378" spans="1:27" x14ac:dyDescent="0.25">
      <c r="A378" t="s">
        <v>519</v>
      </c>
      <c r="B378">
        <v>197</v>
      </c>
      <c r="C378" s="9">
        <v>45873.879155092603</v>
      </c>
      <c r="D378" t="s">
        <v>86</v>
      </c>
      <c r="E378" t="s">
        <v>87</v>
      </c>
      <c r="F378" t="s">
        <v>45</v>
      </c>
      <c r="G378">
        <v>0</v>
      </c>
      <c r="H378" s="6">
        <v>3</v>
      </c>
      <c r="I378" s="10">
        <v>52.58</v>
      </c>
      <c r="J378" s="10">
        <v>141.9</v>
      </c>
      <c r="K378" t="s">
        <v>46</v>
      </c>
      <c r="L378" s="3">
        <v>0.1</v>
      </c>
      <c r="M378" t="s">
        <v>61</v>
      </c>
      <c r="N378" s="10">
        <v>27.96</v>
      </c>
      <c r="O378" t="s">
        <v>150</v>
      </c>
      <c r="P378" s="5">
        <v>45875</v>
      </c>
      <c r="Q378" s="5">
        <v>45881</v>
      </c>
      <c r="R378" s="5">
        <v>45880</v>
      </c>
      <c r="S378" t="s">
        <v>33</v>
      </c>
      <c r="T378" s="6">
        <v>4</v>
      </c>
      <c r="U378" t="s">
        <v>127</v>
      </c>
      <c r="V378" s="10">
        <v>383.13000000000011</v>
      </c>
      <c r="W378" s="10">
        <v>157.74</v>
      </c>
      <c r="X378" s="10">
        <v>197.43</v>
      </c>
      <c r="Y378" s="11">
        <v>0.51530811995928272</v>
      </c>
      <c r="Z378" s="6">
        <v>-1</v>
      </c>
      <c r="AA378" t="s">
        <v>35</v>
      </c>
    </row>
    <row r="379" spans="1:27" x14ac:dyDescent="0.25">
      <c r="A379" t="s">
        <v>520</v>
      </c>
      <c r="B379">
        <v>92</v>
      </c>
      <c r="C379" s="9">
        <v>45874.245810185188</v>
      </c>
      <c r="D379" t="s">
        <v>86</v>
      </c>
      <c r="E379" t="s">
        <v>87</v>
      </c>
      <c r="F379" t="s">
        <v>45</v>
      </c>
      <c r="G379">
        <v>0</v>
      </c>
      <c r="H379" s="6">
        <v>1</v>
      </c>
      <c r="I379" s="10">
        <v>37.32</v>
      </c>
      <c r="J379" s="10">
        <v>124.15</v>
      </c>
      <c r="L379" s="3">
        <v>0</v>
      </c>
      <c r="M379" t="s">
        <v>76</v>
      </c>
      <c r="N379" s="10">
        <v>24.04</v>
      </c>
      <c r="O379" t="s">
        <v>40</v>
      </c>
      <c r="P379" s="5">
        <v>45876</v>
      </c>
      <c r="Q379" s="5">
        <v>45884</v>
      </c>
      <c r="S379" t="s">
        <v>63</v>
      </c>
      <c r="T379" s="6">
        <v>1</v>
      </c>
      <c r="U379" t="s">
        <v>129</v>
      </c>
      <c r="V379" s="10">
        <v>124.15</v>
      </c>
      <c r="W379" s="10">
        <v>37.32</v>
      </c>
      <c r="X379" s="10">
        <v>62.790000000000013</v>
      </c>
      <c r="Y379" s="11">
        <v>0.50575916230366502</v>
      </c>
      <c r="Z379" s="6"/>
      <c r="AA379" t="s">
        <v>56</v>
      </c>
    </row>
    <row r="380" spans="1:27" x14ac:dyDescent="0.25">
      <c r="A380" t="s">
        <v>521</v>
      </c>
      <c r="B380">
        <v>192</v>
      </c>
      <c r="C380" s="9">
        <v>45874.681562500002</v>
      </c>
      <c r="D380" t="s">
        <v>123</v>
      </c>
      <c r="E380" t="s">
        <v>124</v>
      </c>
      <c r="F380" t="s">
        <v>45</v>
      </c>
      <c r="G380">
        <v>0</v>
      </c>
      <c r="H380" s="6">
        <v>1</v>
      </c>
      <c r="I380" s="10">
        <v>263.44</v>
      </c>
      <c r="J380" s="10">
        <v>372.44</v>
      </c>
      <c r="L380" s="3">
        <v>0</v>
      </c>
      <c r="M380" t="s">
        <v>39</v>
      </c>
      <c r="N380" s="10">
        <v>28.3</v>
      </c>
      <c r="O380" t="s">
        <v>62</v>
      </c>
      <c r="P380" s="5">
        <v>45875</v>
      </c>
      <c r="Q380" s="5">
        <v>45883</v>
      </c>
      <c r="R380" s="5">
        <v>45882</v>
      </c>
      <c r="S380" t="s">
        <v>33</v>
      </c>
      <c r="T380" s="6">
        <v>5</v>
      </c>
      <c r="U380" t="s">
        <v>69</v>
      </c>
      <c r="V380" s="10">
        <v>372.44</v>
      </c>
      <c r="W380" s="10">
        <v>263.44</v>
      </c>
      <c r="X380" s="10">
        <v>80.7</v>
      </c>
      <c r="Y380" s="11">
        <v>0.21667919664912469</v>
      </c>
      <c r="Z380" s="6">
        <v>-1</v>
      </c>
      <c r="AA380" t="s">
        <v>35</v>
      </c>
    </row>
    <row r="381" spans="1:27" x14ac:dyDescent="0.25">
      <c r="A381" t="s">
        <v>522</v>
      </c>
      <c r="B381">
        <v>103</v>
      </c>
      <c r="C381" s="9">
        <v>45875.139907407407</v>
      </c>
      <c r="D381" t="s">
        <v>28</v>
      </c>
      <c r="E381" t="s">
        <v>29</v>
      </c>
      <c r="F381" t="s">
        <v>30</v>
      </c>
      <c r="G381">
        <v>2665</v>
      </c>
      <c r="H381" s="6">
        <v>2</v>
      </c>
      <c r="I381" s="10">
        <v>2016.49</v>
      </c>
      <c r="J381" s="10">
        <v>2445.39</v>
      </c>
      <c r="L381" s="3">
        <v>0</v>
      </c>
      <c r="M381" t="s">
        <v>76</v>
      </c>
      <c r="N381" s="10">
        <v>66.23</v>
      </c>
      <c r="O381" t="s">
        <v>68</v>
      </c>
      <c r="P381" s="5">
        <v>45877</v>
      </c>
      <c r="Q381" s="5">
        <v>45883</v>
      </c>
      <c r="R381" s="5">
        <v>45879</v>
      </c>
      <c r="S381" t="s">
        <v>33</v>
      </c>
      <c r="T381" s="6">
        <v>4</v>
      </c>
      <c r="U381" t="s">
        <v>34</v>
      </c>
      <c r="V381" s="10">
        <v>4890.78</v>
      </c>
      <c r="W381" s="10">
        <v>4032.98</v>
      </c>
      <c r="X381" s="10">
        <v>791.56999999999971</v>
      </c>
      <c r="Y381" s="11">
        <v>0.16184943914876559</v>
      </c>
      <c r="Z381" s="6">
        <v>-4</v>
      </c>
      <c r="AA381" t="s">
        <v>35</v>
      </c>
    </row>
    <row r="382" spans="1:27" x14ac:dyDescent="0.25">
      <c r="A382" t="s">
        <v>523</v>
      </c>
      <c r="B382">
        <v>66</v>
      </c>
      <c r="C382" s="9">
        <v>45876.610601851848</v>
      </c>
      <c r="D382" t="s">
        <v>114</v>
      </c>
      <c r="E382" t="s">
        <v>115</v>
      </c>
      <c r="F382" t="s">
        <v>116</v>
      </c>
      <c r="G382">
        <v>0</v>
      </c>
      <c r="H382" s="6">
        <v>2</v>
      </c>
      <c r="I382" s="10">
        <v>220.01</v>
      </c>
      <c r="J382" s="10">
        <v>749.15</v>
      </c>
      <c r="K382" t="s">
        <v>46</v>
      </c>
      <c r="L382" s="3">
        <v>0.1</v>
      </c>
      <c r="M382" t="s">
        <v>31</v>
      </c>
      <c r="N382" s="10">
        <v>15.43</v>
      </c>
      <c r="O382" t="s">
        <v>62</v>
      </c>
      <c r="P382" s="5">
        <v>45878</v>
      </c>
      <c r="Q382" s="5">
        <v>45887</v>
      </c>
      <c r="S382" t="s">
        <v>63</v>
      </c>
      <c r="T382" s="6">
        <v>2</v>
      </c>
      <c r="U382" t="s">
        <v>180</v>
      </c>
      <c r="V382" s="10">
        <v>1348.47</v>
      </c>
      <c r="W382" s="10">
        <v>440.02</v>
      </c>
      <c r="X382" s="10">
        <v>893.0200000000001</v>
      </c>
      <c r="Y382" s="11">
        <v>0.66224684271804346</v>
      </c>
      <c r="Z382" s="6"/>
      <c r="AA382" t="s">
        <v>56</v>
      </c>
    </row>
    <row r="383" spans="1:27" x14ac:dyDescent="0.25">
      <c r="A383" t="s">
        <v>524</v>
      </c>
      <c r="B383">
        <v>178</v>
      </c>
      <c r="C383" s="9">
        <v>45876.825532407413</v>
      </c>
      <c r="D383" t="s">
        <v>50</v>
      </c>
      <c r="E383" t="s">
        <v>51</v>
      </c>
      <c r="F383" t="s">
        <v>52</v>
      </c>
      <c r="G383">
        <v>664</v>
      </c>
      <c r="H383" s="6">
        <v>3</v>
      </c>
      <c r="I383" s="10">
        <v>149.74</v>
      </c>
      <c r="J383" s="10">
        <v>280.8</v>
      </c>
      <c r="L383" s="3">
        <v>0</v>
      </c>
      <c r="M383" t="s">
        <v>39</v>
      </c>
      <c r="N383" s="10">
        <v>45.45</v>
      </c>
      <c r="O383" t="s">
        <v>47</v>
      </c>
      <c r="P383" s="5">
        <v>45878</v>
      </c>
      <c r="Q383" s="5">
        <v>45883</v>
      </c>
      <c r="R383" s="5">
        <v>45880</v>
      </c>
      <c r="S383" t="s">
        <v>33</v>
      </c>
      <c r="T383" s="6">
        <v>5</v>
      </c>
      <c r="U383" t="s">
        <v>69</v>
      </c>
      <c r="V383" s="10">
        <v>842.40000000000009</v>
      </c>
      <c r="W383" s="10">
        <v>449.22</v>
      </c>
      <c r="X383" s="10">
        <v>347.73000000000008</v>
      </c>
      <c r="Y383" s="11">
        <v>0.41278490028490028</v>
      </c>
      <c r="Z383" s="6">
        <v>-3</v>
      </c>
      <c r="AA383" t="s">
        <v>35</v>
      </c>
    </row>
    <row r="384" spans="1:27" x14ac:dyDescent="0.25">
      <c r="A384" t="s">
        <v>525</v>
      </c>
      <c r="B384">
        <v>100</v>
      </c>
      <c r="C384" s="9">
        <v>45876.837905092587</v>
      </c>
      <c r="D384" t="s">
        <v>50</v>
      </c>
      <c r="E384" t="s">
        <v>51</v>
      </c>
      <c r="F384" t="s">
        <v>52</v>
      </c>
      <c r="G384">
        <v>727</v>
      </c>
      <c r="H384" s="6">
        <v>2</v>
      </c>
      <c r="I384" s="10">
        <v>162.63999999999999</v>
      </c>
      <c r="J384" s="10">
        <v>314.11</v>
      </c>
      <c r="L384" s="3">
        <v>0</v>
      </c>
      <c r="M384" t="s">
        <v>76</v>
      </c>
      <c r="N384" s="10">
        <v>53.38</v>
      </c>
      <c r="O384" t="s">
        <v>40</v>
      </c>
      <c r="P384" s="5">
        <v>45877</v>
      </c>
      <c r="Q384" s="5">
        <v>45883</v>
      </c>
      <c r="S384" t="s">
        <v>54</v>
      </c>
      <c r="T384" s="6">
        <v>2</v>
      </c>
      <c r="U384" t="s">
        <v>258</v>
      </c>
      <c r="V384" s="10">
        <v>628.22</v>
      </c>
      <c r="W384" s="10">
        <v>325.27999999999997</v>
      </c>
      <c r="X384" s="10">
        <v>249.56000000000009</v>
      </c>
      <c r="Y384" s="11">
        <v>0.39724937123937482</v>
      </c>
      <c r="Z384" s="6"/>
      <c r="AA384" t="s">
        <v>56</v>
      </c>
    </row>
    <row r="385" spans="1:27" x14ac:dyDescent="0.25">
      <c r="A385" t="s">
        <v>526</v>
      </c>
      <c r="B385">
        <v>6</v>
      </c>
      <c r="C385" s="9">
        <v>45877.209039351852</v>
      </c>
      <c r="D385" t="s">
        <v>137</v>
      </c>
      <c r="E385" t="s">
        <v>138</v>
      </c>
      <c r="F385" t="s">
        <v>52</v>
      </c>
      <c r="G385">
        <v>410</v>
      </c>
      <c r="H385" s="6">
        <v>1</v>
      </c>
      <c r="I385" s="10">
        <v>96.89</v>
      </c>
      <c r="J385" s="10">
        <v>230.07</v>
      </c>
      <c r="K385" t="s">
        <v>46</v>
      </c>
      <c r="L385" s="3">
        <v>0.1</v>
      </c>
      <c r="M385" t="s">
        <v>76</v>
      </c>
      <c r="N385" s="10">
        <v>32.840000000000003</v>
      </c>
      <c r="O385" t="s">
        <v>68</v>
      </c>
      <c r="P385" s="5">
        <v>45879</v>
      </c>
      <c r="Q385" s="5">
        <v>45889</v>
      </c>
      <c r="R385" s="5">
        <v>45888</v>
      </c>
      <c r="S385" t="s">
        <v>33</v>
      </c>
      <c r="T385" s="6">
        <v>5</v>
      </c>
      <c r="U385" t="s">
        <v>119</v>
      </c>
      <c r="V385" s="10">
        <v>207.06299999999999</v>
      </c>
      <c r="W385" s="10">
        <v>96.89</v>
      </c>
      <c r="X385" s="10">
        <v>77.332999999999984</v>
      </c>
      <c r="Y385" s="11">
        <v>0.37347570546162268</v>
      </c>
      <c r="Z385" s="6">
        <v>-1</v>
      </c>
      <c r="AA385" t="s">
        <v>35</v>
      </c>
    </row>
    <row r="386" spans="1:27" x14ac:dyDescent="0.25">
      <c r="A386" t="s">
        <v>527</v>
      </c>
      <c r="B386">
        <v>77</v>
      </c>
      <c r="C386" s="9">
        <v>45877.288518518522</v>
      </c>
      <c r="D386" t="s">
        <v>58</v>
      </c>
      <c r="E386" t="s">
        <v>59</v>
      </c>
      <c r="F386" t="s">
        <v>30</v>
      </c>
      <c r="G386">
        <v>4167</v>
      </c>
      <c r="H386" s="6">
        <v>3</v>
      </c>
      <c r="I386" s="10">
        <v>486.34</v>
      </c>
      <c r="J386" s="10">
        <v>827.85</v>
      </c>
      <c r="L386" s="3">
        <v>0</v>
      </c>
      <c r="M386" t="s">
        <v>39</v>
      </c>
      <c r="N386" s="10">
        <v>120.47</v>
      </c>
      <c r="O386" t="s">
        <v>150</v>
      </c>
      <c r="P386" s="5">
        <v>45878</v>
      </c>
      <c r="Q386" s="5">
        <v>45887</v>
      </c>
      <c r="R386" s="5">
        <v>45886</v>
      </c>
      <c r="S386" t="s">
        <v>33</v>
      </c>
      <c r="T386" s="6">
        <v>5</v>
      </c>
      <c r="U386" t="s">
        <v>34</v>
      </c>
      <c r="V386" s="10">
        <v>2483.5500000000002</v>
      </c>
      <c r="W386" s="10">
        <v>1459.02</v>
      </c>
      <c r="X386" s="10">
        <v>904.06000000000017</v>
      </c>
      <c r="Y386" s="11">
        <v>0.36401924664291041</v>
      </c>
      <c r="Z386" s="6">
        <v>-1</v>
      </c>
      <c r="AA386" t="s">
        <v>35</v>
      </c>
    </row>
    <row r="387" spans="1:27" x14ac:dyDescent="0.25">
      <c r="A387" t="s">
        <v>528</v>
      </c>
      <c r="B387">
        <v>5</v>
      </c>
      <c r="C387" s="9">
        <v>45877.576319444437</v>
      </c>
      <c r="D387" t="s">
        <v>114</v>
      </c>
      <c r="E387" t="s">
        <v>115</v>
      </c>
      <c r="F387" t="s">
        <v>116</v>
      </c>
      <c r="G387">
        <v>0</v>
      </c>
      <c r="H387" s="6">
        <v>1</v>
      </c>
      <c r="I387" s="10">
        <v>377.34</v>
      </c>
      <c r="J387" s="10">
        <v>601.86</v>
      </c>
      <c r="L387" s="3">
        <v>0</v>
      </c>
      <c r="M387" t="s">
        <v>39</v>
      </c>
      <c r="N387" s="10">
        <v>19.82</v>
      </c>
      <c r="O387" t="s">
        <v>40</v>
      </c>
      <c r="P387" s="5">
        <v>45879</v>
      </c>
      <c r="Q387" s="5">
        <v>45887</v>
      </c>
      <c r="R387" s="5">
        <v>45886</v>
      </c>
      <c r="S387" t="s">
        <v>33</v>
      </c>
      <c r="T387" s="6">
        <v>5</v>
      </c>
      <c r="U387" t="s">
        <v>48</v>
      </c>
      <c r="V387" s="10">
        <v>601.86</v>
      </c>
      <c r="W387" s="10">
        <v>377.34</v>
      </c>
      <c r="X387" s="10">
        <v>204.7</v>
      </c>
      <c r="Y387" s="11">
        <v>0.34011231847938073</v>
      </c>
      <c r="Z387" s="6">
        <v>-1</v>
      </c>
      <c r="AA387" t="s">
        <v>35</v>
      </c>
    </row>
    <row r="388" spans="1:27" x14ac:dyDescent="0.25">
      <c r="A388" t="s">
        <v>529</v>
      </c>
      <c r="B388">
        <v>2</v>
      </c>
      <c r="C388" s="9">
        <v>45877.70113425926</v>
      </c>
      <c r="D388" t="s">
        <v>105</v>
      </c>
      <c r="E388" t="s">
        <v>106</v>
      </c>
      <c r="F388" t="s">
        <v>30</v>
      </c>
      <c r="G388">
        <v>2077</v>
      </c>
      <c r="H388" s="6">
        <v>2</v>
      </c>
      <c r="I388" s="10">
        <v>233.86</v>
      </c>
      <c r="J388" s="10">
        <v>576.47</v>
      </c>
      <c r="L388" s="3">
        <v>0</v>
      </c>
      <c r="M388" t="s">
        <v>31</v>
      </c>
      <c r="N388" s="10">
        <v>91.93</v>
      </c>
      <c r="O388" t="s">
        <v>40</v>
      </c>
      <c r="P388" s="5">
        <v>45879</v>
      </c>
      <c r="Q388" s="5">
        <v>45887</v>
      </c>
      <c r="R388" s="5">
        <v>45885</v>
      </c>
      <c r="S388" t="s">
        <v>33</v>
      </c>
      <c r="T388" s="6">
        <v>5</v>
      </c>
      <c r="U388" t="s">
        <v>134</v>
      </c>
      <c r="V388" s="10">
        <v>1152.94</v>
      </c>
      <c r="W388" s="10">
        <v>467.72</v>
      </c>
      <c r="X388" s="10">
        <v>593.29</v>
      </c>
      <c r="Y388" s="11">
        <v>0.51458879039672489</v>
      </c>
      <c r="Z388" s="6">
        <v>-2</v>
      </c>
      <c r="AA388" t="s">
        <v>35</v>
      </c>
    </row>
    <row r="389" spans="1:27" x14ac:dyDescent="0.25">
      <c r="A389" t="s">
        <v>530</v>
      </c>
      <c r="B389">
        <v>119</v>
      </c>
      <c r="C389" s="9">
        <v>45877.91646990741</v>
      </c>
      <c r="D389" t="s">
        <v>110</v>
      </c>
      <c r="E389" t="s">
        <v>111</v>
      </c>
      <c r="F389" t="s">
        <v>30</v>
      </c>
      <c r="G389">
        <v>2089</v>
      </c>
      <c r="H389" s="6">
        <v>3</v>
      </c>
      <c r="I389" s="10">
        <v>847.73</v>
      </c>
      <c r="J389" s="10">
        <v>2373.19</v>
      </c>
      <c r="L389" s="3">
        <v>0</v>
      </c>
      <c r="M389" t="s">
        <v>39</v>
      </c>
      <c r="N389" s="10">
        <v>68.55</v>
      </c>
      <c r="O389" t="s">
        <v>97</v>
      </c>
      <c r="P389" s="5">
        <v>45878</v>
      </c>
      <c r="Q389" s="5">
        <v>45886</v>
      </c>
      <c r="R389" s="5">
        <v>45885</v>
      </c>
      <c r="S389" t="s">
        <v>33</v>
      </c>
      <c r="T389" s="6">
        <v>4</v>
      </c>
      <c r="U389" t="s">
        <v>34</v>
      </c>
      <c r="V389" s="10">
        <v>7119.57</v>
      </c>
      <c r="W389" s="10">
        <v>2543.19</v>
      </c>
      <c r="X389" s="10">
        <v>4507.829999999999</v>
      </c>
      <c r="Y389" s="11">
        <v>0.63316042963268837</v>
      </c>
      <c r="Z389" s="6">
        <v>-1</v>
      </c>
      <c r="AA389" t="s">
        <v>35</v>
      </c>
    </row>
    <row r="390" spans="1:27" x14ac:dyDescent="0.25">
      <c r="A390" t="s">
        <v>531</v>
      </c>
      <c r="B390">
        <v>143</v>
      </c>
      <c r="C390" s="9">
        <v>45878.256145833337</v>
      </c>
      <c r="D390" t="s">
        <v>58</v>
      </c>
      <c r="E390" t="s">
        <v>59</v>
      </c>
      <c r="F390" t="s">
        <v>30</v>
      </c>
      <c r="G390">
        <v>4164</v>
      </c>
      <c r="H390" s="6">
        <v>1</v>
      </c>
      <c r="I390" s="10">
        <v>342.87</v>
      </c>
      <c r="J390" s="10">
        <v>654.62</v>
      </c>
      <c r="L390" s="3">
        <v>0</v>
      </c>
      <c r="M390" t="s">
        <v>76</v>
      </c>
      <c r="N390" s="10">
        <v>69.56</v>
      </c>
      <c r="O390" t="s">
        <v>68</v>
      </c>
      <c r="P390" s="5">
        <v>45880</v>
      </c>
      <c r="Q390" s="5">
        <v>45888</v>
      </c>
      <c r="S390" t="s">
        <v>54</v>
      </c>
      <c r="T390" s="6">
        <v>4</v>
      </c>
      <c r="U390" t="s">
        <v>77</v>
      </c>
      <c r="V390" s="10">
        <v>654.62</v>
      </c>
      <c r="W390" s="10">
        <v>342.87</v>
      </c>
      <c r="X390" s="10">
        <v>242.19</v>
      </c>
      <c r="Y390" s="11">
        <v>0.36997036448626691</v>
      </c>
      <c r="Z390" s="6"/>
      <c r="AA390" t="s">
        <v>56</v>
      </c>
    </row>
    <row r="391" spans="1:27" x14ac:dyDescent="0.25">
      <c r="A391" t="s">
        <v>532</v>
      </c>
      <c r="B391">
        <v>154</v>
      </c>
      <c r="C391" s="9">
        <v>45878.3356712963</v>
      </c>
      <c r="D391" t="s">
        <v>89</v>
      </c>
      <c r="E391" t="s">
        <v>90</v>
      </c>
      <c r="F391" t="s">
        <v>52</v>
      </c>
      <c r="G391">
        <v>265</v>
      </c>
      <c r="H391" s="6">
        <v>1</v>
      </c>
      <c r="I391" s="10">
        <v>97.03</v>
      </c>
      <c r="J391" s="10">
        <v>147.61000000000001</v>
      </c>
      <c r="K391" t="s">
        <v>60</v>
      </c>
      <c r="L391" s="3">
        <v>0.2</v>
      </c>
      <c r="M391" t="s">
        <v>39</v>
      </c>
      <c r="N391" s="10">
        <v>53.15</v>
      </c>
      <c r="O391" t="s">
        <v>68</v>
      </c>
      <c r="P391" s="5">
        <v>45880</v>
      </c>
      <c r="Q391" s="5">
        <v>45886</v>
      </c>
      <c r="R391" s="5">
        <v>45885</v>
      </c>
      <c r="S391" t="s">
        <v>33</v>
      </c>
      <c r="T391" s="6">
        <v>5</v>
      </c>
      <c r="U391" t="s">
        <v>211</v>
      </c>
      <c r="V391" s="10">
        <v>118.08799999999999</v>
      </c>
      <c r="W391" s="10">
        <v>97.03</v>
      </c>
      <c r="X391" s="10">
        <v>-32.091999999999977</v>
      </c>
      <c r="Y391" s="11">
        <v>-0.27176343066187902</v>
      </c>
      <c r="Z391" s="6">
        <v>-1</v>
      </c>
      <c r="AA391" t="s">
        <v>35</v>
      </c>
    </row>
    <row r="392" spans="1:27" x14ac:dyDescent="0.25">
      <c r="A392" t="s">
        <v>533</v>
      </c>
      <c r="B392">
        <v>33</v>
      </c>
      <c r="C392" s="9">
        <v>45878.695462962962</v>
      </c>
      <c r="D392" t="s">
        <v>71</v>
      </c>
      <c r="E392" t="s">
        <v>72</v>
      </c>
      <c r="F392" t="s">
        <v>52</v>
      </c>
      <c r="G392">
        <v>284</v>
      </c>
      <c r="H392" s="6">
        <v>1</v>
      </c>
      <c r="I392" s="10">
        <v>39.14</v>
      </c>
      <c r="J392" s="10">
        <v>81.430000000000007</v>
      </c>
      <c r="K392" t="s">
        <v>60</v>
      </c>
      <c r="L392" s="3">
        <v>0.2</v>
      </c>
      <c r="M392" t="s">
        <v>76</v>
      </c>
      <c r="N392" s="10">
        <v>40.880000000000003</v>
      </c>
      <c r="O392" t="s">
        <v>264</v>
      </c>
      <c r="P392" s="5">
        <v>45879</v>
      </c>
      <c r="Q392" s="5">
        <v>45885</v>
      </c>
      <c r="R392" s="5">
        <v>45890</v>
      </c>
      <c r="S392" t="s">
        <v>33</v>
      </c>
      <c r="T392" s="6">
        <v>1</v>
      </c>
      <c r="U392" t="s">
        <v>185</v>
      </c>
      <c r="V392" s="10">
        <v>65.144000000000005</v>
      </c>
      <c r="W392" s="10">
        <v>39.14</v>
      </c>
      <c r="X392" s="10">
        <v>-14.875999999999999</v>
      </c>
      <c r="Y392" s="11">
        <v>-0.22835564288345811</v>
      </c>
      <c r="Z392" s="6">
        <v>5</v>
      </c>
      <c r="AA392" t="s">
        <v>103</v>
      </c>
    </row>
    <row r="393" spans="1:27" x14ac:dyDescent="0.25">
      <c r="A393" t="s">
        <v>534</v>
      </c>
      <c r="B393">
        <v>167</v>
      </c>
      <c r="C393" s="9">
        <v>45878.745671296303</v>
      </c>
      <c r="D393" t="s">
        <v>177</v>
      </c>
      <c r="E393" t="s">
        <v>178</v>
      </c>
      <c r="F393" t="s">
        <v>116</v>
      </c>
      <c r="G393">
        <v>0</v>
      </c>
      <c r="H393" s="6">
        <v>1</v>
      </c>
      <c r="I393" s="10">
        <v>190.71</v>
      </c>
      <c r="J393" s="10">
        <v>469.68</v>
      </c>
      <c r="L393" s="3">
        <v>0</v>
      </c>
      <c r="M393" t="s">
        <v>76</v>
      </c>
      <c r="N393" s="10">
        <v>17.149999999999999</v>
      </c>
      <c r="O393" t="s">
        <v>47</v>
      </c>
      <c r="P393" s="5">
        <v>45880</v>
      </c>
      <c r="Q393" s="5">
        <v>45888</v>
      </c>
      <c r="S393" t="s">
        <v>54</v>
      </c>
      <c r="T393" s="6">
        <v>3</v>
      </c>
      <c r="U393" t="s">
        <v>121</v>
      </c>
      <c r="V393" s="10">
        <v>469.68</v>
      </c>
      <c r="W393" s="10">
        <v>190.71</v>
      </c>
      <c r="X393" s="10">
        <v>261.82000000000011</v>
      </c>
      <c r="Y393" s="11">
        <v>0.557443365695793</v>
      </c>
      <c r="Z393" s="6"/>
      <c r="AA393" t="s">
        <v>56</v>
      </c>
    </row>
    <row r="394" spans="1:27" x14ac:dyDescent="0.25">
      <c r="A394" t="s">
        <v>535</v>
      </c>
      <c r="B394">
        <v>110</v>
      </c>
      <c r="C394" s="9">
        <v>45879.286886574067</v>
      </c>
      <c r="D394" t="s">
        <v>110</v>
      </c>
      <c r="E394" t="s">
        <v>111</v>
      </c>
      <c r="F394" t="s">
        <v>30</v>
      </c>
      <c r="G394">
        <v>2066</v>
      </c>
      <c r="H394" s="6">
        <v>2</v>
      </c>
      <c r="I394" s="10">
        <v>807.31</v>
      </c>
      <c r="J394" s="10">
        <v>1814.25</v>
      </c>
      <c r="L394" s="3">
        <v>0</v>
      </c>
      <c r="M394" t="s">
        <v>31</v>
      </c>
      <c r="N394" s="10">
        <v>121.96</v>
      </c>
      <c r="O394" t="s">
        <v>264</v>
      </c>
      <c r="P394" s="5">
        <v>45881</v>
      </c>
      <c r="Q394" s="5">
        <v>45889</v>
      </c>
      <c r="R394" s="5">
        <v>45888</v>
      </c>
      <c r="S394" t="s">
        <v>33</v>
      </c>
      <c r="T394" s="6">
        <v>5</v>
      </c>
      <c r="U394" t="s">
        <v>134</v>
      </c>
      <c r="V394" s="10">
        <v>3628.5</v>
      </c>
      <c r="W394" s="10">
        <v>1614.62</v>
      </c>
      <c r="X394" s="10">
        <v>1891.92</v>
      </c>
      <c r="Y394" s="11">
        <v>0.5214055394791236</v>
      </c>
      <c r="Z394" s="6">
        <v>-1</v>
      </c>
      <c r="AA394" t="s">
        <v>35</v>
      </c>
    </row>
    <row r="395" spans="1:27" x14ac:dyDescent="0.25">
      <c r="A395" t="s">
        <v>536</v>
      </c>
      <c r="B395">
        <v>169</v>
      </c>
      <c r="C395" s="9">
        <v>45879.501435185193</v>
      </c>
      <c r="D395" t="s">
        <v>66</v>
      </c>
      <c r="E395" t="s">
        <v>67</v>
      </c>
      <c r="F395" t="s">
        <v>52</v>
      </c>
      <c r="G395">
        <v>240</v>
      </c>
      <c r="H395" s="6">
        <v>3</v>
      </c>
      <c r="I395" s="10">
        <v>44.57</v>
      </c>
      <c r="J395" s="10">
        <v>51.5</v>
      </c>
      <c r="K395" t="s">
        <v>46</v>
      </c>
      <c r="L395" s="3">
        <v>0.1</v>
      </c>
      <c r="M395" t="s">
        <v>61</v>
      </c>
      <c r="N395" s="10">
        <v>39.08</v>
      </c>
      <c r="O395" t="s">
        <v>133</v>
      </c>
      <c r="P395" s="5">
        <v>45880</v>
      </c>
      <c r="Q395" s="5">
        <v>45885</v>
      </c>
      <c r="R395" s="5">
        <v>45883</v>
      </c>
      <c r="S395" t="s">
        <v>33</v>
      </c>
      <c r="T395" s="6">
        <v>4</v>
      </c>
      <c r="U395" t="s">
        <v>172</v>
      </c>
      <c r="V395" s="10">
        <v>139.05000000000001</v>
      </c>
      <c r="W395" s="10">
        <v>133.71</v>
      </c>
      <c r="X395" s="10">
        <v>-33.739999999999988</v>
      </c>
      <c r="Y395" s="11">
        <v>-0.24264653002517081</v>
      </c>
      <c r="Z395" s="6">
        <v>-2</v>
      </c>
      <c r="AA395" t="s">
        <v>35</v>
      </c>
    </row>
    <row r="396" spans="1:27" x14ac:dyDescent="0.25">
      <c r="A396" t="s">
        <v>537</v>
      </c>
      <c r="B396">
        <v>168</v>
      </c>
      <c r="C396" s="9">
        <v>45879.689375000002</v>
      </c>
      <c r="D396" t="s">
        <v>110</v>
      </c>
      <c r="E396" t="s">
        <v>111</v>
      </c>
      <c r="F396" t="s">
        <v>30</v>
      </c>
      <c r="G396">
        <v>2083</v>
      </c>
      <c r="H396" s="6">
        <v>1</v>
      </c>
      <c r="I396" s="10">
        <v>1145.94</v>
      </c>
      <c r="J396" s="10">
        <v>2412.8200000000002</v>
      </c>
      <c r="L396" s="3">
        <v>0</v>
      </c>
      <c r="M396" t="s">
        <v>31</v>
      </c>
      <c r="N396" s="10">
        <v>57.85</v>
      </c>
      <c r="O396" t="s">
        <v>97</v>
      </c>
      <c r="P396" s="5">
        <v>45881</v>
      </c>
      <c r="Q396" s="5">
        <v>45891</v>
      </c>
      <c r="R396" s="5">
        <v>45886</v>
      </c>
      <c r="S396" t="s">
        <v>33</v>
      </c>
      <c r="T396" s="6">
        <v>4</v>
      </c>
      <c r="U396" t="s">
        <v>117</v>
      </c>
      <c r="V396" s="10">
        <v>2412.8200000000002</v>
      </c>
      <c r="W396" s="10">
        <v>1145.94</v>
      </c>
      <c r="X396" s="10">
        <v>1209.03</v>
      </c>
      <c r="Y396" s="11">
        <v>0.50108586633068364</v>
      </c>
      <c r="Z396" s="6">
        <v>-5</v>
      </c>
      <c r="AA396" t="s">
        <v>35</v>
      </c>
    </row>
    <row r="397" spans="1:27" x14ac:dyDescent="0.25">
      <c r="A397" t="s">
        <v>538</v>
      </c>
      <c r="B397">
        <v>14</v>
      </c>
      <c r="C397" s="9">
        <v>45879.72146990741</v>
      </c>
      <c r="D397" t="s">
        <v>110</v>
      </c>
      <c r="E397" t="s">
        <v>111</v>
      </c>
      <c r="F397" t="s">
        <v>30</v>
      </c>
      <c r="G397">
        <v>2076</v>
      </c>
      <c r="H397" s="6">
        <v>2</v>
      </c>
      <c r="I397" s="10">
        <v>1448.88</v>
      </c>
      <c r="J397" s="10">
        <v>1785.87</v>
      </c>
      <c r="K397" t="s">
        <v>60</v>
      </c>
      <c r="L397" s="3">
        <v>0.2</v>
      </c>
      <c r="M397" t="s">
        <v>61</v>
      </c>
      <c r="N397" s="10">
        <v>111.12</v>
      </c>
      <c r="O397" t="s">
        <v>62</v>
      </c>
      <c r="P397" s="5">
        <v>45880</v>
      </c>
      <c r="Q397" s="5">
        <v>45890</v>
      </c>
      <c r="R397" s="5">
        <v>45889</v>
      </c>
      <c r="S397" t="s">
        <v>33</v>
      </c>
      <c r="T397" s="6">
        <v>5</v>
      </c>
      <c r="U397" t="s">
        <v>117</v>
      </c>
      <c r="V397" s="10">
        <v>2857.3919999999998</v>
      </c>
      <c r="W397" s="10">
        <v>2897.76</v>
      </c>
      <c r="X397" s="10">
        <v>-151.4880000000004</v>
      </c>
      <c r="Y397" s="11">
        <v>-5.301617698936667E-2</v>
      </c>
      <c r="Z397" s="6">
        <v>-1</v>
      </c>
      <c r="AA397" t="s">
        <v>35</v>
      </c>
    </row>
    <row r="398" spans="1:27" x14ac:dyDescent="0.25">
      <c r="A398" t="s">
        <v>539</v>
      </c>
      <c r="B398">
        <v>49</v>
      </c>
      <c r="C398" s="9">
        <v>45879.955752314818</v>
      </c>
      <c r="D398" t="s">
        <v>28</v>
      </c>
      <c r="E398" t="s">
        <v>29</v>
      </c>
      <c r="F398" t="s">
        <v>30</v>
      </c>
      <c r="G398">
        <v>2587</v>
      </c>
      <c r="H398" s="6">
        <v>1</v>
      </c>
      <c r="I398" s="10">
        <v>1738.38</v>
      </c>
      <c r="J398" s="10">
        <v>2761.18</v>
      </c>
      <c r="L398" s="3">
        <v>0</v>
      </c>
      <c r="M398" t="s">
        <v>76</v>
      </c>
      <c r="N398" s="10">
        <v>84.2</v>
      </c>
      <c r="O398" t="s">
        <v>47</v>
      </c>
      <c r="P398" s="5">
        <v>45881</v>
      </c>
      <c r="Q398" s="5">
        <v>45887</v>
      </c>
      <c r="R398" s="5">
        <v>45887</v>
      </c>
      <c r="S398" t="s">
        <v>33</v>
      </c>
      <c r="T398" s="6">
        <v>4</v>
      </c>
      <c r="U398" t="s">
        <v>172</v>
      </c>
      <c r="V398" s="10">
        <v>2761.18</v>
      </c>
      <c r="W398" s="10">
        <v>1738.38</v>
      </c>
      <c r="X398" s="10">
        <v>938.59999999999968</v>
      </c>
      <c r="Y398" s="11">
        <v>0.33992713260272772</v>
      </c>
      <c r="Z398" s="6">
        <v>0</v>
      </c>
      <c r="AA398" t="s">
        <v>35</v>
      </c>
    </row>
    <row r="399" spans="1:27" x14ac:dyDescent="0.25">
      <c r="A399" t="s">
        <v>540</v>
      </c>
      <c r="B399">
        <v>13</v>
      </c>
      <c r="C399" s="9">
        <v>45880.007037037038</v>
      </c>
      <c r="D399" t="s">
        <v>58</v>
      </c>
      <c r="E399" t="s">
        <v>59</v>
      </c>
      <c r="F399" t="s">
        <v>30</v>
      </c>
      <c r="G399">
        <v>4535</v>
      </c>
      <c r="H399" s="6">
        <v>3</v>
      </c>
      <c r="I399" s="10">
        <v>418.02</v>
      </c>
      <c r="J399" s="10">
        <v>867.42</v>
      </c>
      <c r="L399" s="3">
        <v>0</v>
      </c>
      <c r="M399" t="s">
        <v>31</v>
      </c>
      <c r="N399" s="10">
        <v>135.15</v>
      </c>
      <c r="O399" t="s">
        <v>47</v>
      </c>
      <c r="P399" s="5">
        <v>45882</v>
      </c>
      <c r="Q399" s="5">
        <v>45889</v>
      </c>
      <c r="R399" s="5">
        <v>45888</v>
      </c>
      <c r="S399" t="s">
        <v>33</v>
      </c>
      <c r="T399" s="6">
        <v>4</v>
      </c>
      <c r="U399" t="s">
        <v>134</v>
      </c>
      <c r="V399" s="10">
        <v>2602.2600000000002</v>
      </c>
      <c r="W399" s="10">
        <v>1254.06</v>
      </c>
      <c r="X399" s="10">
        <v>1213.05</v>
      </c>
      <c r="Y399" s="11">
        <v>0.46615249821309163</v>
      </c>
      <c r="Z399" s="6">
        <v>-1</v>
      </c>
      <c r="AA399" t="s">
        <v>35</v>
      </c>
    </row>
    <row r="400" spans="1:27" x14ac:dyDescent="0.25">
      <c r="A400" t="s">
        <v>541</v>
      </c>
      <c r="B400">
        <v>71</v>
      </c>
      <c r="C400" s="9">
        <v>45880.062789351847</v>
      </c>
      <c r="D400" t="s">
        <v>28</v>
      </c>
      <c r="E400" t="s">
        <v>29</v>
      </c>
      <c r="F400" t="s">
        <v>30</v>
      </c>
      <c r="G400">
        <v>2024</v>
      </c>
      <c r="H400" s="6">
        <v>3</v>
      </c>
      <c r="I400" s="10">
        <v>1585.53</v>
      </c>
      <c r="J400" s="10">
        <v>2983.64</v>
      </c>
      <c r="L400" s="3">
        <v>0</v>
      </c>
      <c r="M400" t="s">
        <v>31</v>
      </c>
      <c r="N400" s="10">
        <v>75.819999999999993</v>
      </c>
      <c r="O400" t="s">
        <v>264</v>
      </c>
      <c r="P400" s="5">
        <v>45882</v>
      </c>
      <c r="Q400" s="5">
        <v>45887</v>
      </c>
      <c r="S400" t="s">
        <v>54</v>
      </c>
      <c r="T400" s="6">
        <v>4</v>
      </c>
      <c r="U400" t="s">
        <v>48</v>
      </c>
      <c r="V400" s="10">
        <v>8950.92</v>
      </c>
      <c r="W400" s="10">
        <v>4756.59</v>
      </c>
      <c r="X400" s="10">
        <v>4118.51</v>
      </c>
      <c r="Y400" s="11">
        <v>0.46012141768667358</v>
      </c>
      <c r="Z400" s="6"/>
      <c r="AA400" t="s">
        <v>56</v>
      </c>
    </row>
    <row r="401" spans="1:27" x14ac:dyDescent="0.25">
      <c r="A401" t="s">
        <v>542</v>
      </c>
      <c r="B401">
        <v>146</v>
      </c>
      <c r="C401" s="9">
        <v>45880.078900462962</v>
      </c>
      <c r="D401" t="s">
        <v>155</v>
      </c>
      <c r="E401" t="s">
        <v>156</v>
      </c>
      <c r="F401" t="s">
        <v>30</v>
      </c>
      <c r="G401">
        <v>4860</v>
      </c>
      <c r="H401" s="6">
        <v>3</v>
      </c>
      <c r="I401" s="10">
        <v>901.81</v>
      </c>
      <c r="J401" s="10">
        <v>1458.19</v>
      </c>
      <c r="L401" s="3">
        <v>0</v>
      </c>
      <c r="M401" t="s">
        <v>61</v>
      </c>
      <c r="N401" s="10">
        <v>88.14</v>
      </c>
      <c r="O401" t="s">
        <v>62</v>
      </c>
      <c r="P401" s="5">
        <v>45882</v>
      </c>
      <c r="Q401" s="5">
        <v>45889</v>
      </c>
      <c r="R401" s="5">
        <v>45886</v>
      </c>
      <c r="S401" t="s">
        <v>33</v>
      </c>
      <c r="T401" s="6">
        <v>4</v>
      </c>
      <c r="U401" t="s">
        <v>112</v>
      </c>
      <c r="V401" s="10">
        <v>4374.57</v>
      </c>
      <c r="W401" s="10">
        <v>2705.43</v>
      </c>
      <c r="X401" s="10">
        <v>1581</v>
      </c>
      <c r="Y401" s="11">
        <v>0.36140694971162879</v>
      </c>
      <c r="Z401" s="6">
        <v>-3</v>
      </c>
      <c r="AA401" t="s">
        <v>35</v>
      </c>
    </row>
    <row r="402" spans="1:27" x14ac:dyDescent="0.25">
      <c r="A402" t="s">
        <v>543</v>
      </c>
      <c r="B402">
        <v>141</v>
      </c>
      <c r="C402" s="9">
        <v>45880.161076388889</v>
      </c>
      <c r="D402" t="s">
        <v>123</v>
      </c>
      <c r="E402" t="s">
        <v>124</v>
      </c>
      <c r="F402" t="s">
        <v>45</v>
      </c>
      <c r="G402">
        <v>0</v>
      </c>
      <c r="H402" s="6">
        <v>3</v>
      </c>
      <c r="I402" s="10">
        <v>84.68</v>
      </c>
      <c r="J402" s="10">
        <v>400.73</v>
      </c>
      <c r="L402" s="3">
        <v>0</v>
      </c>
      <c r="M402" t="s">
        <v>61</v>
      </c>
      <c r="N402" s="10">
        <v>24.35</v>
      </c>
      <c r="O402" t="s">
        <v>47</v>
      </c>
      <c r="P402" s="5">
        <v>45882</v>
      </c>
      <c r="Q402" s="5">
        <v>45888</v>
      </c>
      <c r="S402" t="s">
        <v>63</v>
      </c>
      <c r="T402" s="6">
        <v>3</v>
      </c>
      <c r="U402" t="s">
        <v>243</v>
      </c>
      <c r="V402" s="10">
        <v>1202.19</v>
      </c>
      <c r="W402" s="10">
        <v>254.04</v>
      </c>
      <c r="X402" s="10">
        <v>923.80000000000007</v>
      </c>
      <c r="Y402" s="11">
        <v>0.76843094685532243</v>
      </c>
      <c r="Z402" s="6"/>
      <c r="AA402" t="s">
        <v>56</v>
      </c>
    </row>
    <row r="403" spans="1:27" x14ac:dyDescent="0.25">
      <c r="A403" t="s">
        <v>544</v>
      </c>
      <c r="B403">
        <v>79</v>
      </c>
      <c r="C403" s="9">
        <v>45880.549178240741</v>
      </c>
      <c r="D403" t="s">
        <v>123</v>
      </c>
      <c r="E403" t="s">
        <v>124</v>
      </c>
      <c r="F403" t="s">
        <v>45</v>
      </c>
      <c r="G403">
        <v>0</v>
      </c>
      <c r="H403" s="6">
        <v>2</v>
      </c>
      <c r="I403" s="10">
        <v>133.94999999999999</v>
      </c>
      <c r="J403" s="10">
        <v>245.79</v>
      </c>
      <c r="L403" s="3">
        <v>0</v>
      </c>
      <c r="M403" t="s">
        <v>76</v>
      </c>
      <c r="N403" s="10">
        <v>19.059999999999999</v>
      </c>
      <c r="O403" t="s">
        <v>150</v>
      </c>
      <c r="P403" s="5">
        <v>45882</v>
      </c>
      <c r="Q403" s="5">
        <v>45889</v>
      </c>
      <c r="R403" s="5">
        <v>45886</v>
      </c>
      <c r="S403" t="s">
        <v>33</v>
      </c>
      <c r="T403" s="6">
        <v>5</v>
      </c>
      <c r="U403" t="s">
        <v>34</v>
      </c>
      <c r="V403" s="10">
        <v>491.58</v>
      </c>
      <c r="W403" s="10">
        <v>267.89999999999998</v>
      </c>
      <c r="X403" s="10">
        <v>204.62</v>
      </c>
      <c r="Y403" s="11">
        <v>0.41624964400504499</v>
      </c>
      <c r="Z403" s="6">
        <v>-3</v>
      </c>
      <c r="AA403" t="s">
        <v>35</v>
      </c>
    </row>
    <row r="404" spans="1:27" x14ac:dyDescent="0.25">
      <c r="A404" t="s">
        <v>545</v>
      </c>
      <c r="B404">
        <v>60</v>
      </c>
      <c r="C404" s="9">
        <v>45880.611817129633</v>
      </c>
      <c r="D404" t="s">
        <v>95</v>
      </c>
      <c r="E404" t="s">
        <v>96</v>
      </c>
      <c r="F404" t="s">
        <v>52</v>
      </c>
      <c r="G404">
        <v>594</v>
      </c>
      <c r="H404" s="6">
        <v>3</v>
      </c>
      <c r="I404" s="10">
        <v>46.32</v>
      </c>
      <c r="J404" s="10">
        <v>80.02</v>
      </c>
      <c r="L404" s="3">
        <v>0</v>
      </c>
      <c r="M404" t="s">
        <v>76</v>
      </c>
      <c r="N404" s="10">
        <v>49.65</v>
      </c>
      <c r="O404" t="s">
        <v>40</v>
      </c>
      <c r="P404" s="5">
        <v>45881</v>
      </c>
      <c r="Q404" s="5">
        <v>45887</v>
      </c>
      <c r="R404" s="5">
        <v>45883</v>
      </c>
      <c r="S404" t="s">
        <v>33</v>
      </c>
      <c r="T404" s="6">
        <v>4</v>
      </c>
      <c r="U404" t="s">
        <v>117</v>
      </c>
      <c r="V404" s="10">
        <v>240.06</v>
      </c>
      <c r="W404" s="10">
        <v>138.96</v>
      </c>
      <c r="X404" s="10">
        <v>51.45</v>
      </c>
      <c r="Y404" s="11">
        <v>0.21432141964508869</v>
      </c>
      <c r="Z404" s="6">
        <v>-4</v>
      </c>
      <c r="AA404" t="s">
        <v>35</v>
      </c>
    </row>
    <row r="405" spans="1:27" x14ac:dyDescent="0.25">
      <c r="A405" t="s">
        <v>546</v>
      </c>
      <c r="B405">
        <v>85</v>
      </c>
      <c r="C405" s="9">
        <v>45881.051087962973</v>
      </c>
      <c r="D405" t="s">
        <v>71</v>
      </c>
      <c r="E405" t="s">
        <v>72</v>
      </c>
      <c r="F405" t="s">
        <v>52</v>
      </c>
      <c r="G405">
        <v>302</v>
      </c>
      <c r="H405" s="6">
        <v>2</v>
      </c>
      <c r="I405" s="10">
        <v>72.790000000000006</v>
      </c>
      <c r="J405" s="10">
        <v>114.11</v>
      </c>
      <c r="K405" t="s">
        <v>60</v>
      </c>
      <c r="L405" s="3">
        <v>0.2</v>
      </c>
      <c r="M405" t="s">
        <v>61</v>
      </c>
      <c r="N405" s="10">
        <v>31.38</v>
      </c>
      <c r="O405" t="s">
        <v>150</v>
      </c>
      <c r="P405" s="5">
        <v>45882</v>
      </c>
      <c r="Q405" s="5">
        <v>45887</v>
      </c>
      <c r="S405" t="s">
        <v>54</v>
      </c>
      <c r="T405" s="6">
        <v>4</v>
      </c>
      <c r="U405" t="s">
        <v>84</v>
      </c>
      <c r="V405" s="10">
        <v>182.57599999999999</v>
      </c>
      <c r="W405" s="10">
        <v>145.58000000000001</v>
      </c>
      <c r="X405" s="10">
        <v>5.6160000000000103</v>
      </c>
      <c r="Y405" s="11">
        <v>3.0759793182017409E-2</v>
      </c>
      <c r="Z405" s="6"/>
      <c r="AA405" t="s">
        <v>56</v>
      </c>
    </row>
    <row r="406" spans="1:27" x14ac:dyDescent="0.25">
      <c r="A406" t="s">
        <v>547</v>
      </c>
      <c r="B406">
        <v>138</v>
      </c>
      <c r="C406" s="9">
        <v>45881.288043981483</v>
      </c>
      <c r="D406" t="s">
        <v>148</v>
      </c>
      <c r="E406" t="s">
        <v>149</v>
      </c>
      <c r="F406" t="s">
        <v>30</v>
      </c>
      <c r="G406">
        <v>2754</v>
      </c>
      <c r="H406" s="6">
        <v>2</v>
      </c>
      <c r="I406" s="10">
        <v>418.14</v>
      </c>
      <c r="J406" s="10">
        <v>908.37</v>
      </c>
      <c r="L406" s="3">
        <v>0</v>
      </c>
      <c r="M406" t="s">
        <v>76</v>
      </c>
      <c r="N406" s="10">
        <v>65.260000000000005</v>
      </c>
      <c r="O406" t="s">
        <v>47</v>
      </c>
      <c r="P406" s="5">
        <v>45882</v>
      </c>
      <c r="Q406" s="5">
        <v>45892</v>
      </c>
      <c r="R406" s="5">
        <v>45886</v>
      </c>
      <c r="S406" t="s">
        <v>33</v>
      </c>
      <c r="T406" s="6">
        <v>5</v>
      </c>
      <c r="U406" t="s">
        <v>77</v>
      </c>
      <c r="V406" s="10">
        <v>1816.74</v>
      </c>
      <c r="W406" s="10">
        <v>836.28</v>
      </c>
      <c r="X406" s="10">
        <v>915.2</v>
      </c>
      <c r="Y406" s="11">
        <v>0.50375948126864611</v>
      </c>
      <c r="Z406" s="6">
        <v>-6</v>
      </c>
      <c r="AA406" t="s">
        <v>35</v>
      </c>
    </row>
    <row r="407" spans="1:27" x14ac:dyDescent="0.25">
      <c r="A407" t="s">
        <v>548</v>
      </c>
      <c r="B407">
        <v>167</v>
      </c>
      <c r="C407" s="9">
        <v>45881.309594907398</v>
      </c>
      <c r="D407" t="s">
        <v>137</v>
      </c>
      <c r="E407" t="s">
        <v>138</v>
      </c>
      <c r="F407" t="s">
        <v>52</v>
      </c>
      <c r="G407">
        <v>437</v>
      </c>
      <c r="H407" s="6">
        <v>1</v>
      </c>
      <c r="I407" s="10">
        <v>87.11</v>
      </c>
      <c r="J407" s="10">
        <v>230.58</v>
      </c>
      <c r="L407" s="3">
        <v>0</v>
      </c>
      <c r="M407" t="s">
        <v>31</v>
      </c>
      <c r="N407" s="10">
        <v>33.44</v>
      </c>
      <c r="O407" t="s">
        <v>47</v>
      </c>
      <c r="P407" s="5">
        <v>45883</v>
      </c>
      <c r="Q407" s="5">
        <v>45892</v>
      </c>
      <c r="R407" s="5">
        <v>45886</v>
      </c>
      <c r="S407" t="s">
        <v>33</v>
      </c>
      <c r="T407" s="6">
        <v>5</v>
      </c>
      <c r="U407" t="s">
        <v>134</v>
      </c>
      <c r="V407" s="10">
        <v>230.58</v>
      </c>
      <c r="W407" s="10">
        <v>87.11</v>
      </c>
      <c r="X407" s="10">
        <v>110.03</v>
      </c>
      <c r="Y407" s="11">
        <v>0.47718796079451831</v>
      </c>
      <c r="Z407" s="6">
        <v>-6</v>
      </c>
      <c r="AA407" t="s">
        <v>35</v>
      </c>
    </row>
    <row r="408" spans="1:27" x14ac:dyDescent="0.25">
      <c r="A408" t="s">
        <v>549</v>
      </c>
      <c r="B408">
        <v>149</v>
      </c>
      <c r="C408" s="9">
        <v>45881.417569444442</v>
      </c>
      <c r="D408" t="s">
        <v>105</v>
      </c>
      <c r="E408" t="s">
        <v>106</v>
      </c>
      <c r="F408" t="s">
        <v>30</v>
      </c>
      <c r="G408">
        <v>2043</v>
      </c>
      <c r="H408" s="6">
        <v>2</v>
      </c>
      <c r="I408" s="10">
        <v>332.34</v>
      </c>
      <c r="J408" s="10">
        <v>678.03</v>
      </c>
      <c r="L408" s="3">
        <v>0</v>
      </c>
      <c r="M408" t="s">
        <v>39</v>
      </c>
      <c r="N408" s="10">
        <v>88</v>
      </c>
      <c r="O408" t="s">
        <v>99</v>
      </c>
      <c r="P408" s="5">
        <v>45882</v>
      </c>
      <c r="Q408" s="5">
        <v>45892</v>
      </c>
      <c r="S408" t="s">
        <v>63</v>
      </c>
      <c r="T408" s="6">
        <v>2</v>
      </c>
      <c r="U408" t="s">
        <v>64</v>
      </c>
      <c r="V408" s="10">
        <v>1356.06</v>
      </c>
      <c r="W408" s="10">
        <v>664.68</v>
      </c>
      <c r="X408" s="10">
        <v>603.38</v>
      </c>
      <c r="Y408" s="11">
        <v>0.44495081338583842</v>
      </c>
      <c r="Z408" s="6"/>
      <c r="AA408" t="s">
        <v>56</v>
      </c>
    </row>
    <row r="409" spans="1:27" x14ac:dyDescent="0.25">
      <c r="A409" t="s">
        <v>550</v>
      </c>
      <c r="B409">
        <v>15</v>
      </c>
      <c r="C409" s="9">
        <v>45881.491886574076</v>
      </c>
      <c r="D409" t="s">
        <v>177</v>
      </c>
      <c r="E409" t="s">
        <v>178</v>
      </c>
      <c r="F409" t="s">
        <v>116</v>
      </c>
      <c r="G409">
        <v>0</v>
      </c>
      <c r="H409" s="6">
        <v>2</v>
      </c>
      <c r="I409" s="10">
        <v>179.78</v>
      </c>
      <c r="J409" s="10">
        <v>543.21</v>
      </c>
      <c r="K409" t="s">
        <v>60</v>
      </c>
      <c r="L409" s="3">
        <v>0.2</v>
      </c>
      <c r="M409" t="s">
        <v>39</v>
      </c>
      <c r="N409" s="10">
        <v>21.14</v>
      </c>
      <c r="O409" t="s">
        <v>47</v>
      </c>
      <c r="P409" s="5">
        <v>45882</v>
      </c>
      <c r="Q409" s="5">
        <v>45887</v>
      </c>
      <c r="R409" s="5">
        <v>45887</v>
      </c>
      <c r="S409" t="s">
        <v>33</v>
      </c>
      <c r="T409" s="6">
        <v>5</v>
      </c>
      <c r="U409" t="s">
        <v>34</v>
      </c>
      <c r="V409" s="10">
        <v>869.13600000000008</v>
      </c>
      <c r="W409" s="10">
        <v>359.56</v>
      </c>
      <c r="X409" s="10">
        <v>488.43600000000009</v>
      </c>
      <c r="Y409" s="11">
        <v>0.56197879273209261</v>
      </c>
      <c r="Z409" s="6">
        <v>0</v>
      </c>
      <c r="AA409" t="s">
        <v>35</v>
      </c>
    </row>
    <row r="410" spans="1:27" x14ac:dyDescent="0.25">
      <c r="A410" t="s">
        <v>551</v>
      </c>
      <c r="B410">
        <v>122</v>
      </c>
      <c r="C410" s="9">
        <v>45881.607164351852</v>
      </c>
      <c r="D410" t="s">
        <v>66</v>
      </c>
      <c r="E410" t="s">
        <v>67</v>
      </c>
      <c r="F410" t="s">
        <v>52</v>
      </c>
      <c r="G410">
        <v>244</v>
      </c>
      <c r="H410" s="6">
        <v>1</v>
      </c>
      <c r="I410" s="10">
        <v>56.34</v>
      </c>
      <c r="J410" s="10">
        <v>93.21</v>
      </c>
      <c r="L410" s="3">
        <v>0</v>
      </c>
      <c r="M410" t="s">
        <v>31</v>
      </c>
      <c r="N410" s="10">
        <v>57.25</v>
      </c>
      <c r="O410" t="s">
        <v>126</v>
      </c>
      <c r="P410" s="5">
        <v>45882</v>
      </c>
      <c r="Q410" s="5">
        <v>45892</v>
      </c>
      <c r="R410" s="5">
        <v>45885</v>
      </c>
      <c r="S410" t="s">
        <v>33</v>
      </c>
      <c r="T410" s="6">
        <v>5</v>
      </c>
      <c r="U410" t="s">
        <v>69</v>
      </c>
      <c r="V410" s="10">
        <v>93.21</v>
      </c>
      <c r="W410" s="10">
        <v>56.34</v>
      </c>
      <c r="X410" s="10">
        <v>-20.38000000000001</v>
      </c>
      <c r="Y410" s="11">
        <v>-0.2186460680184531</v>
      </c>
      <c r="Z410" s="6">
        <v>-7</v>
      </c>
      <c r="AA410" t="s">
        <v>35</v>
      </c>
    </row>
    <row r="411" spans="1:27" x14ac:dyDescent="0.25">
      <c r="A411" t="s">
        <v>552</v>
      </c>
      <c r="B411">
        <v>147</v>
      </c>
      <c r="C411" s="9">
        <v>45881.760891203703</v>
      </c>
      <c r="D411" t="s">
        <v>58</v>
      </c>
      <c r="E411" t="s">
        <v>59</v>
      </c>
      <c r="F411" t="s">
        <v>30</v>
      </c>
      <c r="G411">
        <v>4807</v>
      </c>
      <c r="H411" s="6">
        <v>1</v>
      </c>
      <c r="I411" s="10">
        <v>348.48</v>
      </c>
      <c r="J411" s="10">
        <v>617.59</v>
      </c>
      <c r="L411" s="3">
        <v>0</v>
      </c>
      <c r="M411" t="s">
        <v>61</v>
      </c>
      <c r="N411" s="10">
        <v>90.66</v>
      </c>
      <c r="O411" t="s">
        <v>97</v>
      </c>
      <c r="P411" s="5">
        <v>45882</v>
      </c>
      <c r="Q411" s="5">
        <v>45887</v>
      </c>
      <c r="R411" s="5">
        <v>45886</v>
      </c>
      <c r="S411" t="s">
        <v>33</v>
      </c>
      <c r="T411" s="6">
        <v>4</v>
      </c>
      <c r="U411" t="s">
        <v>211</v>
      </c>
      <c r="V411" s="10">
        <v>617.59</v>
      </c>
      <c r="W411" s="10">
        <v>348.48</v>
      </c>
      <c r="X411" s="10">
        <v>178.45</v>
      </c>
      <c r="Y411" s="11">
        <v>0.2889457407017601</v>
      </c>
      <c r="Z411" s="6">
        <v>-1</v>
      </c>
      <c r="AA411" t="s">
        <v>35</v>
      </c>
    </row>
    <row r="412" spans="1:27" x14ac:dyDescent="0.25">
      <c r="A412" t="s">
        <v>553</v>
      </c>
      <c r="B412">
        <v>187</v>
      </c>
      <c r="C412" s="9">
        <v>45881.99359953704</v>
      </c>
      <c r="D412" t="s">
        <v>58</v>
      </c>
      <c r="E412" t="s">
        <v>59</v>
      </c>
      <c r="F412" t="s">
        <v>30</v>
      </c>
      <c r="G412">
        <v>4249</v>
      </c>
      <c r="H412" s="6">
        <v>2</v>
      </c>
      <c r="I412" s="10">
        <v>287.42</v>
      </c>
      <c r="J412" s="10">
        <v>621.20000000000005</v>
      </c>
      <c r="K412" t="s">
        <v>46</v>
      </c>
      <c r="L412" s="3">
        <v>0.1</v>
      </c>
      <c r="M412" t="s">
        <v>76</v>
      </c>
      <c r="N412" s="10">
        <v>115.53</v>
      </c>
      <c r="O412" t="s">
        <v>97</v>
      </c>
      <c r="P412" s="5">
        <v>45882</v>
      </c>
      <c r="Q412" s="5">
        <v>45889</v>
      </c>
      <c r="R412" s="5">
        <v>45890</v>
      </c>
      <c r="S412" t="s">
        <v>33</v>
      </c>
      <c r="T412" s="6">
        <v>3</v>
      </c>
      <c r="U412" t="s">
        <v>352</v>
      </c>
      <c r="V412" s="10">
        <v>1118.1600000000001</v>
      </c>
      <c r="W412" s="10">
        <v>574.84</v>
      </c>
      <c r="X412" s="10">
        <v>427.79000000000008</v>
      </c>
      <c r="Y412" s="11">
        <v>0.38258388781569719</v>
      </c>
      <c r="Z412" s="6">
        <v>1</v>
      </c>
      <c r="AA412" t="s">
        <v>103</v>
      </c>
    </row>
    <row r="413" spans="1:27" x14ac:dyDescent="0.25">
      <c r="A413" t="s">
        <v>554</v>
      </c>
      <c r="B413">
        <v>82</v>
      </c>
      <c r="C413" s="9">
        <v>45882.068749999999</v>
      </c>
      <c r="D413" t="s">
        <v>155</v>
      </c>
      <c r="E413" t="s">
        <v>156</v>
      </c>
      <c r="F413" t="s">
        <v>30</v>
      </c>
      <c r="G413">
        <v>4152</v>
      </c>
      <c r="H413" s="6">
        <v>2</v>
      </c>
      <c r="I413" s="10">
        <v>1005.82</v>
      </c>
      <c r="J413" s="10">
        <v>1776.64</v>
      </c>
      <c r="L413" s="3">
        <v>0</v>
      </c>
      <c r="M413" t="s">
        <v>61</v>
      </c>
      <c r="N413" s="10">
        <v>83</v>
      </c>
      <c r="O413" t="s">
        <v>157</v>
      </c>
      <c r="P413" s="5">
        <v>45884</v>
      </c>
      <c r="Q413" s="5">
        <v>45889</v>
      </c>
      <c r="R413" s="5">
        <v>45886</v>
      </c>
      <c r="S413" t="s">
        <v>33</v>
      </c>
      <c r="T413" s="6">
        <v>5</v>
      </c>
      <c r="U413" t="s">
        <v>119</v>
      </c>
      <c r="V413" s="10">
        <v>3553.28</v>
      </c>
      <c r="W413" s="10">
        <v>2011.64</v>
      </c>
      <c r="X413" s="10">
        <v>1458.64</v>
      </c>
      <c r="Y413" s="11">
        <v>0.41050522334293948</v>
      </c>
      <c r="Z413" s="6">
        <v>-3</v>
      </c>
      <c r="AA413" t="s">
        <v>35</v>
      </c>
    </row>
    <row r="414" spans="1:27" x14ac:dyDescent="0.25">
      <c r="A414" t="s">
        <v>555</v>
      </c>
      <c r="B414">
        <v>29</v>
      </c>
      <c r="C414" s="9">
        <v>45882.195300925923</v>
      </c>
      <c r="D414" t="s">
        <v>89</v>
      </c>
      <c r="E414" t="s">
        <v>90</v>
      </c>
      <c r="F414" t="s">
        <v>52</v>
      </c>
      <c r="G414">
        <v>322</v>
      </c>
      <c r="H414" s="6">
        <v>3</v>
      </c>
      <c r="I414" s="10">
        <v>61.2</v>
      </c>
      <c r="J414" s="10">
        <v>177.48</v>
      </c>
      <c r="L414" s="3">
        <v>0</v>
      </c>
      <c r="M414" t="s">
        <v>76</v>
      </c>
      <c r="N414" s="10">
        <v>48.1</v>
      </c>
      <c r="O414" t="s">
        <v>99</v>
      </c>
      <c r="P414" s="5">
        <v>45883</v>
      </c>
      <c r="Q414" s="5">
        <v>45888</v>
      </c>
      <c r="R414" s="5">
        <v>45887</v>
      </c>
      <c r="S414" t="s">
        <v>33</v>
      </c>
      <c r="T414" s="6">
        <v>4</v>
      </c>
      <c r="U414" t="s">
        <v>69</v>
      </c>
      <c r="V414" s="10">
        <v>532.43999999999994</v>
      </c>
      <c r="W414" s="10">
        <v>183.6</v>
      </c>
      <c r="X414" s="10">
        <v>300.7399999999999</v>
      </c>
      <c r="Y414" s="11">
        <v>0.5648335962737584</v>
      </c>
      <c r="Z414" s="6">
        <v>-1</v>
      </c>
      <c r="AA414" t="s">
        <v>35</v>
      </c>
    </row>
    <row r="415" spans="1:27" x14ac:dyDescent="0.25">
      <c r="A415" t="s">
        <v>556</v>
      </c>
      <c r="B415">
        <v>26</v>
      </c>
      <c r="C415" s="9">
        <v>45883.240358796298</v>
      </c>
      <c r="D415" t="s">
        <v>92</v>
      </c>
      <c r="E415" t="s">
        <v>93</v>
      </c>
      <c r="F415" t="s">
        <v>52</v>
      </c>
      <c r="G415">
        <v>245</v>
      </c>
      <c r="H415" s="6">
        <v>1</v>
      </c>
      <c r="I415" s="10">
        <v>59.26</v>
      </c>
      <c r="J415" s="10">
        <v>111.9</v>
      </c>
      <c r="K415" t="s">
        <v>46</v>
      </c>
      <c r="L415" s="3">
        <v>0.1</v>
      </c>
      <c r="M415" t="s">
        <v>31</v>
      </c>
      <c r="N415" s="10">
        <v>59.25</v>
      </c>
      <c r="O415" t="s">
        <v>97</v>
      </c>
      <c r="P415" s="5">
        <v>45884</v>
      </c>
      <c r="Q415" s="5">
        <v>45892</v>
      </c>
      <c r="R415" s="5">
        <v>45892</v>
      </c>
      <c r="S415" t="s">
        <v>33</v>
      </c>
      <c r="T415" s="6">
        <v>4</v>
      </c>
      <c r="U415" t="s">
        <v>127</v>
      </c>
      <c r="V415" s="10">
        <v>100.71</v>
      </c>
      <c r="W415" s="10">
        <v>59.26</v>
      </c>
      <c r="X415" s="10">
        <v>-17.79999999999999</v>
      </c>
      <c r="Y415" s="11">
        <v>-0.1767451097209809</v>
      </c>
      <c r="Z415" s="6">
        <v>0</v>
      </c>
      <c r="AA415" t="s">
        <v>35</v>
      </c>
    </row>
    <row r="416" spans="1:27" x14ac:dyDescent="0.25">
      <c r="A416" t="s">
        <v>557</v>
      </c>
      <c r="B416">
        <v>11</v>
      </c>
      <c r="C416" s="9">
        <v>45884.243761574071</v>
      </c>
      <c r="D416" t="s">
        <v>66</v>
      </c>
      <c r="E416" t="s">
        <v>67</v>
      </c>
      <c r="F416" t="s">
        <v>52</v>
      </c>
      <c r="G416">
        <v>234</v>
      </c>
      <c r="H416" s="6">
        <v>3</v>
      </c>
      <c r="I416" s="10">
        <v>33.46</v>
      </c>
      <c r="J416" s="10">
        <v>137.38999999999999</v>
      </c>
      <c r="K416" t="s">
        <v>46</v>
      </c>
      <c r="L416" s="3">
        <v>0.1</v>
      </c>
      <c r="M416" t="s">
        <v>61</v>
      </c>
      <c r="N416" s="10">
        <v>29.7</v>
      </c>
      <c r="O416" t="s">
        <v>97</v>
      </c>
      <c r="P416" s="5">
        <v>45885</v>
      </c>
      <c r="Q416" s="5">
        <v>45892</v>
      </c>
      <c r="R416" s="5">
        <v>45888</v>
      </c>
      <c r="S416" t="s">
        <v>33</v>
      </c>
      <c r="T416" s="6">
        <v>4</v>
      </c>
      <c r="U416" t="s">
        <v>127</v>
      </c>
      <c r="V416" s="10">
        <v>370.95299999999997</v>
      </c>
      <c r="W416" s="10">
        <v>100.38</v>
      </c>
      <c r="X416" s="10">
        <v>240.87299999999999</v>
      </c>
      <c r="Y416" s="11">
        <v>0.64933563012025786</v>
      </c>
      <c r="Z416" s="6">
        <v>-4</v>
      </c>
      <c r="AA416" t="s">
        <v>35</v>
      </c>
    </row>
    <row r="417" spans="1:27" x14ac:dyDescent="0.25">
      <c r="A417" t="s">
        <v>558</v>
      </c>
      <c r="B417">
        <v>195</v>
      </c>
      <c r="C417" s="9">
        <v>45885.173009259262</v>
      </c>
      <c r="D417" t="s">
        <v>81</v>
      </c>
      <c r="E417" t="s">
        <v>82</v>
      </c>
      <c r="F417" t="s">
        <v>45</v>
      </c>
      <c r="G417">
        <v>0</v>
      </c>
      <c r="H417" s="6">
        <v>3</v>
      </c>
      <c r="I417" s="10">
        <v>70.14</v>
      </c>
      <c r="J417" s="10">
        <v>234.01</v>
      </c>
      <c r="K417" t="s">
        <v>60</v>
      </c>
      <c r="L417" s="3">
        <v>0.2</v>
      </c>
      <c r="M417" t="s">
        <v>76</v>
      </c>
      <c r="N417" s="10">
        <v>21.76</v>
      </c>
      <c r="O417" t="s">
        <v>40</v>
      </c>
      <c r="P417" s="5">
        <v>45887</v>
      </c>
      <c r="Q417" s="5">
        <v>45895</v>
      </c>
      <c r="S417" t="s">
        <v>161</v>
      </c>
      <c r="T417" s="6">
        <v>1</v>
      </c>
      <c r="U417" t="s">
        <v>102</v>
      </c>
      <c r="V417" s="10">
        <v>561.62400000000002</v>
      </c>
      <c r="W417" s="10">
        <v>210.42</v>
      </c>
      <c r="X417" s="10">
        <v>329.44400000000002</v>
      </c>
      <c r="Y417" s="11">
        <v>0.5865917410936855</v>
      </c>
      <c r="Z417" s="6"/>
      <c r="AA417" t="s">
        <v>56</v>
      </c>
    </row>
    <row r="418" spans="1:27" x14ac:dyDescent="0.25">
      <c r="A418" t="s">
        <v>559</v>
      </c>
      <c r="B418">
        <v>9</v>
      </c>
      <c r="C418" s="9">
        <v>45885.931168981479</v>
      </c>
      <c r="D418" t="s">
        <v>71</v>
      </c>
      <c r="E418" t="s">
        <v>72</v>
      </c>
      <c r="F418" t="s">
        <v>52</v>
      </c>
      <c r="G418">
        <v>301</v>
      </c>
      <c r="H418" s="6">
        <v>3</v>
      </c>
      <c r="I418" s="10">
        <v>41.56</v>
      </c>
      <c r="J418" s="10">
        <v>142.1</v>
      </c>
      <c r="K418" t="s">
        <v>46</v>
      </c>
      <c r="L418" s="3">
        <v>0.1</v>
      </c>
      <c r="M418" t="s">
        <v>31</v>
      </c>
      <c r="N418" s="10">
        <v>46.45</v>
      </c>
      <c r="O418" t="s">
        <v>47</v>
      </c>
      <c r="P418" s="5">
        <v>45886</v>
      </c>
      <c r="Q418" s="5">
        <v>45894</v>
      </c>
      <c r="R418" s="5">
        <v>45898</v>
      </c>
      <c r="S418" t="s">
        <v>33</v>
      </c>
      <c r="T418" s="6">
        <v>1</v>
      </c>
      <c r="U418" t="s">
        <v>168</v>
      </c>
      <c r="V418" s="10">
        <v>383.67</v>
      </c>
      <c r="W418" s="10">
        <v>124.68</v>
      </c>
      <c r="X418" s="10">
        <v>212.54</v>
      </c>
      <c r="Y418" s="11">
        <v>0.55396564756170663</v>
      </c>
      <c r="Z418" s="6">
        <v>4</v>
      </c>
      <c r="AA418" t="s">
        <v>103</v>
      </c>
    </row>
    <row r="419" spans="1:27" x14ac:dyDescent="0.25">
      <c r="A419" t="s">
        <v>560</v>
      </c>
      <c r="B419">
        <v>157</v>
      </c>
      <c r="C419" s="9">
        <v>45886.440555555557</v>
      </c>
      <c r="D419" t="s">
        <v>58</v>
      </c>
      <c r="E419" t="s">
        <v>59</v>
      </c>
      <c r="F419" t="s">
        <v>30</v>
      </c>
      <c r="G419">
        <v>4416</v>
      </c>
      <c r="H419" s="6">
        <v>3</v>
      </c>
      <c r="I419" s="10">
        <v>482.52</v>
      </c>
      <c r="J419" s="10">
        <v>871.57</v>
      </c>
      <c r="L419" s="3">
        <v>0</v>
      </c>
      <c r="M419" t="s">
        <v>39</v>
      </c>
      <c r="N419" s="10">
        <v>116.83</v>
      </c>
      <c r="O419" t="s">
        <v>53</v>
      </c>
      <c r="P419" s="5">
        <v>45888</v>
      </c>
      <c r="Q419" s="5">
        <v>45898</v>
      </c>
      <c r="R419" s="5">
        <v>45896</v>
      </c>
      <c r="S419" t="s">
        <v>33</v>
      </c>
      <c r="T419" s="6">
        <v>5</v>
      </c>
      <c r="U419" t="s">
        <v>119</v>
      </c>
      <c r="V419" s="10">
        <v>2614.71</v>
      </c>
      <c r="W419" s="10">
        <v>1447.56</v>
      </c>
      <c r="X419" s="10">
        <v>1050.32</v>
      </c>
      <c r="Y419" s="11">
        <v>0.40169655525851822</v>
      </c>
      <c r="Z419" s="6">
        <v>-2</v>
      </c>
      <c r="AA419" t="s">
        <v>35</v>
      </c>
    </row>
    <row r="420" spans="1:27" x14ac:dyDescent="0.25">
      <c r="A420" t="s">
        <v>561</v>
      </c>
      <c r="B420">
        <v>37</v>
      </c>
      <c r="C420" s="9">
        <v>45886.947951388887</v>
      </c>
      <c r="D420" t="s">
        <v>89</v>
      </c>
      <c r="E420" t="s">
        <v>90</v>
      </c>
      <c r="F420" t="s">
        <v>52</v>
      </c>
      <c r="G420">
        <v>223</v>
      </c>
      <c r="H420" s="6">
        <v>2</v>
      </c>
      <c r="I420" s="10">
        <v>86.63</v>
      </c>
      <c r="J420" s="10">
        <v>150.24</v>
      </c>
      <c r="L420" s="3">
        <v>0</v>
      </c>
      <c r="M420" t="s">
        <v>31</v>
      </c>
      <c r="N420" s="10">
        <v>29.82</v>
      </c>
      <c r="O420" t="s">
        <v>47</v>
      </c>
      <c r="P420" s="5">
        <v>45887</v>
      </c>
      <c r="Q420" s="5">
        <v>45896</v>
      </c>
      <c r="R420" s="5">
        <v>45889</v>
      </c>
      <c r="S420" t="s">
        <v>33</v>
      </c>
      <c r="T420" s="6">
        <v>5</v>
      </c>
      <c r="U420" t="s">
        <v>69</v>
      </c>
      <c r="V420" s="10">
        <v>300.48</v>
      </c>
      <c r="W420" s="10">
        <v>173.26</v>
      </c>
      <c r="X420" s="10">
        <v>97.400000000000034</v>
      </c>
      <c r="Y420" s="11">
        <v>0.32414802981895641</v>
      </c>
      <c r="Z420" s="6">
        <v>-7</v>
      </c>
      <c r="AA420" t="s">
        <v>35</v>
      </c>
    </row>
    <row r="421" spans="1:27" x14ac:dyDescent="0.25">
      <c r="A421" t="s">
        <v>562</v>
      </c>
      <c r="B421">
        <v>96</v>
      </c>
      <c r="C421" s="9">
        <v>45887.017800925933</v>
      </c>
      <c r="D421" t="s">
        <v>58</v>
      </c>
      <c r="E421" t="s">
        <v>59</v>
      </c>
      <c r="F421" t="s">
        <v>30</v>
      </c>
      <c r="G421">
        <v>4071</v>
      </c>
      <c r="H421" s="6">
        <v>2</v>
      </c>
      <c r="I421" s="10">
        <v>399.88</v>
      </c>
      <c r="J421" s="10">
        <v>773.22</v>
      </c>
      <c r="L421" s="3">
        <v>0</v>
      </c>
      <c r="M421" t="s">
        <v>61</v>
      </c>
      <c r="N421" s="10">
        <v>111.16</v>
      </c>
      <c r="O421" t="s">
        <v>40</v>
      </c>
      <c r="P421" s="5">
        <v>45889</v>
      </c>
      <c r="Q421" s="5">
        <v>45895</v>
      </c>
      <c r="S421" t="s">
        <v>63</v>
      </c>
      <c r="T421" s="6">
        <v>1</v>
      </c>
      <c r="U421" t="s">
        <v>140</v>
      </c>
      <c r="V421" s="10">
        <v>1546.44</v>
      </c>
      <c r="W421" s="10">
        <v>799.76</v>
      </c>
      <c r="X421" s="10">
        <v>635.5200000000001</v>
      </c>
      <c r="Y421" s="11">
        <v>0.41095677814852177</v>
      </c>
      <c r="Z421" s="6"/>
      <c r="AA421" t="s">
        <v>56</v>
      </c>
    </row>
    <row r="422" spans="1:27" x14ac:dyDescent="0.25">
      <c r="A422" t="s">
        <v>563</v>
      </c>
      <c r="B422">
        <v>8</v>
      </c>
      <c r="C422" s="9">
        <v>45887.206990740742</v>
      </c>
      <c r="D422" t="s">
        <v>37</v>
      </c>
      <c r="E422" t="s">
        <v>38</v>
      </c>
      <c r="F422" t="s">
        <v>30</v>
      </c>
      <c r="G422">
        <v>2610</v>
      </c>
      <c r="H422" s="6">
        <v>3</v>
      </c>
      <c r="I422" s="10">
        <v>782.29</v>
      </c>
      <c r="J422" s="10">
        <v>1064.8800000000001</v>
      </c>
      <c r="K422" t="s">
        <v>60</v>
      </c>
      <c r="L422" s="3">
        <v>0.2</v>
      </c>
      <c r="M422" t="s">
        <v>61</v>
      </c>
      <c r="N422" s="10">
        <v>133.19</v>
      </c>
      <c r="O422" t="s">
        <v>68</v>
      </c>
      <c r="P422" s="5">
        <v>45888</v>
      </c>
      <c r="Q422" s="5">
        <v>45895</v>
      </c>
      <c r="S422" t="s">
        <v>54</v>
      </c>
      <c r="T422" s="6">
        <v>4</v>
      </c>
      <c r="U422" t="s">
        <v>134</v>
      </c>
      <c r="V422" s="10">
        <v>2555.712</v>
      </c>
      <c r="W422" s="10">
        <v>2346.87</v>
      </c>
      <c r="X422" s="10">
        <v>75.652000000000555</v>
      </c>
      <c r="Y422" s="11">
        <v>2.9601144416898519E-2</v>
      </c>
      <c r="Z422" s="6"/>
      <c r="AA422" t="s">
        <v>56</v>
      </c>
    </row>
    <row r="423" spans="1:27" x14ac:dyDescent="0.25">
      <c r="A423" t="s">
        <v>564</v>
      </c>
      <c r="B423">
        <v>144</v>
      </c>
      <c r="C423" s="9">
        <v>45887.553287037037</v>
      </c>
      <c r="D423" t="s">
        <v>114</v>
      </c>
      <c r="E423" t="s">
        <v>115</v>
      </c>
      <c r="F423" t="s">
        <v>116</v>
      </c>
      <c r="G423">
        <v>0</v>
      </c>
      <c r="H423" s="6">
        <v>3</v>
      </c>
      <c r="I423" s="10">
        <v>379.59</v>
      </c>
      <c r="J423" s="10">
        <v>749.85</v>
      </c>
      <c r="L423" s="3">
        <v>0</v>
      </c>
      <c r="M423" t="s">
        <v>39</v>
      </c>
      <c r="N423" s="10">
        <v>16.8</v>
      </c>
      <c r="O423" t="s">
        <v>99</v>
      </c>
      <c r="P423" s="5">
        <v>45888</v>
      </c>
      <c r="Q423" s="5">
        <v>45898</v>
      </c>
      <c r="R423" s="5">
        <v>45896</v>
      </c>
      <c r="S423" t="s">
        <v>33</v>
      </c>
      <c r="T423" s="6">
        <v>5</v>
      </c>
      <c r="U423" t="s">
        <v>119</v>
      </c>
      <c r="V423" s="10">
        <v>2249.5500000000002</v>
      </c>
      <c r="W423" s="10">
        <v>1138.77</v>
      </c>
      <c r="X423" s="10">
        <v>1093.98</v>
      </c>
      <c r="Y423" s="11">
        <v>0.48631059545242389</v>
      </c>
      <c r="Z423" s="6">
        <v>-2</v>
      </c>
      <c r="AA423" t="s">
        <v>35</v>
      </c>
    </row>
    <row r="424" spans="1:27" x14ac:dyDescent="0.25">
      <c r="A424" t="s">
        <v>565</v>
      </c>
      <c r="B424">
        <v>3</v>
      </c>
      <c r="C424" s="9">
        <v>45887.769652777781</v>
      </c>
      <c r="D424" t="s">
        <v>164</v>
      </c>
      <c r="E424" t="s">
        <v>165</v>
      </c>
      <c r="F424" t="s">
        <v>116</v>
      </c>
      <c r="G424">
        <v>0</v>
      </c>
      <c r="H424" s="6">
        <v>3</v>
      </c>
      <c r="I424" s="10">
        <v>315.89</v>
      </c>
      <c r="J424" s="10">
        <v>676.38</v>
      </c>
      <c r="L424" s="3">
        <v>0</v>
      </c>
      <c r="M424" t="s">
        <v>39</v>
      </c>
      <c r="N424" s="10">
        <v>21.67</v>
      </c>
      <c r="O424" t="s">
        <v>99</v>
      </c>
      <c r="P424" s="5">
        <v>45888</v>
      </c>
      <c r="Q424" s="5">
        <v>45895</v>
      </c>
      <c r="R424" s="5">
        <v>45894</v>
      </c>
      <c r="S424" t="s">
        <v>33</v>
      </c>
      <c r="T424" s="6">
        <v>4</v>
      </c>
      <c r="U424" t="s">
        <v>48</v>
      </c>
      <c r="V424" s="10">
        <v>2029.14</v>
      </c>
      <c r="W424" s="10">
        <v>947.67</v>
      </c>
      <c r="X424" s="10">
        <v>1059.8</v>
      </c>
      <c r="Y424" s="11">
        <v>0.52229023132952868</v>
      </c>
      <c r="Z424" s="6">
        <v>-1</v>
      </c>
      <c r="AA424" t="s">
        <v>35</v>
      </c>
    </row>
    <row r="425" spans="1:27" x14ac:dyDescent="0.25">
      <c r="A425" t="s">
        <v>566</v>
      </c>
      <c r="B425">
        <v>144</v>
      </c>
      <c r="C425" s="9">
        <v>45887.807569444441</v>
      </c>
      <c r="D425" t="s">
        <v>86</v>
      </c>
      <c r="E425" t="s">
        <v>87</v>
      </c>
      <c r="F425" t="s">
        <v>45</v>
      </c>
      <c r="G425">
        <v>0</v>
      </c>
      <c r="H425" s="6">
        <v>3</v>
      </c>
      <c r="I425" s="10">
        <v>37.46</v>
      </c>
      <c r="J425" s="10">
        <v>175.31</v>
      </c>
      <c r="L425" s="3">
        <v>0</v>
      </c>
      <c r="M425" t="s">
        <v>31</v>
      </c>
      <c r="N425" s="10">
        <v>29.84</v>
      </c>
      <c r="O425" t="s">
        <v>97</v>
      </c>
      <c r="P425" s="5">
        <v>45888</v>
      </c>
      <c r="Q425" s="5">
        <v>45898</v>
      </c>
      <c r="R425" s="5">
        <v>45891</v>
      </c>
      <c r="S425" t="s">
        <v>33</v>
      </c>
      <c r="T425" s="6">
        <v>4</v>
      </c>
      <c r="U425" t="s">
        <v>211</v>
      </c>
      <c r="V425" s="10">
        <v>525.93000000000006</v>
      </c>
      <c r="W425" s="10">
        <v>112.38</v>
      </c>
      <c r="X425" s="10">
        <v>383.71000000000009</v>
      </c>
      <c r="Y425" s="11">
        <v>0.72958378491434228</v>
      </c>
      <c r="Z425" s="6">
        <v>-7</v>
      </c>
      <c r="AA425" t="s">
        <v>35</v>
      </c>
    </row>
    <row r="426" spans="1:27" x14ac:dyDescent="0.25">
      <c r="A426" t="s">
        <v>567</v>
      </c>
      <c r="B426">
        <v>62</v>
      </c>
      <c r="C426" s="9">
        <v>45887.917581018519</v>
      </c>
      <c r="D426" t="s">
        <v>155</v>
      </c>
      <c r="E426" t="s">
        <v>156</v>
      </c>
      <c r="F426" t="s">
        <v>30</v>
      </c>
      <c r="G426">
        <v>4605</v>
      </c>
      <c r="H426" s="6">
        <v>3</v>
      </c>
      <c r="I426" s="10">
        <v>692.01</v>
      </c>
      <c r="J426" s="10">
        <v>1224.05</v>
      </c>
      <c r="L426" s="3">
        <v>0</v>
      </c>
      <c r="M426" t="s">
        <v>61</v>
      </c>
      <c r="N426" s="10">
        <v>113.54</v>
      </c>
      <c r="O426" t="s">
        <v>53</v>
      </c>
      <c r="P426" s="5">
        <v>45888</v>
      </c>
      <c r="Q426" s="5">
        <v>45897</v>
      </c>
      <c r="R426" s="5">
        <v>45895</v>
      </c>
      <c r="S426" t="s">
        <v>33</v>
      </c>
      <c r="T426" s="6">
        <v>4</v>
      </c>
      <c r="U426" t="s">
        <v>127</v>
      </c>
      <c r="V426" s="10">
        <v>3672.15</v>
      </c>
      <c r="W426" s="10">
        <v>2076.0300000000002</v>
      </c>
      <c r="X426" s="10">
        <v>1482.58</v>
      </c>
      <c r="Y426" s="11">
        <v>0.40373623081845789</v>
      </c>
      <c r="Z426" s="6">
        <v>-2</v>
      </c>
      <c r="AA426" t="s">
        <v>35</v>
      </c>
    </row>
    <row r="427" spans="1:27" x14ac:dyDescent="0.25">
      <c r="A427" t="s">
        <v>568</v>
      </c>
      <c r="B427">
        <v>54</v>
      </c>
      <c r="C427" s="9">
        <v>45888.524062500001</v>
      </c>
      <c r="D427" t="s">
        <v>66</v>
      </c>
      <c r="E427" t="s">
        <v>67</v>
      </c>
      <c r="F427" t="s">
        <v>52</v>
      </c>
      <c r="G427">
        <v>259</v>
      </c>
      <c r="H427" s="6">
        <v>3</v>
      </c>
      <c r="I427" s="10">
        <v>53.87</v>
      </c>
      <c r="J427" s="10">
        <v>71.47</v>
      </c>
      <c r="L427" s="3">
        <v>0</v>
      </c>
      <c r="M427" t="s">
        <v>31</v>
      </c>
      <c r="N427" s="10">
        <v>29.73</v>
      </c>
      <c r="O427" t="s">
        <v>47</v>
      </c>
      <c r="P427" s="5">
        <v>45890</v>
      </c>
      <c r="Q427" s="5">
        <v>45895</v>
      </c>
      <c r="R427" s="5">
        <v>45895</v>
      </c>
      <c r="S427" t="s">
        <v>33</v>
      </c>
      <c r="T427" s="6">
        <v>4</v>
      </c>
      <c r="U427" t="s">
        <v>41</v>
      </c>
      <c r="V427" s="10">
        <v>214.41</v>
      </c>
      <c r="W427" s="10">
        <v>161.61000000000001</v>
      </c>
      <c r="X427" s="10">
        <v>23.070000000000011</v>
      </c>
      <c r="Y427" s="11">
        <v>0.1075975933958305</v>
      </c>
      <c r="Z427" s="6">
        <v>0</v>
      </c>
      <c r="AA427" t="s">
        <v>35</v>
      </c>
    </row>
    <row r="428" spans="1:27" x14ac:dyDescent="0.25">
      <c r="A428" t="s">
        <v>569</v>
      </c>
      <c r="B428">
        <v>103</v>
      </c>
      <c r="C428" s="9">
        <v>45888.727708333332</v>
      </c>
      <c r="D428" t="s">
        <v>148</v>
      </c>
      <c r="E428" t="s">
        <v>149</v>
      </c>
      <c r="F428" t="s">
        <v>30</v>
      </c>
      <c r="G428">
        <v>2860</v>
      </c>
      <c r="H428" s="6">
        <v>2</v>
      </c>
      <c r="I428" s="10">
        <v>318.37</v>
      </c>
      <c r="J428" s="10">
        <v>817.12</v>
      </c>
      <c r="L428" s="3">
        <v>0</v>
      </c>
      <c r="M428" t="s">
        <v>31</v>
      </c>
      <c r="N428" s="10">
        <v>74.22</v>
      </c>
      <c r="O428" t="s">
        <v>157</v>
      </c>
      <c r="P428" s="5">
        <v>45889</v>
      </c>
      <c r="Q428" s="5">
        <v>45898</v>
      </c>
      <c r="R428" s="5">
        <v>45894</v>
      </c>
      <c r="S428" t="s">
        <v>33</v>
      </c>
      <c r="T428" s="6">
        <v>5</v>
      </c>
      <c r="U428" t="s">
        <v>117</v>
      </c>
      <c r="V428" s="10">
        <v>1634.24</v>
      </c>
      <c r="W428" s="10">
        <v>636.74</v>
      </c>
      <c r="X428" s="10">
        <v>923.28</v>
      </c>
      <c r="Y428" s="11">
        <v>0.56495985901703538</v>
      </c>
      <c r="Z428" s="6">
        <v>-4</v>
      </c>
      <c r="AA428" t="s">
        <v>35</v>
      </c>
    </row>
    <row r="429" spans="1:27" x14ac:dyDescent="0.25">
      <c r="A429" t="s">
        <v>570</v>
      </c>
      <c r="B429">
        <v>49</v>
      </c>
      <c r="C429" s="9">
        <v>45888.992824074077</v>
      </c>
      <c r="D429" t="s">
        <v>71</v>
      </c>
      <c r="E429" t="s">
        <v>72</v>
      </c>
      <c r="F429" t="s">
        <v>52</v>
      </c>
      <c r="G429">
        <v>292</v>
      </c>
      <c r="H429" s="6">
        <v>2</v>
      </c>
      <c r="I429" s="10">
        <v>52.95</v>
      </c>
      <c r="J429" s="10">
        <v>63.96</v>
      </c>
      <c r="L429" s="3">
        <v>0</v>
      </c>
      <c r="M429" t="s">
        <v>76</v>
      </c>
      <c r="N429" s="10">
        <v>28.37</v>
      </c>
      <c r="O429" t="s">
        <v>133</v>
      </c>
      <c r="P429" s="5">
        <v>45889</v>
      </c>
      <c r="Q429" s="5">
        <v>45895</v>
      </c>
      <c r="R429" s="5">
        <v>45892</v>
      </c>
      <c r="S429" t="s">
        <v>33</v>
      </c>
      <c r="T429" s="6">
        <v>4</v>
      </c>
      <c r="U429" t="s">
        <v>41</v>
      </c>
      <c r="V429" s="10">
        <v>127.92</v>
      </c>
      <c r="W429" s="10">
        <v>105.9</v>
      </c>
      <c r="X429" s="10">
        <v>-6.350000000000005</v>
      </c>
      <c r="Y429" s="11">
        <v>-4.9640400250156383E-2</v>
      </c>
      <c r="Z429" s="6">
        <v>-3</v>
      </c>
      <c r="AA429" t="s">
        <v>35</v>
      </c>
    </row>
    <row r="430" spans="1:27" x14ac:dyDescent="0.25">
      <c r="A430" t="s">
        <v>571</v>
      </c>
      <c r="B430">
        <v>200</v>
      </c>
      <c r="C430" s="9">
        <v>45889.259988425933</v>
      </c>
      <c r="D430" t="s">
        <v>148</v>
      </c>
      <c r="E430" t="s">
        <v>149</v>
      </c>
      <c r="F430" t="s">
        <v>30</v>
      </c>
      <c r="G430">
        <v>3007</v>
      </c>
      <c r="H430" s="6">
        <v>3</v>
      </c>
      <c r="I430" s="10">
        <v>584.51</v>
      </c>
      <c r="J430" s="10">
        <v>776.2</v>
      </c>
      <c r="L430" s="3">
        <v>0</v>
      </c>
      <c r="M430" t="s">
        <v>31</v>
      </c>
      <c r="N430" s="10">
        <v>134.57</v>
      </c>
      <c r="O430" t="s">
        <v>40</v>
      </c>
      <c r="P430" s="5">
        <v>45890</v>
      </c>
      <c r="Q430" s="5">
        <v>45899</v>
      </c>
      <c r="R430" s="5">
        <v>45903</v>
      </c>
      <c r="S430" t="s">
        <v>33</v>
      </c>
      <c r="T430" s="6">
        <v>3</v>
      </c>
      <c r="U430" t="s">
        <v>405</v>
      </c>
      <c r="V430" s="10">
        <v>2328.6</v>
      </c>
      <c r="W430" s="10">
        <v>1753.53</v>
      </c>
      <c r="X430" s="10">
        <v>440.5000000000004</v>
      </c>
      <c r="Y430" s="11">
        <v>0.18916945804345969</v>
      </c>
      <c r="Z430" s="6">
        <v>4</v>
      </c>
      <c r="AA430" t="s">
        <v>103</v>
      </c>
    </row>
    <row r="431" spans="1:27" x14ac:dyDescent="0.25">
      <c r="A431" t="s">
        <v>572</v>
      </c>
      <c r="B431">
        <v>38</v>
      </c>
      <c r="C431" s="9">
        <v>45889.484027777777</v>
      </c>
      <c r="D431" t="s">
        <v>71</v>
      </c>
      <c r="E431" t="s">
        <v>72</v>
      </c>
      <c r="F431" t="s">
        <v>52</v>
      </c>
      <c r="G431">
        <v>230</v>
      </c>
      <c r="H431" s="6">
        <v>2</v>
      </c>
      <c r="I431" s="10">
        <v>54.38</v>
      </c>
      <c r="J431" s="10">
        <v>78.5</v>
      </c>
      <c r="L431" s="3">
        <v>0</v>
      </c>
      <c r="M431" t="s">
        <v>31</v>
      </c>
      <c r="N431" s="10">
        <v>26.63</v>
      </c>
      <c r="O431" t="s">
        <v>40</v>
      </c>
      <c r="P431" s="5">
        <v>45891</v>
      </c>
      <c r="Q431" s="5">
        <v>45899</v>
      </c>
      <c r="R431" s="5">
        <v>45894</v>
      </c>
      <c r="S431" t="s">
        <v>33</v>
      </c>
      <c r="T431" s="6">
        <v>5</v>
      </c>
      <c r="U431" t="s">
        <v>79</v>
      </c>
      <c r="V431" s="10">
        <v>157</v>
      </c>
      <c r="W431" s="10">
        <v>108.76</v>
      </c>
      <c r="X431" s="10">
        <v>21.61</v>
      </c>
      <c r="Y431" s="11">
        <v>0.1376433121019108</v>
      </c>
      <c r="Z431" s="6">
        <v>-5</v>
      </c>
      <c r="AA431" t="s">
        <v>35</v>
      </c>
    </row>
    <row r="432" spans="1:27" x14ac:dyDescent="0.25">
      <c r="A432" t="s">
        <v>573</v>
      </c>
      <c r="B432">
        <v>141</v>
      </c>
      <c r="C432" s="9">
        <v>45889.922581018523</v>
      </c>
      <c r="D432" t="s">
        <v>177</v>
      </c>
      <c r="E432" t="s">
        <v>178</v>
      </c>
      <c r="F432" t="s">
        <v>116</v>
      </c>
      <c r="G432">
        <v>0</v>
      </c>
      <c r="H432" s="6">
        <v>3</v>
      </c>
      <c r="I432" s="10">
        <v>216.14</v>
      </c>
      <c r="J432" s="10">
        <v>314.14</v>
      </c>
      <c r="L432" s="3">
        <v>0</v>
      </c>
      <c r="M432" t="s">
        <v>76</v>
      </c>
      <c r="N432" s="10">
        <v>20.149999999999999</v>
      </c>
      <c r="O432" t="s">
        <v>47</v>
      </c>
      <c r="P432" s="5">
        <v>45891</v>
      </c>
      <c r="Q432" s="5">
        <v>45896</v>
      </c>
      <c r="R432" s="5">
        <v>45894</v>
      </c>
      <c r="S432" t="s">
        <v>33</v>
      </c>
      <c r="T432" s="6">
        <v>5</v>
      </c>
      <c r="U432" t="s">
        <v>79</v>
      </c>
      <c r="V432" s="10">
        <v>942.42</v>
      </c>
      <c r="W432" s="10">
        <v>648.41999999999996</v>
      </c>
      <c r="X432" s="10">
        <v>273.85000000000002</v>
      </c>
      <c r="Y432" s="11">
        <v>0.29058169393688588</v>
      </c>
      <c r="Z432" s="6">
        <v>-2</v>
      </c>
      <c r="AA432" t="s">
        <v>35</v>
      </c>
    </row>
    <row r="433" spans="1:27" x14ac:dyDescent="0.25">
      <c r="A433" t="s">
        <v>574</v>
      </c>
      <c r="B433">
        <v>153</v>
      </c>
      <c r="C433" s="9">
        <v>45890.278402777767</v>
      </c>
      <c r="D433" t="s">
        <v>89</v>
      </c>
      <c r="E433" t="s">
        <v>90</v>
      </c>
      <c r="F433" t="s">
        <v>52</v>
      </c>
      <c r="G433">
        <v>294</v>
      </c>
      <c r="H433" s="6">
        <v>3</v>
      </c>
      <c r="I433" s="10">
        <v>41.2</v>
      </c>
      <c r="J433" s="10">
        <v>166.44</v>
      </c>
      <c r="K433" t="s">
        <v>46</v>
      </c>
      <c r="L433" s="3">
        <v>0.1</v>
      </c>
      <c r="M433" t="s">
        <v>39</v>
      </c>
      <c r="N433" s="10">
        <v>55.8</v>
      </c>
      <c r="O433" t="s">
        <v>47</v>
      </c>
      <c r="P433" s="5">
        <v>45892</v>
      </c>
      <c r="Q433" s="5">
        <v>45899</v>
      </c>
      <c r="R433" s="5">
        <v>45898</v>
      </c>
      <c r="S433" t="s">
        <v>33</v>
      </c>
      <c r="T433" s="6">
        <v>5</v>
      </c>
      <c r="U433" t="s">
        <v>127</v>
      </c>
      <c r="V433" s="10">
        <v>449.38799999999998</v>
      </c>
      <c r="W433" s="10">
        <v>123.6</v>
      </c>
      <c r="X433" s="10">
        <v>269.98799999999989</v>
      </c>
      <c r="Y433" s="11">
        <v>0.60079040828860575</v>
      </c>
      <c r="Z433" s="6">
        <v>-1</v>
      </c>
      <c r="AA433" t="s">
        <v>35</v>
      </c>
    </row>
    <row r="434" spans="1:27" x14ac:dyDescent="0.25">
      <c r="A434" t="s">
        <v>575</v>
      </c>
      <c r="B434">
        <v>128</v>
      </c>
      <c r="C434" s="9">
        <v>45891.14371527778</v>
      </c>
      <c r="D434" t="s">
        <v>50</v>
      </c>
      <c r="E434" t="s">
        <v>51</v>
      </c>
      <c r="F434" t="s">
        <v>52</v>
      </c>
      <c r="G434">
        <v>685</v>
      </c>
      <c r="H434" s="6">
        <v>2</v>
      </c>
      <c r="I434" s="10">
        <v>81.91</v>
      </c>
      <c r="J434" s="10">
        <v>203.64</v>
      </c>
      <c r="L434" s="3">
        <v>0</v>
      </c>
      <c r="M434" t="s">
        <v>76</v>
      </c>
      <c r="N434" s="10">
        <v>33.54</v>
      </c>
      <c r="O434" t="s">
        <v>97</v>
      </c>
      <c r="P434" s="5">
        <v>45893</v>
      </c>
      <c r="Q434" s="5">
        <v>45903</v>
      </c>
      <c r="R434" s="5">
        <v>45903</v>
      </c>
      <c r="S434" t="s">
        <v>33</v>
      </c>
      <c r="T434" s="6">
        <v>5</v>
      </c>
      <c r="U434" t="s">
        <v>127</v>
      </c>
      <c r="V434" s="10">
        <v>407.28</v>
      </c>
      <c r="W434" s="10">
        <v>163.82</v>
      </c>
      <c r="X434" s="10">
        <v>209.92</v>
      </c>
      <c r="Y434" s="11">
        <v>0.51541936751129447</v>
      </c>
      <c r="Z434" s="6">
        <v>0</v>
      </c>
      <c r="AA434" t="s">
        <v>35</v>
      </c>
    </row>
    <row r="435" spans="1:27" x14ac:dyDescent="0.25">
      <c r="A435" t="s">
        <v>576</v>
      </c>
      <c r="B435">
        <v>134</v>
      </c>
      <c r="C435" s="9">
        <v>45891.627337962957</v>
      </c>
      <c r="D435" t="s">
        <v>155</v>
      </c>
      <c r="E435" t="s">
        <v>156</v>
      </c>
      <c r="F435" t="s">
        <v>30</v>
      </c>
      <c r="G435">
        <v>3503</v>
      </c>
      <c r="H435" s="6">
        <v>1</v>
      </c>
      <c r="I435" s="10">
        <v>937.74</v>
      </c>
      <c r="J435" s="10">
        <v>1234.29</v>
      </c>
      <c r="L435" s="3">
        <v>0</v>
      </c>
      <c r="M435" t="s">
        <v>31</v>
      </c>
      <c r="N435" s="10">
        <v>105.51</v>
      </c>
      <c r="O435" t="s">
        <v>97</v>
      </c>
      <c r="P435" s="5">
        <v>45893</v>
      </c>
      <c r="Q435" s="5">
        <v>45902</v>
      </c>
      <c r="S435" t="s">
        <v>54</v>
      </c>
      <c r="T435" s="6">
        <v>2</v>
      </c>
      <c r="U435" t="s">
        <v>108</v>
      </c>
      <c r="V435" s="10">
        <v>1234.29</v>
      </c>
      <c r="W435" s="10">
        <v>937.74</v>
      </c>
      <c r="X435" s="10">
        <v>191.04</v>
      </c>
      <c r="Y435" s="11">
        <v>0.15477724035680429</v>
      </c>
      <c r="Z435" s="6"/>
      <c r="AA435" t="s">
        <v>56</v>
      </c>
    </row>
    <row r="436" spans="1:27" x14ac:dyDescent="0.25">
      <c r="A436" t="s">
        <v>577</v>
      </c>
      <c r="B436">
        <v>143</v>
      </c>
      <c r="C436" s="9">
        <v>45891.979050925933</v>
      </c>
      <c r="D436" t="s">
        <v>86</v>
      </c>
      <c r="E436" t="s">
        <v>87</v>
      </c>
      <c r="F436" t="s">
        <v>45</v>
      </c>
      <c r="G436">
        <v>0</v>
      </c>
      <c r="H436" s="6">
        <v>3</v>
      </c>
      <c r="I436" s="10">
        <v>69.78</v>
      </c>
      <c r="J436" s="10">
        <v>143.19999999999999</v>
      </c>
      <c r="L436" s="3">
        <v>0</v>
      </c>
      <c r="M436" t="s">
        <v>61</v>
      </c>
      <c r="N436" s="10">
        <v>15.54</v>
      </c>
      <c r="O436" t="s">
        <v>264</v>
      </c>
      <c r="P436" s="5">
        <v>45893</v>
      </c>
      <c r="Q436" s="5">
        <v>45901</v>
      </c>
      <c r="R436" s="5">
        <v>45899</v>
      </c>
      <c r="S436" t="s">
        <v>33</v>
      </c>
      <c r="T436" s="6">
        <v>4</v>
      </c>
      <c r="U436" t="s">
        <v>117</v>
      </c>
      <c r="V436" s="10">
        <v>429.6</v>
      </c>
      <c r="W436" s="10">
        <v>209.34</v>
      </c>
      <c r="X436" s="10">
        <v>204.72</v>
      </c>
      <c r="Y436" s="11">
        <v>0.47653631284916198</v>
      </c>
      <c r="Z436" s="6">
        <v>-2</v>
      </c>
      <c r="AA436" t="s">
        <v>35</v>
      </c>
    </row>
    <row r="437" spans="1:27" x14ac:dyDescent="0.25">
      <c r="A437" t="s">
        <v>578</v>
      </c>
      <c r="B437">
        <v>83</v>
      </c>
      <c r="C437" s="9">
        <v>45892.107268518521</v>
      </c>
      <c r="D437" t="s">
        <v>37</v>
      </c>
      <c r="E437" t="s">
        <v>38</v>
      </c>
      <c r="F437" t="s">
        <v>30</v>
      </c>
      <c r="G437">
        <v>2051</v>
      </c>
      <c r="H437" s="6">
        <v>1</v>
      </c>
      <c r="I437" s="10">
        <v>670.69</v>
      </c>
      <c r="J437" s="10">
        <v>906.66</v>
      </c>
      <c r="L437" s="3">
        <v>0</v>
      </c>
      <c r="M437" t="s">
        <v>76</v>
      </c>
      <c r="N437" s="10">
        <v>142.77000000000001</v>
      </c>
      <c r="O437" t="s">
        <v>68</v>
      </c>
      <c r="P437" s="5">
        <v>45893</v>
      </c>
      <c r="Q437" s="5">
        <v>45902</v>
      </c>
      <c r="S437" t="s">
        <v>161</v>
      </c>
      <c r="T437" s="6">
        <v>2</v>
      </c>
      <c r="U437" t="s">
        <v>461</v>
      </c>
      <c r="V437" s="10">
        <v>906.66</v>
      </c>
      <c r="W437" s="10">
        <v>670.69</v>
      </c>
      <c r="X437" s="10">
        <v>93.199999999999903</v>
      </c>
      <c r="Y437" s="11">
        <v>0.1027948734917167</v>
      </c>
      <c r="Z437" s="6"/>
      <c r="AA437" t="s">
        <v>56</v>
      </c>
    </row>
    <row r="438" spans="1:27" x14ac:dyDescent="0.25">
      <c r="A438" t="s">
        <v>579</v>
      </c>
      <c r="B438">
        <v>118</v>
      </c>
      <c r="C438" s="9">
        <v>45892.397256944438</v>
      </c>
      <c r="D438" t="s">
        <v>58</v>
      </c>
      <c r="E438" t="s">
        <v>59</v>
      </c>
      <c r="F438" t="s">
        <v>30</v>
      </c>
      <c r="G438">
        <v>4567</v>
      </c>
      <c r="H438" s="6">
        <v>3</v>
      </c>
      <c r="I438" s="10">
        <v>434.27</v>
      </c>
      <c r="J438" s="10">
        <v>556.86</v>
      </c>
      <c r="L438" s="3">
        <v>0</v>
      </c>
      <c r="M438" t="s">
        <v>76</v>
      </c>
      <c r="N438" s="10">
        <v>93.56</v>
      </c>
      <c r="O438" t="s">
        <v>157</v>
      </c>
      <c r="P438" s="5">
        <v>45894</v>
      </c>
      <c r="Q438" s="5">
        <v>45903</v>
      </c>
      <c r="R438" s="5">
        <v>45902</v>
      </c>
      <c r="S438" t="s">
        <v>33</v>
      </c>
      <c r="T438" s="6">
        <v>4</v>
      </c>
      <c r="U438" t="s">
        <v>41</v>
      </c>
      <c r="V438" s="10">
        <v>1670.58</v>
      </c>
      <c r="W438" s="10">
        <v>1302.81</v>
      </c>
      <c r="X438" s="10">
        <v>274.20999999999998</v>
      </c>
      <c r="Y438" s="11">
        <v>0.16414059787618671</v>
      </c>
      <c r="Z438" s="6">
        <v>-1</v>
      </c>
      <c r="AA438" t="s">
        <v>35</v>
      </c>
    </row>
    <row r="439" spans="1:27" x14ac:dyDescent="0.25">
      <c r="A439" t="s">
        <v>580</v>
      </c>
      <c r="B439">
        <v>54</v>
      </c>
      <c r="C439" s="9">
        <v>45892.424861111111</v>
      </c>
      <c r="D439" t="s">
        <v>58</v>
      </c>
      <c r="E439" t="s">
        <v>59</v>
      </c>
      <c r="F439" t="s">
        <v>30</v>
      </c>
      <c r="G439">
        <v>4828</v>
      </c>
      <c r="H439" s="6">
        <v>2</v>
      </c>
      <c r="I439" s="10">
        <v>203.09</v>
      </c>
      <c r="J439" s="10">
        <v>368.02</v>
      </c>
      <c r="K439" t="s">
        <v>60</v>
      </c>
      <c r="L439" s="3">
        <v>0.2</v>
      </c>
      <c r="M439" t="s">
        <v>61</v>
      </c>
      <c r="N439" s="10">
        <v>57.98</v>
      </c>
      <c r="O439" t="s">
        <v>99</v>
      </c>
      <c r="P439" s="5">
        <v>45894</v>
      </c>
      <c r="Q439" s="5">
        <v>45904</v>
      </c>
      <c r="R439" s="5">
        <v>45902</v>
      </c>
      <c r="S439" t="s">
        <v>33</v>
      </c>
      <c r="T439" s="6">
        <v>4</v>
      </c>
      <c r="U439" t="s">
        <v>134</v>
      </c>
      <c r="V439" s="10">
        <v>588.83199999999999</v>
      </c>
      <c r="W439" s="10">
        <v>406.18</v>
      </c>
      <c r="X439" s="10">
        <v>124.672</v>
      </c>
      <c r="Y439" s="11">
        <v>0.2117276234987229</v>
      </c>
      <c r="Z439" s="6">
        <v>-2</v>
      </c>
      <c r="AA439" t="s">
        <v>35</v>
      </c>
    </row>
    <row r="440" spans="1:27" x14ac:dyDescent="0.25">
      <c r="A440" t="s">
        <v>581</v>
      </c>
      <c r="B440">
        <v>40</v>
      </c>
      <c r="C440" s="9">
        <v>45892.603472222218</v>
      </c>
      <c r="D440" t="s">
        <v>74</v>
      </c>
      <c r="E440" t="s">
        <v>75</v>
      </c>
      <c r="F440" t="s">
        <v>30</v>
      </c>
      <c r="G440">
        <v>2870</v>
      </c>
      <c r="H440" s="6">
        <v>2</v>
      </c>
      <c r="I440" s="10">
        <v>2590.9899999999998</v>
      </c>
      <c r="J440" s="10">
        <v>4111.34</v>
      </c>
      <c r="L440" s="3">
        <v>0</v>
      </c>
      <c r="M440" t="s">
        <v>61</v>
      </c>
      <c r="N440" s="10">
        <v>83.16</v>
      </c>
      <c r="O440" t="s">
        <v>62</v>
      </c>
      <c r="P440" s="5">
        <v>45893</v>
      </c>
      <c r="Q440" s="5">
        <v>45902</v>
      </c>
      <c r="R440" s="5">
        <v>45895</v>
      </c>
      <c r="S440" t="s">
        <v>33</v>
      </c>
      <c r="T440" s="6">
        <v>5</v>
      </c>
      <c r="U440" t="s">
        <v>134</v>
      </c>
      <c r="V440" s="10">
        <v>8222.68</v>
      </c>
      <c r="W440" s="10">
        <v>5181.9799999999996</v>
      </c>
      <c r="X440" s="10">
        <v>2957.5400000000009</v>
      </c>
      <c r="Y440" s="11">
        <v>0.35968078534005948</v>
      </c>
      <c r="Z440" s="6">
        <v>-7</v>
      </c>
      <c r="AA440" t="s">
        <v>35</v>
      </c>
    </row>
    <row r="441" spans="1:27" x14ac:dyDescent="0.25">
      <c r="A441" t="s">
        <v>582</v>
      </c>
      <c r="B441">
        <v>30</v>
      </c>
      <c r="C441" s="9">
        <v>45892.687604166669</v>
      </c>
      <c r="D441" t="s">
        <v>148</v>
      </c>
      <c r="E441" t="s">
        <v>149</v>
      </c>
      <c r="F441" t="s">
        <v>30</v>
      </c>
      <c r="G441">
        <v>3116</v>
      </c>
      <c r="H441" s="6">
        <v>3</v>
      </c>
      <c r="I441" s="10">
        <v>524.41</v>
      </c>
      <c r="J441" s="10">
        <v>951.11</v>
      </c>
      <c r="L441" s="3">
        <v>0</v>
      </c>
      <c r="M441" t="s">
        <v>31</v>
      </c>
      <c r="N441" s="10">
        <v>128.34</v>
      </c>
      <c r="O441" t="s">
        <v>53</v>
      </c>
      <c r="P441" s="5">
        <v>45893</v>
      </c>
      <c r="Q441" s="5">
        <v>45901</v>
      </c>
      <c r="R441" s="5">
        <v>45897</v>
      </c>
      <c r="S441" t="s">
        <v>33</v>
      </c>
      <c r="T441" s="6">
        <v>4</v>
      </c>
      <c r="U441" t="s">
        <v>134</v>
      </c>
      <c r="V441" s="10">
        <v>2853.33</v>
      </c>
      <c r="W441" s="10">
        <v>1573.23</v>
      </c>
      <c r="X441" s="10">
        <v>1151.76</v>
      </c>
      <c r="Y441" s="11">
        <v>0.40365467716667902</v>
      </c>
      <c r="Z441" s="6">
        <v>-4</v>
      </c>
      <c r="AA441" t="s">
        <v>35</v>
      </c>
    </row>
    <row r="442" spans="1:27" x14ac:dyDescent="0.25">
      <c r="A442" t="s">
        <v>583</v>
      </c>
      <c r="B442">
        <v>183</v>
      </c>
      <c r="C442" s="9">
        <v>45892.701481481483</v>
      </c>
      <c r="D442" t="s">
        <v>50</v>
      </c>
      <c r="E442" t="s">
        <v>51</v>
      </c>
      <c r="F442" t="s">
        <v>52</v>
      </c>
      <c r="G442">
        <v>633</v>
      </c>
      <c r="H442" s="6">
        <v>2</v>
      </c>
      <c r="I442" s="10">
        <v>155.22</v>
      </c>
      <c r="J442" s="10">
        <v>220.83</v>
      </c>
      <c r="L442" s="3">
        <v>0</v>
      </c>
      <c r="M442" t="s">
        <v>31</v>
      </c>
      <c r="N442" s="10">
        <v>59.79</v>
      </c>
      <c r="O442" t="s">
        <v>47</v>
      </c>
      <c r="P442" s="5">
        <v>45893</v>
      </c>
      <c r="Q442" s="5">
        <v>45902</v>
      </c>
      <c r="R442" s="5">
        <v>45900</v>
      </c>
      <c r="S442" t="s">
        <v>33</v>
      </c>
      <c r="T442" s="6">
        <v>4</v>
      </c>
      <c r="U442" t="s">
        <v>112</v>
      </c>
      <c r="V442" s="10">
        <v>441.66</v>
      </c>
      <c r="W442" s="10">
        <v>310.44</v>
      </c>
      <c r="X442" s="10">
        <v>71.430000000000035</v>
      </c>
      <c r="Y442" s="11">
        <v>0.16173074310555641</v>
      </c>
      <c r="Z442" s="6">
        <v>-2</v>
      </c>
      <c r="AA442" t="s">
        <v>35</v>
      </c>
    </row>
    <row r="443" spans="1:27" x14ac:dyDescent="0.25">
      <c r="A443" t="s">
        <v>584</v>
      </c>
      <c r="B443">
        <v>195</v>
      </c>
      <c r="C443" s="9">
        <v>45893.046006944453</v>
      </c>
      <c r="D443" t="s">
        <v>74</v>
      </c>
      <c r="E443" t="s">
        <v>75</v>
      </c>
      <c r="F443" t="s">
        <v>30</v>
      </c>
      <c r="G443">
        <v>2451</v>
      </c>
      <c r="H443" s="6">
        <v>2</v>
      </c>
      <c r="I443" s="10">
        <v>2014.02</v>
      </c>
      <c r="J443" s="10">
        <v>4142.21</v>
      </c>
      <c r="K443" t="s">
        <v>60</v>
      </c>
      <c r="L443" s="3">
        <v>0.2</v>
      </c>
      <c r="M443" t="s">
        <v>31</v>
      </c>
      <c r="N443" s="10">
        <v>85.54</v>
      </c>
      <c r="O443" t="s">
        <v>47</v>
      </c>
      <c r="P443" s="5">
        <v>45894</v>
      </c>
      <c r="Q443" s="5">
        <v>45901</v>
      </c>
      <c r="R443" s="5">
        <v>45906</v>
      </c>
      <c r="S443" t="s">
        <v>33</v>
      </c>
      <c r="T443" s="6">
        <v>1</v>
      </c>
      <c r="U443" t="s">
        <v>185</v>
      </c>
      <c r="V443" s="10">
        <v>6627.5360000000001</v>
      </c>
      <c r="W443" s="10">
        <v>4028.04</v>
      </c>
      <c r="X443" s="10">
        <v>2513.9560000000001</v>
      </c>
      <c r="Y443" s="11">
        <v>0.37931985582575489</v>
      </c>
      <c r="Z443" s="6">
        <v>5</v>
      </c>
      <c r="AA443" t="s">
        <v>103</v>
      </c>
    </row>
    <row r="444" spans="1:27" x14ac:dyDescent="0.25">
      <c r="A444" t="s">
        <v>585</v>
      </c>
      <c r="B444">
        <v>126</v>
      </c>
      <c r="C444" s="9">
        <v>45893.563067129631</v>
      </c>
      <c r="D444" t="s">
        <v>43</v>
      </c>
      <c r="E444" t="s">
        <v>44</v>
      </c>
      <c r="F444" t="s">
        <v>45</v>
      </c>
      <c r="G444">
        <v>0</v>
      </c>
      <c r="H444" s="6">
        <v>2</v>
      </c>
      <c r="I444" s="10">
        <v>76.5</v>
      </c>
      <c r="J444" s="10">
        <v>145.29</v>
      </c>
      <c r="L444" s="3">
        <v>0</v>
      </c>
      <c r="M444" t="s">
        <v>61</v>
      </c>
      <c r="N444" s="10">
        <v>19.27</v>
      </c>
      <c r="O444" t="s">
        <v>40</v>
      </c>
      <c r="P444" s="5">
        <v>45895</v>
      </c>
      <c r="Q444" s="5">
        <v>45901</v>
      </c>
      <c r="R444" s="5">
        <v>45898</v>
      </c>
      <c r="S444" t="s">
        <v>33</v>
      </c>
      <c r="T444" s="6">
        <v>5</v>
      </c>
      <c r="U444" t="s">
        <v>69</v>
      </c>
      <c r="V444" s="10">
        <v>290.58</v>
      </c>
      <c r="W444" s="10">
        <v>153</v>
      </c>
      <c r="X444" s="10">
        <v>118.31</v>
      </c>
      <c r="Y444" s="11">
        <v>0.40715121481175581</v>
      </c>
      <c r="Z444" s="6">
        <v>-3</v>
      </c>
      <c r="AA444" t="s">
        <v>35</v>
      </c>
    </row>
    <row r="445" spans="1:27" x14ac:dyDescent="0.25">
      <c r="A445" t="s">
        <v>586</v>
      </c>
      <c r="B445">
        <v>145</v>
      </c>
      <c r="C445" s="9">
        <v>45893.707604166673</v>
      </c>
      <c r="D445" t="s">
        <v>58</v>
      </c>
      <c r="E445" t="s">
        <v>59</v>
      </c>
      <c r="F445" t="s">
        <v>30</v>
      </c>
      <c r="G445">
        <v>4122</v>
      </c>
      <c r="H445" s="6">
        <v>3</v>
      </c>
      <c r="I445" s="10">
        <v>292.95999999999998</v>
      </c>
      <c r="J445" s="10">
        <v>735.71</v>
      </c>
      <c r="L445" s="3">
        <v>0</v>
      </c>
      <c r="M445" t="s">
        <v>31</v>
      </c>
      <c r="N445" s="10">
        <v>138.77000000000001</v>
      </c>
      <c r="O445" t="s">
        <v>68</v>
      </c>
      <c r="P445" s="5">
        <v>45895</v>
      </c>
      <c r="Q445" s="5">
        <v>45901</v>
      </c>
      <c r="R445" s="5">
        <v>45899</v>
      </c>
      <c r="S445" t="s">
        <v>33</v>
      </c>
      <c r="T445" s="6">
        <v>5</v>
      </c>
      <c r="U445" t="s">
        <v>48</v>
      </c>
      <c r="V445" s="10">
        <v>2207.13</v>
      </c>
      <c r="W445" s="10">
        <v>878.87999999999988</v>
      </c>
      <c r="X445" s="10">
        <v>1189.48</v>
      </c>
      <c r="Y445" s="11">
        <v>0.53892611672171564</v>
      </c>
      <c r="Z445" s="6">
        <v>-2</v>
      </c>
      <c r="AA445" t="s">
        <v>35</v>
      </c>
    </row>
    <row r="446" spans="1:27" x14ac:dyDescent="0.25">
      <c r="A446" t="s">
        <v>587</v>
      </c>
      <c r="B446">
        <v>167</v>
      </c>
      <c r="C446" s="9">
        <v>45893.722673611112</v>
      </c>
      <c r="D446" t="s">
        <v>164</v>
      </c>
      <c r="E446" t="s">
        <v>165</v>
      </c>
      <c r="F446" t="s">
        <v>116</v>
      </c>
      <c r="G446">
        <v>0</v>
      </c>
      <c r="H446" s="6">
        <v>2</v>
      </c>
      <c r="I446" s="10">
        <v>206.2</v>
      </c>
      <c r="J446" s="10">
        <v>598.29999999999995</v>
      </c>
      <c r="K446" t="s">
        <v>46</v>
      </c>
      <c r="L446" s="3">
        <v>0.1</v>
      </c>
      <c r="M446" t="s">
        <v>61</v>
      </c>
      <c r="N446" s="10">
        <v>19.86</v>
      </c>
      <c r="O446" t="s">
        <v>47</v>
      </c>
      <c r="P446" s="5">
        <v>45894</v>
      </c>
      <c r="Q446" s="5">
        <v>45899</v>
      </c>
      <c r="S446" t="s">
        <v>63</v>
      </c>
      <c r="T446" s="6">
        <v>3</v>
      </c>
      <c r="U446" t="s">
        <v>146</v>
      </c>
      <c r="V446" s="10">
        <v>1076.94</v>
      </c>
      <c r="W446" s="10">
        <v>412.4</v>
      </c>
      <c r="X446" s="10">
        <v>644.68000000000006</v>
      </c>
      <c r="Y446" s="11">
        <v>0.59862202165394551</v>
      </c>
      <c r="Z446" s="6"/>
      <c r="AA446" t="s">
        <v>56</v>
      </c>
    </row>
    <row r="447" spans="1:27" x14ac:dyDescent="0.25">
      <c r="A447" t="s">
        <v>588</v>
      </c>
      <c r="B447">
        <v>118</v>
      </c>
      <c r="C447" s="9">
        <v>45893.874247685177</v>
      </c>
      <c r="D447" t="s">
        <v>66</v>
      </c>
      <c r="E447" t="s">
        <v>67</v>
      </c>
      <c r="F447" t="s">
        <v>52</v>
      </c>
      <c r="G447">
        <v>226</v>
      </c>
      <c r="H447" s="6">
        <v>3</v>
      </c>
      <c r="I447" s="10">
        <v>30.26</v>
      </c>
      <c r="J447" s="10">
        <v>65.209999999999994</v>
      </c>
      <c r="K447" t="s">
        <v>46</v>
      </c>
      <c r="L447" s="3">
        <v>0.1</v>
      </c>
      <c r="M447" t="s">
        <v>61</v>
      </c>
      <c r="N447" s="10">
        <v>50.65</v>
      </c>
      <c r="O447" t="s">
        <v>32</v>
      </c>
      <c r="P447" s="5">
        <v>45895</v>
      </c>
      <c r="Q447" s="5">
        <v>45905</v>
      </c>
      <c r="R447" s="5">
        <v>45908</v>
      </c>
      <c r="S447" t="s">
        <v>33</v>
      </c>
      <c r="T447" s="6">
        <v>3</v>
      </c>
      <c r="U447" t="s">
        <v>238</v>
      </c>
      <c r="V447" s="10">
        <v>176.06700000000001</v>
      </c>
      <c r="W447" s="10">
        <v>90.78</v>
      </c>
      <c r="X447" s="10">
        <v>34.637000000000008</v>
      </c>
      <c r="Y447" s="11">
        <v>0.19672624625852661</v>
      </c>
      <c r="Z447" s="6">
        <v>3</v>
      </c>
      <c r="AA447" t="s">
        <v>103</v>
      </c>
    </row>
    <row r="448" spans="1:27" x14ac:dyDescent="0.25">
      <c r="A448" t="s">
        <v>589</v>
      </c>
      <c r="B448">
        <v>50</v>
      </c>
      <c r="C448" s="9">
        <v>45894.671840277777</v>
      </c>
      <c r="D448" t="s">
        <v>43</v>
      </c>
      <c r="E448" t="s">
        <v>44</v>
      </c>
      <c r="F448" t="s">
        <v>45</v>
      </c>
      <c r="G448">
        <v>0</v>
      </c>
      <c r="H448" s="6">
        <v>1</v>
      </c>
      <c r="I448" s="10">
        <v>25.45</v>
      </c>
      <c r="J448" s="10">
        <v>103.94</v>
      </c>
      <c r="L448" s="3">
        <v>0</v>
      </c>
      <c r="M448" t="s">
        <v>61</v>
      </c>
      <c r="N448" s="10">
        <v>28.02</v>
      </c>
      <c r="O448" t="s">
        <v>53</v>
      </c>
      <c r="P448" s="5">
        <v>45896</v>
      </c>
      <c r="Q448" s="5">
        <v>45901</v>
      </c>
      <c r="R448" s="5">
        <v>45898</v>
      </c>
      <c r="S448" t="s">
        <v>33</v>
      </c>
      <c r="T448" s="6">
        <v>4</v>
      </c>
      <c r="U448" t="s">
        <v>77</v>
      </c>
      <c r="V448" s="10">
        <v>103.94</v>
      </c>
      <c r="W448" s="10">
        <v>25.45</v>
      </c>
      <c r="X448" s="10">
        <v>50.47</v>
      </c>
      <c r="Y448" s="11">
        <v>0.48556859726765439</v>
      </c>
      <c r="Z448" s="6">
        <v>-3</v>
      </c>
      <c r="AA448" t="s">
        <v>35</v>
      </c>
    </row>
    <row r="449" spans="1:27" x14ac:dyDescent="0.25">
      <c r="A449" t="s">
        <v>590</v>
      </c>
      <c r="B449">
        <v>113</v>
      </c>
      <c r="C449" s="9">
        <v>45894.698287037027</v>
      </c>
      <c r="D449" t="s">
        <v>89</v>
      </c>
      <c r="E449" t="s">
        <v>90</v>
      </c>
      <c r="F449" t="s">
        <v>52</v>
      </c>
      <c r="G449">
        <v>253</v>
      </c>
      <c r="H449" s="6">
        <v>2</v>
      </c>
      <c r="I449" s="10">
        <v>90.27</v>
      </c>
      <c r="J449" s="10">
        <v>106.56</v>
      </c>
      <c r="K449" t="s">
        <v>60</v>
      </c>
      <c r="L449" s="3">
        <v>0.2</v>
      </c>
      <c r="M449" t="s">
        <v>61</v>
      </c>
      <c r="N449" s="10">
        <v>57.19</v>
      </c>
      <c r="O449" t="s">
        <v>157</v>
      </c>
      <c r="P449" s="5">
        <v>45895</v>
      </c>
      <c r="Q449" s="5">
        <v>45901</v>
      </c>
      <c r="R449" s="5">
        <v>45897</v>
      </c>
      <c r="S449" t="s">
        <v>33</v>
      </c>
      <c r="T449" s="6">
        <v>4</v>
      </c>
      <c r="U449" t="s">
        <v>117</v>
      </c>
      <c r="V449" s="10">
        <v>170.49600000000001</v>
      </c>
      <c r="W449" s="10">
        <v>180.54</v>
      </c>
      <c r="X449" s="10">
        <v>-67.23399999999998</v>
      </c>
      <c r="Y449" s="11">
        <v>-0.39434356231231221</v>
      </c>
      <c r="Z449" s="6">
        <v>-4</v>
      </c>
      <c r="AA449" t="s">
        <v>35</v>
      </c>
    </row>
    <row r="450" spans="1:27" x14ac:dyDescent="0.25">
      <c r="A450" t="s">
        <v>591</v>
      </c>
      <c r="B450">
        <v>129</v>
      </c>
      <c r="C450" s="9">
        <v>45895.167094907411</v>
      </c>
      <c r="D450" t="s">
        <v>105</v>
      </c>
      <c r="E450" t="s">
        <v>106</v>
      </c>
      <c r="F450" t="s">
        <v>30</v>
      </c>
      <c r="G450">
        <v>2095</v>
      </c>
      <c r="H450" s="6">
        <v>1</v>
      </c>
      <c r="I450" s="10">
        <v>361.16</v>
      </c>
      <c r="J450" s="10">
        <v>645.53</v>
      </c>
      <c r="L450" s="3">
        <v>0</v>
      </c>
      <c r="M450" t="s">
        <v>61</v>
      </c>
      <c r="N450" s="10">
        <v>66.67</v>
      </c>
      <c r="O450" t="s">
        <v>40</v>
      </c>
      <c r="P450" s="5">
        <v>45897</v>
      </c>
      <c r="Q450" s="5">
        <v>45907</v>
      </c>
      <c r="R450" s="5">
        <v>45908</v>
      </c>
      <c r="S450" t="s">
        <v>33</v>
      </c>
      <c r="T450" s="6">
        <v>2</v>
      </c>
      <c r="U450" t="s">
        <v>129</v>
      </c>
      <c r="V450" s="10">
        <v>645.53</v>
      </c>
      <c r="W450" s="10">
        <v>361.16</v>
      </c>
      <c r="X450" s="10">
        <v>217.6999999999999</v>
      </c>
      <c r="Y450" s="11">
        <v>0.33724226604495522</v>
      </c>
      <c r="Z450" s="6">
        <v>1</v>
      </c>
      <c r="AA450" t="s">
        <v>103</v>
      </c>
    </row>
    <row r="451" spans="1:27" x14ac:dyDescent="0.25">
      <c r="A451" t="s">
        <v>592</v>
      </c>
      <c r="B451">
        <v>20</v>
      </c>
      <c r="C451" s="9">
        <v>45895.365381944437</v>
      </c>
      <c r="D451" t="s">
        <v>89</v>
      </c>
      <c r="E451" t="s">
        <v>90</v>
      </c>
      <c r="F451" t="s">
        <v>52</v>
      </c>
      <c r="G451">
        <v>316</v>
      </c>
      <c r="H451" s="6">
        <v>2</v>
      </c>
      <c r="I451" s="10">
        <v>60.55</v>
      </c>
      <c r="J451" s="10">
        <v>163.97</v>
      </c>
      <c r="K451" t="s">
        <v>60</v>
      </c>
      <c r="L451" s="3">
        <v>0.2</v>
      </c>
      <c r="M451" t="s">
        <v>39</v>
      </c>
      <c r="N451" s="10">
        <v>51.63</v>
      </c>
      <c r="O451" t="s">
        <v>68</v>
      </c>
      <c r="P451" s="5">
        <v>45897</v>
      </c>
      <c r="Q451" s="5">
        <v>45904</v>
      </c>
      <c r="R451" s="5">
        <v>45900</v>
      </c>
      <c r="S451" t="s">
        <v>33</v>
      </c>
      <c r="T451" s="6">
        <v>5</v>
      </c>
      <c r="U451" t="s">
        <v>166</v>
      </c>
      <c r="V451" s="10">
        <v>262.35199999999998</v>
      </c>
      <c r="W451" s="10">
        <v>121.1</v>
      </c>
      <c r="X451" s="10">
        <v>89.622000000000043</v>
      </c>
      <c r="Y451" s="11">
        <v>0.34160974568518637</v>
      </c>
      <c r="Z451" s="6">
        <v>-4</v>
      </c>
      <c r="AA451" t="s">
        <v>35</v>
      </c>
    </row>
    <row r="452" spans="1:27" x14ac:dyDescent="0.25">
      <c r="A452" t="s">
        <v>593</v>
      </c>
      <c r="B452">
        <v>97</v>
      </c>
      <c r="C452" s="9">
        <v>45895.578136574077</v>
      </c>
      <c r="D452" t="s">
        <v>123</v>
      </c>
      <c r="E452" t="s">
        <v>124</v>
      </c>
      <c r="F452" t="s">
        <v>45</v>
      </c>
      <c r="G452">
        <v>0</v>
      </c>
      <c r="H452" s="6">
        <v>3</v>
      </c>
      <c r="I452" s="10">
        <v>191.72</v>
      </c>
      <c r="J452" s="10">
        <v>432</v>
      </c>
      <c r="L452" s="3">
        <v>0</v>
      </c>
      <c r="M452" t="s">
        <v>76</v>
      </c>
      <c r="N452" s="10">
        <v>17.559999999999999</v>
      </c>
      <c r="O452" t="s">
        <v>47</v>
      </c>
      <c r="P452" s="5">
        <v>45897</v>
      </c>
      <c r="Q452" s="5">
        <v>45905</v>
      </c>
      <c r="R452" s="5">
        <v>45910</v>
      </c>
      <c r="S452" t="s">
        <v>33</v>
      </c>
      <c r="T452" s="6">
        <v>3</v>
      </c>
      <c r="U452" t="s">
        <v>243</v>
      </c>
      <c r="V452" s="10">
        <v>1296</v>
      </c>
      <c r="W452" s="10">
        <v>575.16</v>
      </c>
      <c r="X452" s="10">
        <v>703.28000000000009</v>
      </c>
      <c r="Y452" s="11">
        <v>0.54265432098765443</v>
      </c>
      <c r="Z452" s="6">
        <v>5</v>
      </c>
      <c r="AA452" t="s">
        <v>103</v>
      </c>
    </row>
    <row r="453" spans="1:27" x14ac:dyDescent="0.25">
      <c r="A453" t="s">
        <v>594</v>
      </c>
      <c r="B453">
        <v>69</v>
      </c>
      <c r="C453" s="9">
        <v>45895.727731481478</v>
      </c>
      <c r="D453" t="s">
        <v>66</v>
      </c>
      <c r="E453" t="s">
        <v>67</v>
      </c>
      <c r="F453" t="s">
        <v>52</v>
      </c>
      <c r="G453">
        <v>203</v>
      </c>
      <c r="H453" s="6">
        <v>3</v>
      </c>
      <c r="I453" s="10">
        <v>39.880000000000003</v>
      </c>
      <c r="J453" s="10">
        <v>137.22</v>
      </c>
      <c r="L453" s="3">
        <v>0</v>
      </c>
      <c r="M453" t="s">
        <v>39</v>
      </c>
      <c r="N453" s="10">
        <v>45.98</v>
      </c>
      <c r="O453" t="s">
        <v>99</v>
      </c>
      <c r="P453" s="5">
        <v>45897</v>
      </c>
      <c r="Q453" s="5">
        <v>45907</v>
      </c>
      <c r="R453" s="5">
        <v>45905</v>
      </c>
      <c r="S453" t="s">
        <v>33</v>
      </c>
      <c r="T453" s="6">
        <v>5</v>
      </c>
      <c r="U453" t="s">
        <v>41</v>
      </c>
      <c r="V453" s="10">
        <v>411.66</v>
      </c>
      <c r="W453" s="10">
        <v>119.64</v>
      </c>
      <c r="X453" s="10">
        <v>246.04</v>
      </c>
      <c r="Y453" s="11">
        <v>0.59767769518534719</v>
      </c>
      <c r="Z453" s="6">
        <v>-2</v>
      </c>
      <c r="AA453" t="s">
        <v>35</v>
      </c>
    </row>
    <row r="454" spans="1:27" x14ac:dyDescent="0.25">
      <c r="A454" t="s">
        <v>595</v>
      </c>
      <c r="B454">
        <v>101</v>
      </c>
      <c r="C454" s="9">
        <v>45896.868645833332</v>
      </c>
      <c r="D454" t="s">
        <v>58</v>
      </c>
      <c r="E454" t="s">
        <v>59</v>
      </c>
      <c r="F454" t="s">
        <v>30</v>
      </c>
      <c r="G454">
        <v>4832</v>
      </c>
      <c r="H454" s="6">
        <v>2</v>
      </c>
      <c r="I454" s="10">
        <v>387.14</v>
      </c>
      <c r="J454" s="10">
        <v>591.39</v>
      </c>
      <c r="L454" s="3">
        <v>0</v>
      </c>
      <c r="M454" t="s">
        <v>31</v>
      </c>
      <c r="N454" s="10">
        <v>109.4</v>
      </c>
      <c r="O454" t="s">
        <v>40</v>
      </c>
      <c r="P454" s="5">
        <v>45897</v>
      </c>
      <c r="Q454" s="5">
        <v>45906</v>
      </c>
      <c r="R454" s="5">
        <v>45901</v>
      </c>
      <c r="S454" t="s">
        <v>33</v>
      </c>
      <c r="T454" s="6">
        <v>5</v>
      </c>
      <c r="U454" t="s">
        <v>77</v>
      </c>
      <c r="V454" s="10">
        <v>1182.78</v>
      </c>
      <c r="W454" s="10">
        <v>774.28</v>
      </c>
      <c r="X454" s="10">
        <v>299.10000000000002</v>
      </c>
      <c r="Y454" s="11">
        <v>0.2528788109369452</v>
      </c>
      <c r="Z454" s="6">
        <v>-5</v>
      </c>
      <c r="AA454" t="s">
        <v>35</v>
      </c>
    </row>
    <row r="455" spans="1:27" x14ac:dyDescent="0.25">
      <c r="A455" t="s">
        <v>596</v>
      </c>
      <c r="B455">
        <v>139</v>
      </c>
      <c r="C455" s="9">
        <v>45897.026331018518</v>
      </c>
      <c r="D455" t="s">
        <v>43</v>
      </c>
      <c r="E455" t="s">
        <v>44</v>
      </c>
      <c r="F455" t="s">
        <v>45</v>
      </c>
      <c r="G455">
        <v>0</v>
      </c>
      <c r="H455" s="6">
        <v>3</v>
      </c>
      <c r="I455" s="10">
        <v>35.36</v>
      </c>
      <c r="J455" s="10">
        <v>75.180000000000007</v>
      </c>
      <c r="L455" s="3">
        <v>0</v>
      </c>
      <c r="M455" t="s">
        <v>76</v>
      </c>
      <c r="N455" s="10">
        <v>29.12</v>
      </c>
      <c r="O455" t="s">
        <v>40</v>
      </c>
      <c r="P455" s="5">
        <v>45898</v>
      </c>
      <c r="Q455" s="5">
        <v>45905</v>
      </c>
      <c r="R455" s="5">
        <v>45900</v>
      </c>
      <c r="S455" t="s">
        <v>33</v>
      </c>
      <c r="T455" s="6">
        <v>4</v>
      </c>
      <c r="U455" t="s">
        <v>134</v>
      </c>
      <c r="V455" s="10">
        <v>225.54</v>
      </c>
      <c r="W455" s="10">
        <v>106.08</v>
      </c>
      <c r="X455" s="10">
        <v>90.340000000000018</v>
      </c>
      <c r="Y455" s="11">
        <v>0.40054979161124421</v>
      </c>
      <c r="Z455" s="6">
        <v>-5</v>
      </c>
      <c r="AA455" t="s">
        <v>35</v>
      </c>
    </row>
    <row r="456" spans="1:27" x14ac:dyDescent="0.25">
      <c r="A456" t="s">
        <v>597</v>
      </c>
      <c r="B456">
        <v>185</v>
      </c>
      <c r="C456" s="9">
        <v>45897.068298611113</v>
      </c>
      <c r="D456" t="s">
        <v>177</v>
      </c>
      <c r="E456" t="s">
        <v>178</v>
      </c>
      <c r="F456" t="s">
        <v>116</v>
      </c>
      <c r="G456">
        <v>0</v>
      </c>
      <c r="H456" s="6">
        <v>3</v>
      </c>
      <c r="I456" s="10">
        <v>237.18</v>
      </c>
      <c r="J456" s="10">
        <v>375.82</v>
      </c>
      <c r="L456" s="3">
        <v>0</v>
      </c>
      <c r="M456" t="s">
        <v>31</v>
      </c>
      <c r="N456" s="10">
        <v>16.95</v>
      </c>
      <c r="O456" t="s">
        <v>40</v>
      </c>
      <c r="P456" s="5">
        <v>45899</v>
      </c>
      <c r="Q456" s="5">
        <v>45906</v>
      </c>
      <c r="R456" s="5">
        <v>45907</v>
      </c>
      <c r="S456" t="s">
        <v>33</v>
      </c>
      <c r="T456" s="6">
        <v>3</v>
      </c>
      <c r="U456" t="s">
        <v>243</v>
      </c>
      <c r="V456" s="10">
        <v>1127.46</v>
      </c>
      <c r="W456" s="10">
        <v>711.54</v>
      </c>
      <c r="X456" s="10">
        <v>398.97000000000008</v>
      </c>
      <c r="Y456" s="11">
        <v>0.35386621254856049</v>
      </c>
      <c r="Z456" s="6">
        <v>1</v>
      </c>
      <c r="AA456" t="s">
        <v>103</v>
      </c>
    </row>
    <row r="457" spans="1:27" x14ac:dyDescent="0.25">
      <c r="A457" t="s">
        <v>598</v>
      </c>
      <c r="B457">
        <v>166</v>
      </c>
      <c r="C457" s="9">
        <v>45897.084976851853</v>
      </c>
      <c r="D457" t="s">
        <v>92</v>
      </c>
      <c r="E457" t="s">
        <v>93</v>
      </c>
      <c r="F457" t="s">
        <v>52</v>
      </c>
      <c r="G457">
        <v>280</v>
      </c>
      <c r="H457" s="6">
        <v>3</v>
      </c>
      <c r="I457" s="10">
        <v>44.15</v>
      </c>
      <c r="J457" s="10">
        <v>85.67</v>
      </c>
      <c r="K457" t="s">
        <v>46</v>
      </c>
      <c r="L457" s="3">
        <v>0.1</v>
      </c>
      <c r="M457" t="s">
        <v>31</v>
      </c>
      <c r="N457" s="10">
        <v>43.76</v>
      </c>
      <c r="O457" t="s">
        <v>40</v>
      </c>
      <c r="P457" s="5">
        <v>45898</v>
      </c>
      <c r="Q457" s="5">
        <v>45908</v>
      </c>
      <c r="S457" t="s">
        <v>54</v>
      </c>
      <c r="T457" s="6">
        <v>4</v>
      </c>
      <c r="U457" t="s">
        <v>79</v>
      </c>
      <c r="V457" s="10">
        <v>231.309</v>
      </c>
      <c r="W457" s="10">
        <v>132.44999999999999</v>
      </c>
      <c r="X457" s="10">
        <v>55.099000000000011</v>
      </c>
      <c r="Y457" s="11">
        <v>0.23820517143734141</v>
      </c>
      <c r="Z457" s="6"/>
      <c r="AA457" t="s">
        <v>56</v>
      </c>
    </row>
    <row r="458" spans="1:27" x14ac:dyDescent="0.25">
      <c r="A458" t="s">
        <v>599</v>
      </c>
      <c r="B458">
        <v>117</v>
      </c>
      <c r="C458" s="9">
        <v>45897.242604166669</v>
      </c>
      <c r="D458" t="s">
        <v>71</v>
      </c>
      <c r="E458" t="s">
        <v>72</v>
      </c>
      <c r="F458" t="s">
        <v>52</v>
      </c>
      <c r="G458">
        <v>290</v>
      </c>
      <c r="H458" s="6">
        <v>3</v>
      </c>
      <c r="I458" s="10">
        <v>45.48</v>
      </c>
      <c r="J458" s="10">
        <v>131.63</v>
      </c>
      <c r="K458" t="s">
        <v>60</v>
      </c>
      <c r="L458" s="3">
        <v>0.2</v>
      </c>
      <c r="M458" t="s">
        <v>61</v>
      </c>
      <c r="N458" s="10">
        <v>34.17</v>
      </c>
      <c r="O458" t="s">
        <v>157</v>
      </c>
      <c r="P458" s="5">
        <v>45898</v>
      </c>
      <c r="Q458" s="5">
        <v>45903</v>
      </c>
      <c r="R458" s="5">
        <v>45900</v>
      </c>
      <c r="S458" t="s">
        <v>33</v>
      </c>
      <c r="T458" s="6">
        <v>4</v>
      </c>
      <c r="U458" t="s">
        <v>69</v>
      </c>
      <c r="V458" s="10">
        <v>315.91199999999998</v>
      </c>
      <c r="W458" s="10">
        <v>136.44</v>
      </c>
      <c r="X458" s="10">
        <v>145.30199999999999</v>
      </c>
      <c r="Y458" s="11">
        <v>0.45994454151789099</v>
      </c>
      <c r="Z458" s="6">
        <v>-3</v>
      </c>
      <c r="AA458" t="s">
        <v>35</v>
      </c>
    </row>
    <row r="459" spans="1:27" x14ac:dyDescent="0.25">
      <c r="A459" t="s">
        <v>600</v>
      </c>
      <c r="B459">
        <v>135</v>
      </c>
      <c r="C459" s="9">
        <v>45897.463784722233</v>
      </c>
      <c r="D459" t="s">
        <v>148</v>
      </c>
      <c r="E459" t="s">
        <v>149</v>
      </c>
      <c r="F459" t="s">
        <v>30</v>
      </c>
      <c r="G459">
        <v>3336</v>
      </c>
      <c r="H459" s="6">
        <v>3</v>
      </c>
      <c r="I459" s="10">
        <v>345.69</v>
      </c>
      <c r="J459" s="10">
        <v>643.45000000000005</v>
      </c>
      <c r="L459" s="3">
        <v>0</v>
      </c>
      <c r="M459" t="s">
        <v>61</v>
      </c>
      <c r="N459" s="10">
        <v>143.15</v>
      </c>
      <c r="O459" t="s">
        <v>126</v>
      </c>
      <c r="P459" s="5">
        <v>45898</v>
      </c>
      <c r="Q459" s="5">
        <v>45906</v>
      </c>
      <c r="R459" s="5">
        <v>45908</v>
      </c>
      <c r="S459" t="s">
        <v>33</v>
      </c>
      <c r="T459" s="6">
        <v>3</v>
      </c>
      <c r="U459" t="s">
        <v>238</v>
      </c>
      <c r="V459" s="10">
        <v>1930.35</v>
      </c>
      <c r="W459" s="10">
        <v>1037.07</v>
      </c>
      <c r="X459" s="10">
        <v>750.13000000000022</v>
      </c>
      <c r="Y459" s="11">
        <v>0.38859792265651322</v>
      </c>
      <c r="Z459" s="6">
        <v>2</v>
      </c>
      <c r="AA459" t="s">
        <v>103</v>
      </c>
    </row>
    <row r="460" spans="1:27" x14ac:dyDescent="0.25">
      <c r="A460" t="s">
        <v>601</v>
      </c>
      <c r="B460">
        <v>27</v>
      </c>
      <c r="C460" s="9">
        <v>45898.303877314807</v>
      </c>
      <c r="D460" t="s">
        <v>155</v>
      </c>
      <c r="E460" t="s">
        <v>156</v>
      </c>
      <c r="F460" t="s">
        <v>30</v>
      </c>
      <c r="G460">
        <v>4774</v>
      </c>
      <c r="H460" s="6">
        <v>2</v>
      </c>
      <c r="I460" s="10">
        <v>933.2</v>
      </c>
      <c r="J460" s="10">
        <v>1964.44</v>
      </c>
      <c r="L460" s="3">
        <v>0</v>
      </c>
      <c r="M460" t="s">
        <v>39</v>
      </c>
      <c r="N460" s="10">
        <v>107.29</v>
      </c>
      <c r="O460" t="s">
        <v>47</v>
      </c>
      <c r="P460" s="5">
        <v>45899</v>
      </c>
      <c r="Q460" s="5">
        <v>45904</v>
      </c>
      <c r="R460" s="5">
        <v>45903</v>
      </c>
      <c r="S460" t="s">
        <v>33</v>
      </c>
      <c r="T460" s="6">
        <v>5</v>
      </c>
      <c r="U460" t="s">
        <v>34</v>
      </c>
      <c r="V460" s="10">
        <v>3928.88</v>
      </c>
      <c r="W460" s="10">
        <v>1866.4</v>
      </c>
      <c r="X460" s="10">
        <v>1955.19</v>
      </c>
      <c r="Y460" s="11">
        <v>0.49764563946977258</v>
      </c>
      <c r="Z460" s="6">
        <v>-1</v>
      </c>
      <c r="AA460" t="s">
        <v>35</v>
      </c>
    </row>
    <row r="461" spans="1:27" x14ac:dyDescent="0.25">
      <c r="A461" t="s">
        <v>602</v>
      </c>
      <c r="B461">
        <v>178</v>
      </c>
      <c r="C461" s="9">
        <v>45898.811550925922</v>
      </c>
      <c r="D461" t="s">
        <v>71</v>
      </c>
      <c r="E461" t="s">
        <v>72</v>
      </c>
      <c r="F461" t="s">
        <v>52</v>
      </c>
      <c r="G461">
        <v>222</v>
      </c>
      <c r="H461" s="6">
        <v>3</v>
      </c>
      <c r="I461" s="10">
        <v>49.01</v>
      </c>
      <c r="J461" s="10">
        <v>85.55</v>
      </c>
      <c r="L461" s="3">
        <v>0</v>
      </c>
      <c r="M461" t="s">
        <v>39</v>
      </c>
      <c r="N461" s="10">
        <v>30.85</v>
      </c>
      <c r="O461" t="s">
        <v>62</v>
      </c>
      <c r="P461" s="5">
        <v>45900</v>
      </c>
      <c r="Q461" s="5">
        <v>45905</v>
      </c>
      <c r="R461" s="5">
        <v>45909</v>
      </c>
      <c r="S461" t="s">
        <v>33</v>
      </c>
      <c r="T461" s="6">
        <v>2</v>
      </c>
      <c r="U461" t="s">
        <v>461</v>
      </c>
      <c r="V461" s="10">
        <v>256.64999999999998</v>
      </c>
      <c r="W461" s="10">
        <v>147.03</v>
      </c>
      <c r="X461" s="10">
        <v>78.769999999999982</v>
      </c>
      <c r="Y461" s="11">
        <v>0.30691603350866942</v>
      </c>
      <c r="Z461" s="6">
        <v>4</v>
      </c>
      <c r="AA461" t="s">
        <v>103</v>
      </c>
    </row>
    <row r="462" spans="1:27" x14ac:dyDescent="0.25">
      <c r="A462" t="s">
        <v>603</v>
      </c>
      <c r="B462">
        <v>140</v>
      </c>
      <c r="C462" s="9">
        <v>45899.091793981483</v>
      </c>
      <c r="D462" t="s">
        <v>95</v>
      </c>
      <c r="E462" t="s">
        <v>96</v>
      </c>
      <c r="F462" t="s">
        <v>52</v>
      </c>
      <c r="G462">
        <v>398</v>
      </c>
      <c r="H462" s="6">
        <v>2</v>
      </c>
      <c r="I462" s="10">
        <v>38.909999999999997</v>
      </c>
      <c r="J462" s="10">
        <v>69.89</v>
      </c>
      <c r="K462" t="s">
        <v>60</v>
      </c>
      <c r="L462" s="3">
        <v>0.2</v>
      </c>
      <c r="M462" t="s">
        <v>31</v>
      </c>
      <c r="N462" s="10">
        <v>50.67</v>
      </c>
      <c r="O462" t="s">
        <v>47</v>
      </c>
      <c r="P462" s="5">
        <v>45900</v>
      </c>
      <c r="Q462" s="5">
        <v>45910</v>
      </c>
      <c r="R462" s="5">
        <v>45908</v>
      </c>
      <c r="S462" t="s">
        <v>33</v>
      </c>
      <c r="T462" s="6">
        <v>5</v>
      </c>
      <c r="U462" t="s">
        <v>127</v>
      </c>
      <c r="V462" s="10">
        <v>111.824</v>
      </c>
      <c r="W462" s="10">
        <v>77.819999999999993</v>
      </c>
      <c r="X462" s="10">
        <v>-16.665999999999979</v>
      </c>
      <c r="Y462" s="11">
        <v>-0.14903777364429799</v>
      </c>
      <c r="Z462" s="6">
        <v>-2</v>
      </c>
      <c r="AA462" t="s">
        <v>35</v>
      </c>
    </row>
    <row r="463" spans="1:27" x14ac:dyDescent="0.25">
      <c r="A463" t="s">
        <v>604</v>
      </c>
      <c r="B463">
        <v>63</v>
      </c>
      <c r="C463" s="9">
        <v>45899.442997685182</v>
      </c>
      <c r="D463" t="s">
        <v>86</v>
      </c>
      <c r="E463" t="s">
        <v>87</v>
      </c>
      <c r="F463" t="s">
        <v>45</v>
      </c>
      <c r="G463">
        <v>0</v>
      </c>
      <c r="H463" s="6">
        <v>1</v>
      </c>
      <c r="I463" s="10">
        <v>77.52</v>
      </c>
      <c r="J463" s="10">
        <v>109.7</v>
      </c>
      <c r="L463" s="3">
        <v>0</v>
      </c>
      <c r="M463" t="s">
        <v>76</v>
      </c>
      <c r="N463" s="10">
        <v>24.29</v>
      </c>
      <c r="O463" t="s">
        <v>47</v>
      </c>
      <c r="P463" s="5">
        <v>45900</v>
      </c>
      <c r="Q463" s="5">
        <v>45907</v>
      </c>
      <c r="R463" s="5">
        <v>45902</v>
      </c>
      <c r="S463" t="s">
        <v>33</v>
      </c>
      <c r="T463" s="6">
        <v>5</v>
      </c>
      <c r="U463" t="s">
        <v>69</v>
      </c>
      <c r="V463" s="10">
        <v>109.7</v>
      </c>
      <c r="W463" s="10">
        <v>77.52</v>
      </c>
      <c r="X463" s="10">
        <v>7.8900000000000077</v>
      </c>
      <c r="Y463" s="11">
        <v>7.1923427529626327E-2</v>
      </c>
      <c r="Z463" s="6">
        <v>-5</v>
      </c>
      <c r="AA463" t="s">
        <v>35</v>
      </c>
    </row>
    <row r="464" spans="1:27" x14ac:dyDescent="0.25">
      <c r="A464" t="s">
        <v>605</v>
      </c>
      <c r="B464">
        <v>135</v>
      </c>
      <c r="C464" s="9">
        <v>45899.54247685185</v>
      </c>
      <c r="D464" t="s">
        <v>28</v>
      </c>
      <c r="E464" t="s">
        <v>29</v>
      </c>
      <c r="F464" t="s">
        <v>30</v>
      </c>
      <c r="G464">
        <v>2735</v>
      </c>
      <c r="H464" s="6">
        <v>3</v>
      </c>
      <c r="I464" s="10">
        <v>2381.44</v>
      </c>
      <c r="J464" s="10">
        <v>3892.08</v>
      </c>
      <c r="L464" s="3">
        <v>0</v>
      </c>
      <c r="M464" t="s">
        <v>31</v>
      </c>
      <c r="N464" s="10">
        <v>78.36</v>
      </c>
      <c r="O464" t="s">
        <v>157</v>
      </c>
      <c r="P464" s="5">
        <v>45900</v>
      </c>
      <c r="Q464" s="5">
        <v>45907</v>
      </c>
      <c r="R464" s="5">
        <v>45904</v>
      </c>
      <c r="S464" t="s">
        <v>33</v>
      </c>
      <c r="T464" s="6">
        <v>5</v>
      </c>
      <c r="U464" t="s">
        <v>166</v>
      </c>
      <c r="V464" s="10">
        <v>11676.24</v>
      </c>
      <c r="W464" s="10">
        <v>7144.32</v>
      </c>
      <c r="X464" s="10">
        <v>4453.5600000000004</v>
      </c>
      <c r="Y464" s="11">
        <v>0.38142073133131899</v>
      </c>
      <c r="Z464" s="6">
        <v>-3</v>
      </c>
      <c r="AA464" t="s">
        <v>35</v>
      </c>
    </row>
    <row r="465" spans="1:27" x14ac:dyDescent="0.25">
      <c r="A465" t="s">
        <v>606</v>
      </c>
      <c r="B465">
        <v>130</v>
      </c>
      <c r="C465" s="9">
        <v>45899.795798611107</v>
      </c>
      <c r="D465" t="s">
        <v>123</v>
      </c>
      <c r="E465" t="s">
        <v>124</v>
      </c>
      <c r="F465" t="s">
        <v>45</v>
      </c>
      <c r="G465">
        <v>0</v>
      </c>
      <c r="H465" s="6">
        <v>1</v>
      </c>
      <c r="I465" s="10">
        <v>237.37</v>
      </c>
      <c r="J465" s="10">
        <v>362.05</v>
      </c>
      <c r="K465" t="s">
        <v>60</v>
      </c>
      <c r="L465" s="3">
        <v>0.2</v>
      </c>
      <c r="M465" t="s">
        <v>31</v>
      </c>
      <c r="N465" s="10">
        <v>17.32</v>
      </c>
      <c r="O465" t="s">
        <v>62</v>
      </c>
      <c r="P465" s="5">
        <v>45901</v>
      </c>
      <c r="Q465" s="5">
        <v>45906</v>
      </c>
      <c r="R465" s="5">
        <v>45906</v>
      </c>
      <c r="S465" t="s">
        <v>33</v>
      </c>
      <c r="T465" s="6">
        <v>5</v>
      </c>
      <c r="U465" t="s">
        <v>48</v>
      </c>
      <c r="V465" s="10">
        <v>289.64</v>
      </c>
      <c r="W465" s="10">
        <v>237.37</v>
      </c>
      <c r="X465" s="10">
        <v>34.950000000000038</v>
      </c>
      <c r="Y465" s="11">
        <v>0.1206670349399255</v>
      </c>
      <c r="Z465" s="6">
        <v>0</v>
      </c>
      <c r="AA465" t="s">
        <v>35</v>
      </c>
    </row>
    <row r="466" spans="1:27" x14ac:dyDescent="0.25">
      <c r="A466" t="s">
        <v>607</v>
      </c>
      <c r="B466">
        <v>169</v>
      </c>
      <c r="C466" s="9">
        <v>45899.971250000002</v>
      </c>
      <c r="D466" t="s">
        <v>74</v>
      </c>
      <c r="E466" t="s">
        <v>75</v>
      </c>
      <c r="F466" t="s">
        <v>30</v>
      </c>
      <c r="G466">
        <v>2454</v>
      </c>
      <c r="H466" s="6">
        <v>1</v>
      </c>
      <c r="I466" s="10">
        <v>2209.41</v>
      </c>
      <c r="J466" s="10">
        <v>4077.95</v>
      </c>
      <c r="K466" t="s">
        <v>46</v>
      </c>
      <c r="L466" s="3">
        <v>0.1</v>
      </c>
      <c r="M466" t="s">
        <v>76</v>
      </c>
      <c r="N466" s="10">
        <v>100.84</v>
      </c>
      <c r="O466" t="s">
        <v>47</v>
      </c>
      <c r="P466" s="5">
        <v>45901</v>
      </c>
      <c r="Q466" s="5">
        <v>45911</v>
      </c>
      <c r="R466" s="5">
        <v>45910</v>
      </c>
      <c r="S466" t="s">
        <v>33</v>
      </c>
      <c r="T466" s="6">
        <v>5</v>
      </c>
      <c r="U466" t="s">
        <v>127</v>
      </c>
      <c r="V466" s="10">
        <v>3670.1550000000002</v>
      </c>
      <c r="W466" s="10">
        <v>2209.41</v>
      </c>
      <c r="X466" s="10">
        <v>1359.905</v>
      </c>
      <c r="Y466" s="11">
        <v>0.3705306724102933</v>
      </c>
      <c r="Z466" s="6">
        <v>-1</v>
      </c>
      <c r="AA466" t="s">
        <v>35</v>
      </c>
    </row>
    <row r="467" spans="1:27" x14ac:dyDescent="0.25">
      <c r="A467" t="s">
        <v>608</v>
      </c>
      <c r="B467">
        <v>45</v>
      </c>
      <c r="C467" s="9">
        <v>45900.78875</v>
      </c>
      <c r="D467" t="s">
        <v>137</v>
      </c>
      <c r="E467" t="s">
        <v>138</v>
      </c>
      <c r="F467" t="s">
        <v>52</v>
      </c>
      <c r="G467">
        <v>356</v>
      </c>
      <c r="H467" s="6">
        <v>1</v>
      </c>
      <c r="I467" s="10">
        <v>102.78</v>
      </c>
      <c r="J467" s="10">
        <v>244.65</v>
      </c>
      <c r="L467" s="3">
        <v>0</v>
      </c>
      <c r="M467" t="s">
        <v>39</v>
      </c>
      <c r="N467" s="10">
        <v>28.53</v>
      </c>
      <c r="O467" t="s">
        <v>157</v>
      </c>
      <c r="P467" s="5">
        <v>45901</v>
      </c>
      <c r="Q467" s="5">
        <v>45909</v>
      </c>
      <c r="R467" s="5">
        <v>45909</v>
      </c>
      <c r="S467" t="s">
        <v>33</v>
      </c>
      <c r="T467" s="6">
        <v>5</v>
      </c>
      <c r="U467" t="s">
        <v>211</v>
      </c>
      <c r="V467" s="10">
        <v>244.65</v>
      </c>
      <c r="W467" s="10">
        <v>102.78</v>
      </c>
      <c r="X467" s="10">
        <v>113.34</v>
      </c>
      <c r="Y467" s="11">
        <v>0.4632740649908032</v>
      </c>
      <c r="Z467" s="6">
        <v>0</v>
      </c>
      <c r="AA467" t="s">
        <v>35</v>
      </c>
    </row>
    <row r="468" spans="1:27" x14ac:dyDescent="0.25">
      <c r="A468" t="s">
        <v>609</v>
      </c>
      <c r="B468">
        <v>97</v>
      </c>
      <c r="C468" s="9">
        <v>45900.887094907397</v>
      </c>
      <c r="D468" t="s">
        <v>74</v>
      </c>
      <c r="E468" t="s">
        <v>75</v>
      </c>
      <c r="F468" t="s">
        <v>30</v>
      </c>
      <c r="G468">
        <v>2310</v>
      </c>
      <c r="H468" s="6">
        <v>3</v>
      </c>
      <c r="I468" s="10">
        <v>2340.36</v>
      </c>
      <c r="J468" s="10">
        <v>4013.81</v>
      </c>
      <c r="L468" s="3">
        <v>0</v>
      </c>
      <c r="M468" t="s">
        <v>31</v>
      </c>
      <c r="N468" s="10">
        <v>92.97</v>
      </c>
      <c r="O468" t="s">
        <v>83</v>
      </c>
      <c r="P468" s="5">
        <v>45902</v>
      </c>
      <c r="Q468" s="5">
        <v>45910</v>
      </c>
      <c r="R468" s="5">
        <v>45905</v>
      </c>
      <c r="S468" t="s">
        <v>33</v>
      </c>
      <c r="T468" s="6">
        <v>4</v>
      </c>
      <c r="U468" t="s">
        <v>166</v>
      </c>
      <c r="V468" s="10">
        <v>12041.43</v>
      </c>
      <c r="W468" s="10">
        <v>7021.08</v>
      </c>
      <c r="X468" s="10">
        <v>4927.38</v>
      </c>
      <c r="Y468" s="11">
        <v>0.40920222930333028</v>
      </c>
      <c r="Z468" s="6">
        <v>-5</v>
      </c>
      <c r="AA468" t="s">
        <v>35</v>
      </c>
    </row>
    <row r="469" spans="1:27" x14ac:dyDescent="0.25">
      <c r="A469" t="s">
        <v>610</v>
      </c>
      <c r="B469">
        <v>16</v>
      </c>
      <c r="C469" s="9">
        <v>45901.462696759263</v>
      </c>
      <c r="D469" t="s">
        <v>50</v>
      </c>
      <c r="E469" t="s">
        <v>51</v>
      </c>
      <c r="F469" t="s">
        <v>52</v>
      </c>
      <c r="G469">
        <v>636</v>
      </c>
      <c r="H469" s="6">
        <v>1</v>
      </c>
      <c r="I469" s="10">
        <v>187.6</v>
      </c>
      <c r="J469" s="10">
        <v>250.74</v>
      </c>
      <c r="L469" s="3">
        <v>0</v>
      </c>
      <c r="M469" t="s">
        <v>31</v>
      </c>
      <c r="N469" s="10">
        <v>28.82</v>
      </c>
      <c r="O469" t="s">
        <v>99</v>
      </c>
      <c r="P469" s="5">
        <v>45902</v>
      </c>
      <c r="Q469" s="5">
        <v>45907</v>
      </c>
      <c r="R469" s="5">
        <v>45905</v>
      </c>
      <c r="S469" t="s">
        <v>33</v>
      </c>
      <c r="T469" s="6">
        <v>5</v>
      </c>
      <c r="U469" t="s">
        <v>48</v>
      </c>
      <c r="V469" s="10">
        <v>250.74</v>
      </c>
      <c r="W469" s="10">
        <v>187.6</v>
      </c>
      <c r="X469" s="10">
        <v>34.320000000000007</v>
      </c>
      <c r="Y469" s="11">
        <v>0.13687485044268971</v>
      </c>
      <c r="Z469" s="6">
        <v>-2</v>
      </c>
      <c r="AA469" t="s">
        <v>35</v>
      </c>
    </row>
    <row r="470" spans="1:27" x14ac:dyDescent="0.25">
      <c r="A470" t="s">
        <v>611</v>
      </c>
      <c r="B470">
        <v>192</v>
      </c>
      <c r="C470" s="9">
        <v>45902.338321759264</v>
      </c>
      <c r="D470" t="s">
        <v>137</v>
      </c>
      <c r="E470" t="s">
        <v>138</v>
      </c>
      <c r="F470" t="s">
        <v>52</v>
      </c>
      <c r="G470">
        <v>498</v>
      </c>
      <c r="H470" s="6">
        <v>3</v>
      </c>
      <c r="I470" s="10">
        <v>67.69</v>
      </c>
      <c r="J470" s="10">
        <v>161.88999999999999</v>
      </c>
      <c r="L470" s="3">
        <v>0</v>
      </c>
      <c r="M470" t="s">
        <v>31</v>
      </c>
      <c r="N470" s="10">
        <v>59.18</v>
      </c>
      <c r="O470" t="s">
        <v>97</v>
      </c>
      <c r="P470" s="5">
        <v>45904</v>
      </c>
      <c r="Q470" s="5">
        <v>45909</v>
      </c>
      <c r="R470" s="5">
        <v>45909</v>
      </c>
      <c r="S470" t="s">
        <v>33</v>
      </c>
      <c r="T470" s="6">
        <v>4</v>
      </c>
      <c r="U470" t="s">
        <v>79</v>
      </c>
      <c r="V470" s="10">
        <v>485.67</v>
      </c>
      <c r="W470" s="10">
        <v>203.07</v>
      </c>
      <c r="X470" s="10">
        <v>223.42</v>
      </c>
      <c r="Y470" s="11">
        <v>0.46002429633290087</v>
      </c>
      <c r="Z470" s="6">
        <v>0</v>
      </c>
      <c r="AA470" t="s">
        <v>35</v>
      </c>
    </row>
    <row r="471" spans="1:27" x14ac:dyDescent="0.25">
      <c r="A471" t="s">
        <v>612</v>
      </c>
      <c r="B471">
        <v>127</v>
      </c>
      <c r="C471" s="9">
        <v>45902.455983796302</v>
      </c>
      <c r="D471" t="s">
        <v>86</v>
      </c>
      <c r="E471" t="s">
        <v>87</v>
      </c>
      <c r="F471" t="s">
        <v>45</v>
      </c>
      <c r="G471">
        <v>0</v>
      </c>
      <c r="H471" s="6">
        <v>3</v>
      </c>
      <c r="I471" s="10">
        <v>42.87</v>
      </c>
      <c r="J471" s="10">
        <v>129.54</v>
      </c>
      <c r="K471" t="s">
        <v>46</v>
      </c>
      <c r="L471" s="3">
        <v>0.1</v>
      </c>
      <c r="M471" t="s">
        <v>39</v>
      </c>
      <c r="N471" s="10">
        <v>19.25</v>
      </c>
      <c r="O471" t="s">
        <v>47</v>
      </c>
      <c r="P471" s="5">
        <v>45903</v>
      </c>
      <c r="Q471" s="5">
        <v>45910</v>
      </c>
      <c r="R471" s="5">
        <v>45905</v>
      </c>
      <c r="S471" t="s">
        <v>33</v>
      </c>
      <c r="T471" s="6">
        <v>5</v>
      </c>
      <c r="U471" t="s">
        <v>48</v>
      </c>
      <c r="V471" s="10">
        <v>349.75799999999998</v>
      </c>
      <c r="W471" s="10">
        <v>128.61000000000001</v>
      </c>
      <c r="X471" s="10">
        <v>201.89800000000011</v>
      </c>
      <c r="Y471" s="11">
        <v>0.57725055609878839</v>
      </c>
      <c r="Z471" s="6">
        <v>-5</v>
      </c>
      <c r="AA471" t="s">
        <v>35</v>
      </c>
    </row>
    <row r="472" spans="1:27" x14ac:dyDescent="0.25">
      <c r="A472" t="s">
        <v>613</v>
      </c>
      <c r="B472">
        <v>55</v>
      </c>
      <c r="C472" s="9">
        <v>45902.689872685187</v>
      </c>
      <c r="D472" t="s">
        <v>198</v>
      </c>
      <c r="E472" t="s">
        <v>199</v>
      </c>
      <c r="F472" t="s">
        <v>116</v>
      </c>
      <c r="G472">
        <v>0</v>
      </c>
      <c r="H472" s="6">
        <v>3</v>
      </c>
      <c r="I472" s="10">
        <v>492.22</v>
      </c>
      <c r="J472" s="10">
        <v>674.46</v>
      </c>
      <c r="L472" s="3">
        <v>0</v>
      </c>
      <c r="M472" t="s">
        <v>76</v>
      </c>
      <c r="N472" s="10">
        <v>20.07</v>
      </c>
      <c r="O472" t="s">
        <v>32</v>
      </c>
      <c r="P472" s="5">
        <v>45903</v>
      </c>
      <c r="Q472" s="5">
        <v>45911</v>
      </c>
      <c r="S472" t="s">
        <v>63</v>
      </c>
      <c r="T472" s="6">
        <v>1</v>
      </c>
      <c r="U472" t="s">
        <v>170</v>
      </c>
      <c r="V472" s="10">
        <v>2023.38</v>
      </c>
      <c r="W472" s="10">
        <v>1476.66</v>
      </c>
      <c r="X472" s="10">
        <v>526.65</v>
      </c>
      <c r="Y472" s="11">
        <v>0.26028229991400531</v>
      </c>
      <c r="Z472" s="6"/>
      <c r="AA472" t="s">
        <v>56</v>
      </c>
    </row>
    <row r="473" spans="1:27" x14ac:dyDescent="0.25">
      <c r="A473" t="s">
        <v>614</v>
      </c>
      <c r="B473">
        <v>74</v>
      </c>
      <c r="C473" s="9">
        <v>45902.793912037043</v>
      </c>
      <c r="D473" t="s">
        <v>37</v>
      </c>
      <c r="E473" t="s">
        <v>38</v>
      </c>
      <c r="F473" t="s">
        <v>30</v>
      </c>
      <c r="G473">
        <v>2693</v>
      </c>
      <c r="H473" s="6">
        <v>1</v>
      </c>
      <c r="I473" s="10">
        <v>564.04</v>
      </c>
      <c r="J473" s="10">
        <v>888.6</v>
      </c>
      <c r="K473" t="s">
        <v>46</v>
      </c>
      <c r="L473" s="3">
        <v>0.1</v>
      </c>
      <c r="M473" t="s">
        <v>39</v>
      </c>
      <c r="N473" s="10">
        <v>107.47</v>
      </c>
      <c r="O473" t="s">
        <v>150</v>
      </c>
      <c r="P473" s="5">
        <v>45904</v>
      </c>
      <c r="Q473" s="5">
        <v>45914</v>
      </c>
      <c r="R473" s="5">
        <v>45906</v>
      </c>
      <c r="S473" t="s">
        <v>33</v>
      </c>
      <c r="T473" s="6">
        <v>4</v>
      </c>
      <c r="U473" t="s">
        <v>172</v>
      </c>
      <c r="V473" s="10">
        <v>799.74</v>
      </c>
      <c r="W473" s="10">
        <v>564.04</v>
      </c>
      <c r="X473" s="10">
        <v>128.22999999999999</v>
      </c>
      <c r="Y473" s="11">
        <v>0.16033961037337141</v>
      </c>
      <c r="Z473" s="6">
        <v>-8</v>
      </c>
      <c r="AA473" t="s">
        <v>35</v>
      </c>
    </row>
    <row r="474" spans="1:27" x14ac:dyDescent="0.25">
      <c r="A474" t="s">
        <v>615</v>
      </c>
      <c r="B474">
        <v>80</v>
      </c>
      <c r="C474" s="9">
        <v>45903.189664351848</v>
      </c>
      <c r="D474" t="s">
        <v>81</v>
      </c>
      <c r="E474" t="s">
        <v>82</v>
      </c>
      <c r="F474" t="s">
        <v>45</v>
      </c>
      <c r="G474">
        <v>0</v>
      </c>
      <c r="H474" s="6">
        <v>2</v>
      </c>
      <c r="I474" s="10">
        <v>95.32</v>
      </c>
      <c r="J474" s="10">
        <v>113.18</v>
      </c>
      <c r="L474" s="3">
        <v>0</v>
      </c>
      <c r="M474" t="s">
        <v>39</v>
      </c>
      <c r="N474" s="10">
        <v>20.76</v>
      </c>
      <c r="O474" t="s">
        <v>150</v>
      </c>
      <c r="P474" s="5">
        <v>45905</v>
      </c>
      <c r="Q474" s="5">
        <v>45915</v>
      </c>
      <c r="S474" t="s">
        <v>54</v>
      </c>
      <c r="T474" s="6">
        <v>3</v>
      </c>
      <c r="U474" t="s">
        <v>230</v>
      </c>
      <c r="V474" s="10">
        <v>226.36</v>
      </c>
      <c r="W474" s="10">
        <v>190.64</v>
      </c>
      <c r="X474" s="10">
        <v>14.960000000000029</v>
      </c>
      <c r="Y474" s="11">
        <v>6.6089415091005591E-2</v>
      </c>
      <c r="Z474" s="6"/>
      <c r="AA474" t="s">
        <v>56</v>
      </c>
    </row>
    <row r="475" spans="1:27" x14ac:dyDescent="0.25">
      <c r="A475" t="s">
        <v>616</v>
      </c>
      <c r="B475">
        <v>192</v>
      </c>
      <c r="C475" s="9">
        <v>45903.386770833327</v>
      </c>
      <c r="D475" t="s">
        <v>155</v>
      </c>
      <c r="E475" t="s">
        <v>156</v>
      </c>
      <c r="F475" t="s">
        <v>30</v>
      </c>
      <c r="G475">
        <v>4848</v>
      </c>
      <c r="H475" s="6">
        <v>1</v>
      </c>
      <c r="I475" s="10">
        <v>400.51</v>
      </c>
      <c r="J475" s="10">
        <v>1477.42</v>
      </c>
      <c r="K475" t="s">
        <v>46</v>
      </c>
      <c r="L475" s="3">
        <v>0.1</v>
      </c>
      <c r="M475" t="s">
        <v>76</v>
      </c>
      <c r="N475" s="10">
        <v>86.84</v>
      </c>
      <c r="O475" t="s">
        <v>97</v>
      </c>
      <c r="P475" s="5">
        <v>45904</v>
      </c>
      <c r="Q475" s="5">
        <v>45912</v>
      </c>
      <c r="R475" s="5">
        <v>45910</v>
      </c>
      <c r="S475" t="s">
        <v>33</v>
      </c>
      <c r="T475" s="6">
        <v>5</v>
      </c>
      <c r="U475" t="s">
        <v>34</v>
      </c>
      <c r="V475" s="10">
        <v>1329.6780000000001</v>
      </c>
      <c r="W475" s="10">
        <v>400.51</v>
      </c>
      <c r="X475" s="10">
        <v>842.32800000000009</v>
      </c>
      <c r="Y475" s="11">
        <v>0.63348269280231762</v>
      </c>
      <c r="Z475" s="6">
        <v>-2</v>
      </c>
      <c r="AA475" t="s">
        <v>35</v>
      </c>
    </row>
    <row r="476" spans="1:27" x14ac:dyDescent="0.25">
      <c r="A476" t="s">
        <v>617</v>
      </c>
      <c r="B476">
        <v>19</v>
      </c>
      <c r="C476" s="9">
        <v>45903.404456018521</v>
      </c>
      <c r="D476" t="s">
        <v>155</v>
      </c>
      <c r="E476" t="s">
        <v>156</v>
      </c>
      <c r="F476" t="s">
        <v>30</v>
      </c>
      <c r="G476">
        <v>3565</v>
      </c>
      <c r="H476" s="6">
        <v>2</v>
      </c>
      <c r="I476" s="10">
        <v>443.37</v>
      </c>
      <c r="J476" s="10">
        <v>1133.81</v>
      </c>
      <c r="K476" t="s">
        <v>46</v>
      </c>
      <c r="L476" s="3">
        <v>0.1</v>
      </c>
      <c r="M476" t="s">
        <v>61</v>
      </c>
      <c r="N476" s="10">
        <v>146.88999999999999</v>
      </c>
      <c r="O476" t="s">
        <v>40</v>
      </c>
      <c r="P476" s="5">
        <v>45904</v>
      </c>
      <c r="Q476" s="5">
        <v>45911</v>
      </c>
      <c r="S476" t="s">
        <v>63</v>
      </c>
      <c r="T476" s="6">
        <v>2</v>
      </c>
      <c r="U476" t="s">
        <v>185</v>
      </c>
      <c r="V476" s="10">
        <v>2040.8579999999999</v>
      </c>
      <c r="W476" s="10">
        <v>886.74</v>
      </c>
      <c r="X476" s="10">
        <v>1007.228</v>
      </c>
      <c r="Y476" s="11">
        <v>0.49353164208386863</v>
      </c>
      <c r="Z476" s="6"/>
      <c r="AA476" t="s">
        <v>56</v>
      </c>
    </row>
    <row r="477" spans="1:27" x14ac:dyDescent="0.25">
      <c r="A477" t="s">
        <v>618</v>
      </c>
      <c r="B477">
        <v>158</v>
      </c>
      <c r="C477" s="9">
        <v>45903.474606481483</v>
      </c>
      <c r="D477" t="s">
        <v>50</v>
      </c>
      <c r="E477" t="s">
        <v>51</v>
      </c>
      <c r="F477" t="s">
        <v>52</v>
      </c>
      <c r="G477">
        <v>742</v>
      </c>
      <c r="H477" s="6">
        <v>1</v>
      </c>
      <c r="I477" s="10">
        <v>186.9</v>
      </c>
      <c r="J477" s="10">
        <v>336.3</v>
      </c>
      <c r="L477" s="3">
        <v>0</v>
      </c>
      <c r="M477" t="s">
        <v>61</v>
      </c>
      <c r="N477" s="10">
        <v>27.66</v>
      </c>
      <c r="O477" t="s">
        <v>101</v>
      </c>
      <c r="P477" s="5">
        <v>45905</v>
      </c>
      <c r="Q477" s="5">
        <v>45914</v>
      </c>
      <c r="R477" s="5">
        <v>45914</v>
      </c>
      <c r="S477" t="s">
        <v>33</v>
      </c>
      <c r="T477" s="6">
        <v>4</v>
      </c>
      <c r="U477" t="s">
        <v>119</v>
      </c>
      <c r="V477" s="10">
        <v>336.3</v>
      </c>
      <c r="W477" s="10">
        <v>186.9</v>
      </c>
      <c r="X477" s="10">
        <v>121.74</v>
      </c>
      <c r="Y477" s="11">
        <v>0.36199821587867981</v>
      </c>
      <c r="Z477" s="6">
        <v>0</v>
      </c>
      <c r="AA477" t="s">
        <v>35</v>
      </c>
    </row>
    <row r="478" spans="1:27" x14ac:dyDescent="0.25">
      <c r="A478" t="s">
        <v>619</v>
      </c>
      <c r="B478">
        <v>62</v>
      </c>
      <c r="C478" s="9">
        <v>45903.950729166667</v>
      </c>
      <c r="D478" t="s">
        <v>164</v>
      </c>
      <c r="E478" t="s">
        <v>165</v>
      </c>
      <c r="F478" t="s">
        <v>116</v>
      </c>
      <c r="G478">
        <v>0</v>
      </c>
      <c r="H478" s="6">
        <v>2</v>
      </c>
      <c r="I478" s="10">
        <v>379.2</v>
      </c>
      <c r="J478" s="10">
        <v>557.78</v>
      </c>
      <c r="K478" t="s">
        <v>46</v>
      </c>
      <c r="L478" s="3">
        <v>0.1</v>
      </c>
      <c r="M478" t="s">
        <v>39</v>
      </c>
      <c r="N478" s="10">
        <v>18.690000000000001</v>
      </c>
      <c r="O478" t="s">
        <v>97</v>
      </c>
      <c r="P478" s="5">
        <v>45904</v>
      </c>
      <c r="Q478" s="5">
        <v>45911</v>
      </c>
      <c r="R478" s="5">
        <v>45911</v>
      </c>
      <c r="S478" t="s">
        <v>33</v>
      </c>
      <c r="T478" s="6">
        <v>4</v>
      </c>
      <c r="U478" t="s">
        <v>79</v>
      </c>
      <c r="V478" s="10">
        <v>1004.004</v>
      </c>
      <c r="W478" s="10">
        <v>758.4</v>
      </c>
      <c r="X478" s="10">
        <v>226.91399999999999</v>
      </c>
      <c r="Y478" s="11">
        <v>0.22600905972486171</v>
      </c>
      <c r="Z478" s="6">
        <v>0</v>
      </c>
      <c r="AA478" t="s">
        <v>35</v>
      </c>
    </row>
    <row r="479" spans="1:27" x14ac:dyDescent="0.25">
      <c r="A479" t="s">
        <v>620</v>
      </c>
      <c r="B479">
        <v>131</v>
      </c>
      <c r="C479" s="9">
        <v>45904.007453703707</v>
      </c>
      <c r="D479" t="s">
        <v>95</v>
      </c>
      <c r="E479" t="s">
        <v>96</v>
      </c>
      <c r="F479" t="s">
        <v>52</v>
      </c>
      <c r="G479">
        <v>343</v>
      </c>
      <c r="H479" s="6">
        <v>3</v>
      </c>
      <c r="I479" s="10">
        <v>34.24</v>
      </c>
      <c r="J479" s="10">
        <v>57.77</v>
      </c>
      <c r="K479" t="s">
        <v>60</v>
      </c>
      <c r="L479" s="3">
        <v>0.2</v>
      </c>
      <c r="M479" t="s">
        <v>31</v>
      </c>
      <c r="N479" s="10">
        <v>50.62</v>
      </c>
      <c r="O479" t="s">
        <v>32</v>
      </c>
      <c r="P479" s="5">
        <v>45906</v>
      </c>
      <c r="Q479" s="5">
        <v>45911</v>
      </c>
      <c r="R479" s="5">
        <v>45913</v>
      </c>
      <c r="S479" t="s">
        <v>33</v>
      </c>
      <c r="T479" s="6">
        <v>2</v>
      </c>
      <c r="U479" t="s">
        <v>140</v>
      </c>
      <c r="V479" s="10">
        <v>138.648</v>
      </c>
      <c r="W479" s="10">
        <v>102.72</v>
      </c>
      <c r="X479" s="10">
        <v>-14.692</v>
      </c>
      <c r="Y479" s="11">
        <v>-0.10596618775604411</v>
      </c>
      <c r="Z479" s="6">
        <v>2</v>
      </c>
      <c r="AA479" t="s">
        <v>103</v>
      </c>
    </row>
    <row r="480" spans="1:27" x14ac:dyDescent="0.25">
      <c r="A480" t="s">
        <v>621</v>
      </c>
      <c r="B480">
        <v>153</v>
      </c>
      <c r="C480" s="9">
        <v>45904.378553240742</v>
      </c>
      <c r="D480" t="s">
        <v>198</v>
      </c>
      <c r="E480" t="s">
        <v>199</v>
      </c>
      <c r="F480" t="s">
        <v>116</v>
      </c>
      <c r="G480">
        <v>0</v>
      </c>
      <c r="H480" s="6">
        <v>3</v>
      </c>
      <c r="I480" s="10">
        <v>374.28</v>
      </c>
      <c r="J480" s="10">
        <v>721.16</v>
      </c>
      <c r="L480" s="3">
        <v>0</v>
      </c>
      <c r="M480" t="s">
        <v>31</v>
      </c>
      <c r="N480" s="10">
        <v>19.559999999999999</v>
      </c>
      <c r="O480" t="s">
        <v>264</v>
      </c>
      <c r="P480" s="5">
        <v>45906</v>
      </c>
      <c r="Q480" s="5">
        <v>45913</v>
      </c>
      <c r="R480" s="5">
        <v>45912</v>
      </c>
      <c r="S480" t="s">
        <v>33</v>
      </c>
      <c r="T480" s="6">
        <v>4</v>
      </c>
      <c r="U480" t="s">
        <v>117</v>
      </c>
      <c r="V480" s="10">
        <v>2163.48</v>
      </c>
      <c r="W480" s="10">
        <v>1122.8399999999999</v>
      </c>
      <c r="X480" s="10">
        <v>1021.08</v>
      </c>
      <c r="Y480" s="11">
        <v>0.47196183925897173</v>
      </c>
      <c r="Z480" s="6">
        <v>-1</v>
      </c>
      <c r="AA480" t="s">
        <v>35</v>
      </c>
    </row>
    <row r="481" spans="1:27" x14ac:dyDescent="0.25">
      <c r="A481" t="s">
        <v>622</v>
      </c>
      <c r="B481">
        <v>35</v>
      </c>
      <c r="C481" s="9">
        <v>45904.567129629628</v>
      </c>
      <c r="D481" t="s">
        <v>37</v>
      </c>
      <c r="E481" t="s">
        <v>38</v>
      </c>
      <c r="F481" t="s">
        <v>30</v>
      </c>
      <c r="G481">
        <v>2752</v>
      </c>
      <c r="H481" s="6">
        <v>3</v>
      </c>
      <c r="I481" s="10">
        <v>675.31</v>
      </c>
      <c r="J481" s="10">
        <v>1093.75</v>
      </c>
      <c r="K481" t="s">
        <v>60</v>
      </c>
      <c r="L481" s="3">
        <v>0.2</v>
      </c>
      <c r="M481" t="s">
        <v>61</v>
      </c>
      <c r="N481" s="10">
        <v>58.59</v>
      </c>
      <c r="O481" t="s">
        <v>150</v>
      </c>
      <c r="P481" s="5">
        <v>45905</v>
      </c>
      <c r="Q481" s="5">
        <v>45912</v>
      </c>
      <c r="R481" s="5">
        <v>45908</v>
      </c>
      <c r="S481" t="s">
        <v>33</v>
      </c>
      <c r="T481" s="6">
        <v>4</v>
      </c>
      <c r="U481" t="s">
        <v>48</v>
      </c>
      <c r="V481" s="10">
        <v>2625</v>
      </c>
      <c r="W481" s="10">
        <v>2025.93</v>
      </c>
      <c r="X481" s="10">
        <v>540.48000000000013</v>
      </c>
      <c r="Y481" s="11">
        <v>0.20589714285714289</v>
      </c>
      <c r="Z481" s="6">
        <v>-4</v>
      </c>
      <c r="AA481" t="s">
        <v>35</v>
      </c>
    </row>
    <row r="482" spans="1:27" x14ac:dyDescent="0.25">
      <c r="A482" t="s">
        <v>623</v>
      </c>
      <c r="B482">
        <v>7</v>
      </c>
      <c r="C482" s="9">
        <v>45904.986168981479</v>
      </c>
      <c r="D482" t="s">
        <v>89</v>
      </c>
      <c r="E482" t="s">
        <v>90</v>
      </c>
      <c r="F482" t="s">
        <v>52</v>
      </c>
      <c r="G482">
        <v>302</v>
      </c>
      <c r="H482" s="6">
        <v>1</v>
      </c>
      <c r="I482" s="10">
        <v>75.75</v>
      </c>
      <c r="J482" s="10">
        <v>179.35</v>
      </c>
      <c r="L482" s="3">
        <v>0</v>
      </c>
      <c r="M482" t="s">
        <v>76</v>
      </c>
      <c r="N482" s="10">
        <v>20.260000000000002</v>
      </c>
      <c r="O482" t="s">
        <v>97</v>
      </c>
      <c r="P482" s="5">
        <v>45906</v>
      </c>
      <c r="Q482" s="5">
        <v>45912</v>
      </c>
      <c r="R482" s="5">
        <v>45911</v>
      </c>
      <c r="S482" t="s">
        <v>33</v>
      </c>
      <c r="T482" s="6">
        <v>4</v>
      </c>
      <c r="U482" t="s">
        <v>79</v>
      </c>
      <c r="V482" s="10">
        <v>179.35</v>
      </c>
      <c r="W482" s="10">
        <v>75.75</v>
      </c>
      <c r="X482" s="10">
        <v>83.339999999999989</v>
      </c>
      <c r="Y482" s="11">
        <v>0.46467800390298297</v>
      </c>
      <c r="Z482" s="6">
        <v>-1</v>
      </c>
      <c r="AA482" t="s">
        <v>35</v>
      </c>
    </row>
    <row r="483" spans="1:27" x14ac:dyDescent="0.25">
      <c r="A483" t="s">
        <v>624</v>
      </c>
      <c r="B483">
        <v>138</v>
      </c>
      <c r="C483" s="9">
        <v>45905.05945601852</v>
      </c>
      <c r="D483" t="s">
        <v>66</v>
      </c>
      <c r="E483" t="s">
        <v>67</v>
      </c>
      <c r="F483" t="s">
        <v>52</v>
      </c>
      <c r="G483">
        <v>297</v>
      </c>
      <c r="H483" s="6">
        <v>2</v>
      </c>
      <c r="I483" s="10">
        <v>43.15</v>
      </c>
      <c r="J483" s="10">
        <v>98.83</v>
      </c>
      <c r="L483" s="3">
        <v>0</v>
      </c>
      <c r="M483" t="s">
        <v>61</v>
      </c>
      <c r="N483" s="10">
        <v>46.36</v>
      </c>
      <c r="O483" t="s">
        <v>264</v>
      </c>
      <c r="P483" s="5">
        <v>45907</v>
      </c>
      <c r="Q483" s="5">
        <v>45914</v>
      </c>
      <c r="R483" s="5">
        <v>45911</v>
      </c>
      <c r="S483" t="s">
        <v>33</v>
      </c>
      <c r="T483" s="6">
        <v>5</v>
      </c>
      <c r="U483" t="s">
        <v>79</v>
      </c>
      <c r="V483" s="10">
        <v>197.66</v>
      </c>
      <c r="W483" s="10">
        <v>86.3</v>
      </c>
      <c r="X483" s="10">
        <v>65</v>
      </c>
      <c r="Y483" s="11">
        <v>0.32884751593645661</v>
      </c>
      <c r="Z483" s="6">
        <v>-3</v>
      </c>
      <c r="AA483" t="s">
        <v>35</v>
      </c>
    </row>
    <row r="484" spans="1:27" x14ac:dyDescent="0.25">
      <c r="A484" t="s">
        <v>625</v>
      </c>
      <c r="B484">
        <v>130</v>
      </c>
      <c r="C484" s="9">
        <v>45905.118726851862</v>
      </c>
      <c r="D484" t="s">
        <v>74</v>
      </c>
      <c r="E484" t="s">
        <v>75</v>
      </c>
      <c r="F484" t="s">
        <v>30</v>
      </c>
      <c r="G484">
        <v>2490</v>
      </c>
      <c r="H484" s="6">
        <v>3</v>
      </c>
      <c r="I484" s="10">
        <v>2365.63</v>
      </c>
      <c r="J484" s="10">
        <v>4969.45</v>
      </c>
      <c r="K484" t="s">
        <v>46</v>
      </c>
      <c r="L484" s="3">
        <v>0.1</v>
      </c>
      <c r="M484" t="s">
        <v>61</v>
      </c>
      <c r="N484" s="10">
        <v>136.66</v>
      </c>
      <c r="O484" t="s">
        <v>47</v>
      </c>
      <c r="P484" s="5">
        <v>45907</v>
      </c>
      <c r="Q484" s="5">
        <v>45914</v>
      </c>
      <c r="S484" t="s">
        <v>54</v>
      </c>
      <c r="T484" s="6">
        <v>2</v>
      </c>
      <c r="U484" t="s">
        <v>180</v>
      </c>
      <c r="V484" s="10">
        <v>13417.514999999999</v>
      </c>
      <c r="W484" s="10">
        <v>7096.89</v>
      </c>
      <c r="X484" s="10">
        <v>6183.9649999999992</v>
      </c>
      <c r="Y484" s="11">
        <v>0.4608875041317263</v>
      </c>
      <c r="Z484" s="6"/>
      <c r="AA484" t="s">
        <v>56</v>
      </c>
    </row>
    <row r="485" spans="1:27" x14ac:dyDescent="0.25">
      <c r="A485" t="s">
        <v>626</v>
      </c>
      <c r="B485">
        <v>4</v>
      </c>
      <c r="C485" s="9">
        <v>45905.433148148149</v>
      </c>
      <c r="D485" t="s">
        <v>92</v>
      </c>
      <c r="E485" t="s">
        <v>93</v>
      </c>
      <c r="F485" t="s">
        <v>52</v>
      </c>
      <c r="G485">
        <v>229</v>
      </c>
      <c r="H485" s="6">
        <v>3</v>
      </c>
      <c r="I485" s="10">
        <v>23.45</v>
      </c>
      <c r="J485" s="10">
        <v>57.13</v>
      </c>
      <c r="K485" t="s">
        <v>46</v>
      </c>
      <c r="L485" s="3">
        <v>0.1</v>
      </c>
      <c r="M485" t="s">
        <v>61</v>
      </c>
      <c r="N485" s="10">
        <v>30.47</v>
      </c>
      <c r="O485" t="s">
        <v>32</v>
      </c>
      <c r="P485" s="5">
        <v>45907</v>
      </c>
      <c r="Q485" s="5">
        <v>45917</v>
      </c>
      <c r="R485" s="5">
        <v>45917</v>
      </c>
      <c r="S485" t="s">
        <v>33</v>
      </c>
      <c r="T485" s="6">
        <v>4</v>
      </c>
      <c r="U485" t="s">
        <v>112</v>
      </c>
      <c r="V485" s="10">
        <v>154.251</v>
      </c>
      <c r="W485" s="10">
        <v>70.349999999999994</v>
      </c>
      <c r="X485" s="10">
        <v>53.431000000000012</v>
      </c>
      <c r="Y485" s="11">
        <v>0.34638997478136291</v>
      </c>
      <c r="Z485" s="6">
        <v>0</v>
      </c>
      <c r="AA485" t="s">
        <v>35</v>
      </c>
    </row>
    <row r="486" spans="1:27" x14ac:dyDescent="0.25">
      <c r="A486" t="s">
        <v>627</v>
      </c>
      <c r="B486">
        <v>141</v>
      </c>
      <c r="C486" s="9">
        <v>45907.744490740741</v>
      </c>
      <c r="D486" t="s">
        <v>81</v>
      </c>
      <c r="E486" t="s">
        <v>82</v>
      </c>
      <c r="F486" t="s">
        <v>45</v>
      </c>
      <c r="G486">
        <v>0</v>
      </c>
      <c r="H486" s="6">
        <v>1</v>
      </c>
      <c r="I486" s="10">
        <v>58.51</v>
      </c>
      <c r="J486" s="10">
        <v>152.15</v>
      </c>
      <c r="L486" s="3">
        <v>0</v>
      </c>
      <c r="M486" t="s">
        <v>31</v>
      </c>
      <c r="N486" s="10">
        <v>17.38</v>
      </c>
      <c r="O486" t="s">
        <v>157</v>
      </c>
      <c r="P486" s="5">
        <v>45908</v>
      </c>
      <c r="Q486" s="5">
        <v>45913</v>
      </c>
      <c r="R486" s="5">
        <v>45910</v>
      </c>
      <c r="S486" t="s">
        <v>33</v>
      </c>
      <c r="T486" s="6">
        <v>4</v>
      </c>
      <c r="U486" t="s">
        <v>166</v>
      </c>
      <c r="V486" s="10">
        <v>152.15</v>
      </c>
      <c r="W486" s="10">
        <v>58.51</v>
      </c>
      <c r="X486" s="10">
        <v>76.260000000000019</v>
      </c>
      <c r="Y486" s="11">
        <v>0.50121590535655614</v>
      </c>
      <c r="Z486" s="6">
        <v>-3</v>
      </c>
      <c r="AA486" t="s">
        <v>35</v>
      </c>
    </row>
    <row r="487" spans="1:27" x14ac:dyDescent="0.25">
      <c r="A487" t="s">
        <v>628</v>
      </c>
      <c r="B487">
        <v>12</v>
      </c>
      <c r="C487" s="9">
        <v>45907.753472222219</v>
      </c>
      <c r="D487" t="s">
        <v>50</v>
      </c>
      <c r="E487" t="s">
        <v>51</v>
      </c>
      <c r="F487" t="s">
        <v>52</v>
      </c>
      <c r="G487">
        <v>773</v>
      </c>
      <c r="H487" s="6">
        <v>2</v>
      </c>
      <c r="I487" s="10">
        <v>177.86</v>
      </c>
      <c r="J487" s="10">
        <v>294.54000000000002</v>
      </c>
      <c r="K487" t="s">
        <v>46</v>
      </c>
      <c r="L487" s="3">
        <v>0.1</v>
      </c>
      <c r="M487" t="s">
        <v>76</v>
      </c>
      <c r="N487" s="10">
        <v>41.76</v>
      </c>
      <c r="O487" t="s">
        <v>47</v>
      </c>
      <c r="P487" s="5">
        <v>45908</v>
      </c>
      <c r="Q487" s="5">
        <v>45916</v>
      </c>
      <c r="R487" s="5">
        <v>45913</v>
      </c>
      <c r="S487" t="s">
        <v>33</v>
      </c>
      <c r="T487" s="6">
        <v>4</v>
      </c>
      <c r="U487" t="s">
        <v>166</v>
      </c>
      <c r="V487" s="10">
        <v>530.17200000000003</v>
      </c>
      <c r="W487" s="10">
        <v>355.72</v>
      </c>
      <c r="X487" s="10">
        <v>132.69200000000001</v>
      </c>
      <c r="Y487" s="11">
        <v>0.2502810408697555</v>
      </c>
      <c r="Z487" s="6">
        <v>-3</v>
      </c>
      <c r="AA487" t="s">
        <v>35</v>
      </c>
    </row>
    <row r="488" spans="1:27" x14ac:dyDescent="0.25">
      <c r="A488" t="s">
        <v>629</v>
      </c>
      <c r="B488">
        <v>112</v>
      </c>
      <c r="C488" s="9">
        <v>45908.693530092591</v>
      </c>
      <c r="D488" t="s">
        <v>92</v>
      </c>
      <c r="E488" t="s">
        <v>93</v>
      </c>
      <c r="F488" t="s">
        <v>52</v>
      </c>
      <c r="G488">
        <v>286</v>
      </c>
      <c r="H488" s="6">
        <v>2</v>
      </c>
      <c r="I488" s="10">
        <v>32</v>
      </c>
      <c r="J488" s="10">
        <v>84.95</v>
      </c>
      <c r="L488" s="3">
        <v>0</v>
      </c>
      <c r="M488" t="s">
        <v>61</v>
      </c>
      <c r="N488" s="10">
        <v>29.43</v>
      </c>
      <c r="O488" t="s">
        <v>62</v>
      </c>
      <c r="P488" s="5">
        <v>45910</v>
      </c>
      <c r="Q488" s="5">
        <v>45915</v>
      </c>
      <c r="R488" s="5">
        <v>45914</v>
      </c>
      <c r="S488" t="s">
        <v>33</v>
      </c>
      <c r="T488" s="6">
        <v>5</v>
      </c>
      <c r="U488" t="s">
        <v>172</v>
      </c>
      <c r="V488" s="10">
        <v>169.9</v>
      </c>
      <c r="W488" s="10">
        <v>64</v>
      </c>
      <c r="X488" s="10">
        <v>76.47</v>
      </c>
      <c r="Y488" s="11">
        <v>0.45008828722778099</v>
      </c>
      <c r="Z488" s="6">
        <v>-1</v>
      </c>
      <c r="AA488" t="s">
        <v>35</v>
      </c>
    </row>
    <row r="489" spans="1:27" x14ac:dyDescent="0.25">
      <c r="A489" t="s">
        <v>630</v>
      </c>
      <c r="B489">
        <v>117</v>
      </c>
      <c r="C489" s="9">
        <v>45908.70008101852</v>
      </c>
      <c r="D489" t="s">
        <v>71</v>
      </c>
      <c r="E489" t="s">
        <v>72</v>
      </c>
      <c r="F489" t="s">
        <v>52</v>
      </c>
      <c r="G489">
        <v>296</v>
      </c>
      <c r="H489" s="6">
        <v>1</v>
      </c>
      <c r="I489" s="10">
        <v>64.010000000000005</v>
      </c>
      <c r="J489" s="10">
        <v>85.01</v>
      </c>
      <c r="L489" s="3">
        <v>0</v>
      </c>
      <c r="M489" t="s">
        <v>61</v>
      </c>
      <c r="N489" s="10">
        <v>47.56</v>
      </c>
      <c r="O489" t="s">
        <v>99</v>
      </c>
      <c r="P489" s="5">
        <v>45910</v>
      </c>
      <c r="Q489" s="5">
        <v>45917</v>
      </c>
      <c r="R489" s="5">
        <v>45915</v>
      </c>
      <c r="S489" t="s">
        <v>33</v>
      </c>
      <c r="T489" s="6">
        <v>4</v>
      </c>
      <c r="U489" t="s">
        <v>48</v>
      </c>
      <c r="V489" s="10">
        <v>85.01</v>
      </c>
      <c r="W489" s="10">
        <v>64.010000000000005</v>
      </c>
      <c r="X489" s="10">
        <v>-26.56</v>
      </c>
      <c r="Y489" s="11">
        <v>-0.31243383131396307</v>
      </c>
      <c r="Z489" s="6">
        <v>-2</v>
      </c>
      <c r="AA489" t="s">
        <v>35</v>
      </c>
    </row>
    <row r="490" spans="1:27" x14ac:dyDescent="0.25">
      <c r="A490" t="s">
        <v>631</v>
      </c>
      <c r="B490">
        <v>118</v>
      </c>
      <c r="C490" s="9">
        <v>45908.843912037039</v>
      </c>
      <c r="D490" t="s">
        <v>110</v>
      </c>
      <c r="E490" t="s">
        <v>111</v>
      </c>
      <c r="F490" t="s">
        <v>30</v>
      </c>
      <c r="G490">
        <v>2063</v>
      </c>
      <c r="H490" s="6">
        <v>2</v>
      </c>
      <c r="I490" s="10">
        <v>1203.48</v>
      </c>
      <c r="J490" s="10">
        <v>2184.5100000000002</v>
      </c>
      <c r="L490" s="3">
        <v>0</v>
      </c>
      <c r="M490" t="s">
        <v>76</v>
      </c>
      <c r="N490" s="10">
        <v>120.79</v>
      </c>
      <c r="O490" t="s">
        <v>97</v>
      </c>
      <c r="P490" s="5">
        <v>45910</v>
      </c>
      <c r="Q490" s="5">
        <v>45920</v>
      </c>
      <c r="S490" t="s">
        <v>54</v>
      </c>
      <c r="T490" s="6">
        <v>3</v>
      </c>
      <c r="U490" t="s">
        <v>243</v>
      </c>
      <c r="V490" s="10">
        <v>4369.0200000000004</v>
      </c>
      <c r="W490" s="10">
        <v>2406.96</v>
      </c>
      <c r="X490" s="10">
        <v>1841.27</v>
      </c>
      <c r="Y490" s="11">
        <v>0.4214377594975533</v>
      </c>
      <c r="Z490" s="6"/>
      <c r="AA490" t="s">
        <v>56</v>
      </c>
    </row>
    <row r="491" spans="1:27" x14ac:dyDescent="0.25">
      <c r="A491" t="s">
        <v>632</v>
      </c>
      <c r="B491">
        <v>31</v>
      </c>
      <c r="C491" s="9">
        <v>45909.09443287037</v>
      </c>
      <c r="D491" t="s">
        <v>71</v>
      </c>
      <c r="E491" t="s">
        <v>72</v>
      </c>
      <c r="F491" t="s">
        <v>52</v>
      </c>
      <c r="G491">
        <v>217</v>
      </c>
      <c r="H491" s="6">
        <v>3</v>
      </c>
      <c r="I491" s="10">
        <v>32.99</v>
      </c>
      <c r="J491" s="10">
        <v>82.7</v>
      </c>
      <c r="L491" s="3">
        <v>0</v>
      </c>
      <c r="M491" t="s">
        <v>61</v>
      </c>
      <c r="N491" s="10">
        <v>40.69</v>
      </c>
      <c r="O491" t="s">
        <v>40</v>
      </c>
      <c r="P491" s="5">
        <v>45911</v>
      </c>
      <c r="Q491" s="5">
        <v>45921</v>
      </c>
      <c r="R491" s="5">
        <v>45919</v>
      </c>
      <c r="S491" t="s">
        <v>33</v>
      </c>
      <c r="T491" s="6">
        <v>4</v>
      </c>
      <c r="U491" t="s">
        <v>48</v>
      </c>
      <c r="V491" s="10">
        <v>248.1</v>
      </c>
      <c r="W491" s="10">
        <v>98.97</v>
      </c>
      <c r="X491" s="10">
        <v>108.44</v>
      </c>
      <c r="Y491" s="11">
        <v>0.43708182184602989</v>
      </c>
      <c r="Z491" s="6">
        <v>-2</v>
      </c>
      <c r="AA491" t="s">
        <v>35</v>
      </c>
    </row>
    <row r="492" spans="1:27" x14ac:dyDescent="0.25">
      <c r="A492" t="s">
        <v>633</v>
      </c>
      <c r="B492">
        <v>26</v>
      </c>
      <c r="C492" s="9">
        <v>45909.223564814813</v>
      </c>
      <c r="D492" t="s">
        <v>164</v>
      </c>
      <c r="E492" t="s">
        <v>165</v>
      </c>
      <c r="F492" t="s">
        <v>116</v>
      </c>
      <c r="G492">
        <v>0</v>
      </c>
      <c r="H492" s="6">
        <v>1</v>
      </c>
      <c r="I492" s="10">
        <v>217.39</v>
      </c>
      <c r="J492" s="10">
        <v>511.02</v>
      </c>
      <c r="L492" s="3">
        <v>0</v>
      </c>
      <c r="M492" t="s">
        <v>31</v>
      </c>
      <c r="N492" s="10">
        <v>27.96</v>
      </c>
      <c r="O492" t="s">
        <v>40</v>
      </c>
      <c r="P492" s="5">
        <v>45910</v>
      </c>
      <c r="Q492" s="5">
        <v>45917</v>
      </c>
      <c r="S492" t="s">
        <v>54</v>
      </c>
      <c r="T492" s="6">
        <v>2</v>
      </c>
      <c r="U492" t="s">
        <v>185</v>
      </c>
      <c r="V492" s="10">
        <v>511.02</v>
      </c>
      <c r="W492" s="10">
        <v>217.39</v>
      </c>
      <c r="X492" s="10">
        <v>265.67</v>
      </c>
      <c r="Y492" s="11">
        <v>0.51988180501741621</v>
      </c>
      <c r="Z492" s="6"/>
      <c r="AA492" t="s">
        <v>56</v>
      </c>
    </row>
    <row r="493" spans="1:27" x14ac:dyDescent="0.25">
      <c r="A493" t="s">
        <v>634</v>
      </c>
      <c r="B493">
        <v>114</v>
      </c>
      <c r="C493" s="9">
        <v>45909.323391203703</v>
      </c>
      <c r="D493" t="s">
        <v>198</v>
      </c>
      <c r="E493" t="s">
        <v>199</v>
      </c>
      <c r="F493" t="s">
        <v>116</v>
      </c>
      <c r="G493">
        <v>0</v>
      </c>
      <c r="H493" s="6">
        <v>2</v>
      </c>
      <c r="I493" s="10">
        <v>318.95999999999998</v>
      </c>
      <c r="J493" s="10">
        <v>682.2</v>
      </c>
      <c r="L493" s="3">
        <v>0</v>
      </c>
      <c r="M493" t="s">
        <v>61</v>
      </c>
      <c r="N493" s="10">
        <v>29.79</v>
      </c>
      <c r="O493" t="s">
        <v>40</v>
      </c>
      <c r="P493" s="5">
        <v>45910</v>
      </c>
      <c r="Q493" s="5">
        <v>45917</v>
      </c>
      <c r="R493" s="5">
        <v>45915</v>
      </c>
      <c r="S493" t="s">
        <v>33</v>
      </c>
      <c r="T493" s="6">
        <v>4</v>
      </c>
      <c r="U493" t="s">
        <v>172</v>
      </c>
      <c r="V493" s="10">
        <v>1364.4</v>
      </c>
      <c r="W493" s="10">
        <v>637.91999999999996</v>
      </c>
      <c r="X493" s="10">
        <v>696.69000000000017</v>
      </c>
      <c r="Y493" s="11">
        <v>0.51062005277044864</v>
      </c>
      <c r="Z493" s="6">
        <v>-2</v>
      </c>
      <c r="AA493" t="s">
        <v>35</v>
      </c>
    </row>
    <row r="494" spans="1:27" x14ac:dyDescent="0.25">
      <c r="A494" t="s">
        <v>635</v>
      </c>
      <c r="B494">
        <v>179</v>
      </c>
      <c r="C494" s="9">
        <v>45909.561018518521</v>
      </c>
      <c r="D494" t="s">
        <v>123</v>
      </c>
      <c r="E494" t="s">
        <v>124</v>
      </c>
      <c r="F494" t="s">
        <v>45</v>
      </c>
      <c r="G494">
        <v>0</v>
      </c>
      <c r="H494" s="6">
        <v>3</v>
      </c>
      <c r="I494" s="10">
        <v>196.61</v>
      </c>
      <c r="J494" s="10">
        <v>493.85</v>
      </c>
      <c r="L494" s="3">
        <v>0</v>
      </c>
      <c r="M494" t="s">
        <v>76</v>
      </c>
      <c r="N494" s="10">
        <v>19.39</v>
      </c>
      <c r="O494" t="s">
        <v>62</v>
      </c>
      <c r="P494" s="5">
        <v>45910</v>
      </c>
      <c r="Q494" s="5">
        <v>45920</v>
      </c>
      <c r="R494" s="5">
        <v>45918</v>
      </c>
      <c r="S494" t="s">
        <v>33</v>
      </c>
      <c r="T494" s="6">
        <v>5</v>
      </c>
      <c r="U494" t="s">
        <v>48</v>
      </c>
      <c r="V494" s="10">
        <v>1481.55</v>
      </c>
      <c r="W494" s="10">
        <v>589.83000000000004</v>
      </c>
      <c r="X494" s="10">
        <v>872.33000000000015</v>
      </c>
      <c r="Y494" s="11">
        <v>0.58879551820728293</v>
      </c>
      <c r="Z494" s="6">
        <v>-2</v>
      </c>
      <c r="AA494" t="s">
        <v>35</v>
      </c>
    </row>
    <row r="495" spans="1:27" x14ac:dyDescent="0.25">
      <c r="A495" t="s">
        <v>636</v>
      </c>
      <c r="B495">
        <v>185</v>
      </c>
      <c r="C495" s="9">
        <v>45910.241423611107</v>
      </c>
      <c r="D495" t="s">
        <v>28</v>
      </c>
      <c r="E495" t="s">
        <v>29</v>
      </c>
      <c r="F495" t="s">
        <v>30</v>
      </c>
      <c r="G495">
        <v>2127</v>
      </c>
      <c r="H495" s="6">
        <v>3</v>
      </c>
      <c r="I495" s="10">
        <v>1948.27</v>
      </c>
      <c r="J495" s="10">
        <v>2954.62</v>
      </c>
      <c r="K495" t="s">
        <v>60</v>
      </c>
      <c r="L495" s="3">
        <v>0.2</v>
      </c>
      <c r="M495" t="s">
        <v>61</v>
      </c>
      <c r="N495" s="10">
        <v>107.69</v>
      </c>
      <c r="O495" t="s">
        <v>53</v>
      </c>
      <c r="P495" s="5">
        <v>45912</v>
      </c>
      <c r="Q495" s="5">
        <v>45922</v>
      </c>
      <c r="S495" t="s">
        <v>54</v>
      </c>
      <c r="T495" s="6">
        <v>3</v>
      </c>
      <c r="U495" t="s">
        <v>121</v>
      </c>
      <c r="V495" s="10">
        <v>7091.0880000000006</v>
      </c>
      <c r="W495" s="10">
        <v>5844.8099999999986</v>
      </c>
      <c r="X495" s="10">
        <v>1138.5880000000011</v>
      </c>
      <c r="Y495" s="11">
        <v>0.16056605135911459</v>
      </c>
      <c r="Z495" s="6"/>
      <c r="AA495" t="s">
        <v>56</v>
      </c>
    </row>
    <row r="496" spans="1:27" x14ac:dyDescent="0.25">
      <c r="A496" t="s">
        <v>637</v>
      </c>
      <c r="B496">
        <v>146</v>
      </c>
      <c r="C496" s="9">
        <v>45910.470613425918</v>
      </c>
      <c r="D496" t="s">
        <v>58</v>
      </c>
      <c r="E496" t="s">
        <v>59</v>
      </c>
      <c r="F496" t="s">
        <v>30</v>
      </c>
      <c r="G496">
        <v>4256</v>
      </c>
      <c r="H496" s="6">
        <v>1</v>
      </c>
      <c r="I496" s="10">
        <v>313.79000000000002</v>
      </c>
      <c r="J496" s="10">
        <v>446.95</v>
      </c>
      <c r="L496" s="3">
        <v>0</v>
      </c>
      <c r="M496" t="s">
        <v>31</v>
      </c>
      <c r="N496" s="10">
        <v>134.87</v>
      </c>
      <c r="O496" t="s">
        <v>62</v>
      </c>
      <c r="P496" s="5">
        <v>45911</v>
      </c>
      <c r="Q496" s="5">
        <v>45917</v>
      </c>
      <c r="R496" s="5">
        <v>45917</v>
      </c>
      <c r="S496" t="s">
        <v>33</v>
      </c>
      <c r="T496" s="6">
        <v>4</v>
      </c>
      <c r="U496" t="s">
        <v>112</v>
      </c>
      <c r="V496" s="10">
        <v>446.95</v>
      </c>
      <c r="W496" s="10">
        <v>313.79000000000002</v>
      </c>
      <c r="X496" s="10">
        <v>-1.7100000000000359</v>
      </c>
      <c r="Y496" s="11">
        <v>-3.8259313122274E-3</v>
      </c>
      <c r="Z496" s="6">
        <v>0</v>
      </c>
      <c r="AA496" t="s">
        <v>35</v>
      </c>
    </row>
    <row r="497" spans="1:27" x14ac:dyDescent="0.25">
      <c r="A497" t="s">
        <v>638</v>
      </c>
      <c r="B497">
        <v>190</v>
      </c>
      <c r="C497" s="9">
        <v>45910.498900462961</v>
      </c>
      <c r="D497" t="s">
        <v>92</v>
      </c>
      <c r="E497" t="s">
        <v>93</v>
      </c>
      <c r="F497" t="s">
        <v>52</v>
      </c>
      <c r="G497">
        <v>257</v>
      </c>
      <c r="H497" s="6">
        <v>1</v>
      </c>
      <c r="I497" s="10">
        <v>49.31</v>
      </c>
      <c r="J497" s="10">
        <v>84.61</v>
      </c>
      <c r="K497" t="s">
        <v>60</v>
      </c>
      <c r="L497" s="3">
        <v>0.2</v>
      </c>
      <c r="M497" t="s">
        <v>61</v>
      </c>
      <c r="N497" s="10">
        <v>40.28</v>
      </c>
      <c r="O497" t="s">
        <v>62</v>
      </c>
      <c r="P497" s="5">
        <v>45912</v>
      </c>
      <c r="Q497" s="5">
        <v>45920</v>
      </c>
      <c r="S497" t="s">
        <v>63</v>
      </c>
      <c r="T497" s="6">
        <v>1</v>
      </c>
      <c r="U497" t="s">
        <v>64</v>
      </c>
      <c r="V497" s="10">
        <v>67.688000000000002</v>
      </c>
      <c r="W497" s="10">
        <v>49.31</v>
      </c>
      <c r="X497" s="10">
        <v>-21.902000000000001</v>
      </c>
      <c r="Y497" s="11">
        <v>-0.32357286372769178</v>
      </c>
      <c r="Z497" s="6"/>
      <c r="AA497" t="s">
        <v>56</v>
      </c>
    </row>
    <row r="498" spans="1:27" x14ac:dyDescent="0.25">
      <c r="A498" t="s">
        <v>639</v>
      </c>
      <c r="B498">
        <v>193</v>
      </c>
      <c r="C498" s="9">
        <v>45910.510393518518</v>
      </c>
      <c r="D498" t="s">
        <v>92</v>
      </c>
      <c r="E498" t="s">
        <v>93</v>
      </c>
      <c r="F498" t="s">
        <v>52</v>
      </c>
      <c r="G498">
        <v>295</v>
      </c>
      <c r="H498" s="6">
        <v>1</v>
      </c>
      <c r="I498" s="10">
        <v>39.9</v>
      </c>
      <c r="J498" s="10">
        <v>86.39</v>
      </c>
      <c r="L498" s="3">
        <v>0</v>
      </c>
      <c r="M498" t="s">
        <v>76</v>
      </c>
      <c r="N498" s="10">
        <v>47.93</v>
      </c>
      <c r="O498" t="s">
        <v>62</v>
      </c>
      <c r="P498" s="5">
        <v>45912</v>
      </c>
      <c r="Q498" s="5">
        <v>45922</v>
      </c>
      <c r="R498" s="5">
        <v>45914</v>
      </c>
      <c r="S498" t="s">
        <v>33</v>
      </c>
      <c r="T498" s="6">
        <v>4</v>
      </c>
      <c r="U498" t="s">
        <v>48</v>
      </c>
      <c r="V498" s="10">
        <v>86.39</v>
      </c>
      <c r="W498" s="10">
        <v>39.9</v>
      </c>
      <c r="X498" s="10">
        <v>-1.4399999999999979</v>
      </c>
      <c r="Y498" s="11">
        <v>-1.666859590230348E-2</v>
      </c>
      <c r="Z498" s="6">
        <v>-8</v>
      </c>
      <c r="AA498" t="s">
        <v>35</v>
      </c>
    </row>
    <row r="499" spans="1:27" x14ac:dyDescent="0.25">
      <c r="A499" t="s">
        <v>640</v>
      </c>
      <c r="B499">
        <v>20</v>
      </c>
      <c r="C499" s="9">
        <v>45911.224108796298</v>
      </c>
      <c r="D499" t="s">
        <v>92</v>
      </c>
      <c r="E499" t="s">
        <v>93</v>
      </c>
      <c r="F499" t="s">
        <v>52</v>
      </c>
      <c r="G499">
        <v>210</v>
      </c>
      <c r="H499" s="6">
        <v>3</v>
      </c>
      <c r="I499" s="10">
        <v>20.59</v>
      </c>
      <c r="J499" s="10">
        <v>61.98</v>
      </c>
      <c r="K499" t="s">
        <v>46</v>
      </c>
      <c r="L499" s="3">
        <v>0.1</v>
      </c>
      <c r="M499" t="s">
        <v>61</v>
      </c>
      <c r="N499" s="10">
        <v>35.159999999999997</v>
      </c>
      <c r="O499" t="s">
        <v>47</v>
      </c>
      <c r="P499" s="5">
        <v>45912</v>
      </c>
      <c r="Q499" s="5">
        <v>45918</v>
      </c>
      <c r="R499" s="5">
        <v>45919</v>
      </c>
      <c r="S499" t="s">
        <v>33</v>
      </c>
      <c r="T499" s="6">
        <v>2</v>
      </c>
      <c r="U499" t="s">
        <v>180</v>
      </c>
      <c r="V499" s="10">
        <v>167.346</v>
      </c>
      <c r="W499" s="10">
        <v>61.77</v>
      </c>
      <c r="X499" s="10">
        <v>70.416000000000011</v>
      </c>
      <c r="Y499" s="11">
        <v>0.42078089706356903</v>
      </c>
      <c r="Z499" s="6">
        <v>1</v>
      </c>
      <c r="AA499" t="s">
        <v>103</v>
      </c>
    </row>
    <row r="500" spans="1:27" x14ac:dyDescent="0.25">
      <c r="A500" t="s">
        <v>641</v>
      </c>
      <c r="B500">
        <v>9</v>
      </c>
      <c r="C500" s="9">
        <v>45911.771585648137</v>
      </c>
      <c r="D500" t="s">
        <v>95</v>
      </c>
      <c r="E500" t="s">
        <v>96</v>
      </c>
      <c r="F500" t="s">
        <v>52</v>
      </c>
      <c r="G500">
        <v>583</v>
      </c>
      <c r="H500" s="6">
        <v>1</v>
      </c>
      <c r="I500" s="10">
        <v>18.73</v>
      </c>
      <c r="J500" s="10">
        <v>37.06</v>
      </c>
      <c r="K500" t="s">
        <v>46</v>
      </c>
      <c r="L500" s="3">
        <v>0.1</v>
      </c>
      <c r="M500" t="s">
        <v>31</v>
      </c>
      <c r="N500" s="10">
        <v>57.36</v>
      </c>
      <c r="O500" t="s">
        <v>62</v>
      </c>
      <c r="P500" s="5">
        <v>45912</v>
      </c>
      <c r="Q500" s="5">
        <v>45918</v>
      </c>
      <c r="S500" t="s">
        <v>54</v>
      </c>
      <c r="T500" s="6">
        <v>4</v>
      </c>
      <c r="U500" t="s">
        <v>48</v>
      </c>
      <c r="V500" s="10">
        <v>33.354000000000013</v>
      </c>
      <c r="W500" s="10">
        <v>18.73</v>
      </c>
      <c r="X500" s="10">
        <v>-42.73599999999999</v>
      </c>
      <c r="Y500" s="11">
        <v>-1.281285602926185</v>
      </c>
      <c r="Z500" s="6"/>
      <c r="AA500" t="s">
        <v>56</v>
      </c>
    </row>
    <row r="501" spans="1:27" x14ac:dyDescent="0.25">
      <c r="A501" t="s">
        <v>642</v>
      </c>
      <c r="B501">
        <v>176</v>
      </c>
      <c r="C501" s="9">
        <v>45912.206134259257</v>
      </c>
      <c r="D501" t="s">
        <v>105</v>
      </c>
      <c r="E501" t="s">
        <v>106</v>
      </c>
      <c r="F501" t="s">
        <v>30</v>
      </c>
      <c r="G501">
        <v>2099</v>
      </c>
      <c r="H501" s="6">
        <v>3</v>
      </c>
      <c r="I501" s="10">
        <v>355.67</v>
      </c>
      <c r="J501" s="10">
        <v>684.32</v>
      </c>
      <c r="L501" s="3">
        <v>0</v>
      </c>
      <c r="M501" t="s">
        <v>61</v>
      </c>
      <c r="N501" s="10">
        <v>106.24</v>
      </c>
      <c r="O501" t="s">
        <v>47</v>
      </c>
      <c r="P501" s="5">
        <v>45914</v>
      </c>
      <c r="Q501" s="5">
        <v>45920</v>
      </c>
      <c r="S501" t="s">
        <v>54</v>
      </c>
      <c r="T501" s="6">
        <v>2</v>
      </c>
      <c r="U501" t="s">
        <v>180</v>
      </c>
      <c r="V501" s="10">
        <v>2052.96</v>
      </c>
      <c r="W501" s="10">
        <v>1067.01</v>
      </c>
      <c r="X501" s="10">
        <v>879.71</v>
      </c>
      <c r="Y501" s="11">
        <v>0.42850810536980749</v>
      </c>
      <c r="Z501" s="6"/>
      <c r="AA501" t="s">
        <v>56</v>
      </c>
    </row>
    <row r="502" spans="1:27" x14ac:dyDescent="0.25">
      <c r="A502" t="s">
        <v>643</v>
      </c>
      <c r="B502">
        <v>106</v>
      </c>
      <c r="C502" s="9">
        <v>45912.303090277783</v>
      </c>
      <c r="D502" t="s">
        <v>110</v>
      </c>
      <c r="E502" t="s">
        <v>111</v>
      </c>
      <c r="F502" t="s">
        <v>30</v>
      </c>
      <c r="G502">
        <v>2063</v>
      </c>
      <c r="H502" s="6">
        <v>1</v>
      </c>
      <c r="I502" s="10">
        <v>903.51</v>
      </c>
      <c r="J502" s="10">
        <v>1900.89</v>
      </c>
      <c r="L502" s="3">
        <v>0</v>
      </c>
      <c r="M502" t="s">
        <v>31</v>
      </c>
      <c r="N502" s="10">
        <v>119.54</v>
      </c>
      <c r="O502" t="s">
        <v>157</v>
      </c>
      <c r="P502" s="5">
        <v>45914</v>
      </c>
      <c r="Q502" s="5">
        <v>45920</v>
      </c>
      <c r="R502" s="5">
        <v>45920</v>
      </c>
      <c r="S502" t="s">
        <v>33</v>
      </c>
      <c r="T502" s="6">
        <v>5</v>
      </c>
      <c r="U502" t="s">
        <v>166</v>
      </c>
      <c r="V502" s="10">
        <v>1900.89</v>
      </c>
      <c r="W502" s="10">
        <v>903.51</v>
      </c>
      <c r="X502" s="10">
        <v>877.84000000000015</v>
      </c>
      <c r="Y502" s="11">
        <v>0.46180473357216889</v>
      </c>
      <c r="Z502" s="6">
        <v>0</v>
      </c>
      <c r="AA502" t="s">
        <v>35</v>
      </c>
    </row>
    <row r="503" spans="1:27" x14ac:dyDescent="0.25">
      <c r="A503" t="s">
        <v>644</v>
      </c>
      <c r="B503">
        <v>46</v>
      </c>
      <c r="C503" s="9">
        <v>45912.522824074083</v>
      </c>
      <c r="D503" t="s">
        <v>71</v>
      </c>
      <c r="E503" t="s">
        <v>72</v>
      </c>
      <c r="F503" t="s">
        <v>52</v>
      </c>
      <c r="G503">
        <v>267</v>
      </c>
      <c r="H503" s="6">
        <v>1</v>
      </c>
      <c r="I503" s="10">
        <v>75.81</v>
      </c>
      <c r="J503" s="10">
        <v>120.14</v>
      </c>
      <c r="L503" s="3">
        <v>0</v>
      </c>
      <c r="M503" t="s">
        <v>31</v>
      </c>
      <c r="N503" s="10">
        <v>49.3</v>
      </c>
      <c r="O503" t="s">
        <v>47</v>
      </c>
      <c r="P503" s="5">
        <v>45914</v>
      </c>
      <c r="Q503" s="5">
        <v>45922</v>
      </c>
      <c r="R503" s="5">
        <v>45917</v>
      </c>
      <c r="S503" t="s">
        <v>33</v>
      </c>
      <c r="T503" s="6">
        <v>5</v>
      </c>
      <c r="U503" t="s">
        <v>166</v>
      </c>
      <c r="V503" s="10">
        <v>120.14</v>
      </c>
      <c r="W503" s="10">
        <v>75.81</v>
      </c>
      <c r="X503" s="10">
        <v>-4.9699999999999989</v>
      </c>
      <c r="Y503" s="11">
        <v>-4.1368403529215912E-2</v>
      </c>
      <c r="Z503" s="6">
        <v>-5</v>
      </c>
      <c r="AA503" t="s">
        <v>35</v>
      </c>
    </row>
    <row r="504" spans="1:27" x14ac:dyDescent="0.25">
      <c r="A504" t="s">
        <v>645</v>
      </c>
      <c r="B504">
        <v>5</v>
      </c>
      <c r="C504" s="9">
        <v>45913.559166666673</v>
      </c>
      <c r="D504" t="s">
        <v>164</v>
      </c>
      <c r="E504" t="s">
        <v>165</v>
      </c>
      <c r="F504" t="s">
        <v>116</v>
      </c>
      <c r="G504">
        <v>0</v>
      </c>
      <c r="H504" s="6">
        <v>3</v>
      </c>
      <c r="I504" s="10">
        <v>361.26</v>
      </c>
      <c r="J504" s="10">
        <v>535.03</v>
      </c>
      <c r="K504" t="s">
        <v>46</v>
      </c>
      <c r="L504" s="3">
        <v>0.1</v>
      </c>
      <c r="M504" t="s">
        <v>31</v>
      </c>
      <c r="N504" s="10">
        <v>18.5</v>
      </c>
      <c r="O504" t="s">
        <v>97</v>
      </c>
      <c r="P504" s="5">
        <v>45914</v>
      </c>
      <c r="Q504" s="5">
        <v>45924</v>
      </c>
      <c r="R504" s="5">
        <v>45920</v>
      </c>
      <c r="S504" t="s">
        <v>33</v>
      </c>
      <c r="T504" s="6">
        <v>5</v>
      </c>
      <c r="U504" t="s">
        <v>112</v>
      </c>
      <c r="V504" s="10">
        <v>1444.5809999999999</v>
      </c>
      <c r="W504" s="10">
        <v>1083.78</v>
      </c>
      <c r="X504" s="10">
        <v>342.30099999999987</v>
      </c>
      <c r="Y504" s="11">
        <v>0.23695521400323</v>
      </c>
      <c r="Z504" s="6">
        <v>-4</v>
      </c>
      <c r="AA504" t="s">
        <v>35</v>
      </c>
    </row>
    <row r="505" spans="1:27" x14ac:dyDescent="0.25">
      <c r="A505" t="s">
        <v>646</v>
      </c>
      <c r="B505">
        <v>141</v>
      </c>
      <c r="C505" s="9">
        <v>45913.575937499998</v>
      </c>
      <c r="D505" t="s">
        <v>28</v>
      </c>
      <c r="E505" t="s">
        <v>29</v>
      </c>
      <c r="F505" t="s">
        <v>30</v>
      </c>
      <c r="G505">
        <v>2510</v>
      </c>
      <c r="H505" s="6">
        <v>2</v>
      </c>
      <c r="I505" s="10">
        <v>2009.52</v>
      </c>
      <c r="J505" s="10">
        <v>3531.42</v>
      </c>
      <c r="L505" s="3">
        <v>0</v>
      </c>
      <c r="M505" t="s">
        <v>31</v>
      </c>
      <c r="N505" s="10">
        <v>118.41</v>
      </c>
      <c r="O505" t="s">
        <v>150</v>
      </c>
      <c r="P505" s="5">
        <v>45915</v>
      </c>
      <c r="Q505" s="5">
        <v>45925</v>
      </c>
      <c r="S505" t="s">
        <v>63</v>
      </c>
      <c r="T505" s="6">
        <v>1</v>
      </c>
      <c r="U505" t="s">
        <v>162</v>
      </c>
      <c r="V505" s="10">
        <v>7062.84</v>
      </c>
      <c r="W505" s="10">
        <v>4019.04</v>
      </c>
      <c r="X505" s="10">
        <v>2925.39</v>
      </c>
      <c r="Y505" s="11">
        <v>0.41419457328779929</v>
      </c>
      <c r="Z505" s="6"/>
      <c r="AA505" t="s">
        <v>56</v>
      </c>
    </row>
    <row r="506" spans="1:27" x14ac:dyDescent="0.25">
      <c r="A506" t="s">
        <v>647</v>
      </c>
      <c r="B506">
        <v>68</v>
      </c>
      <c r="C506" s="9">
        <v>45913.85056712963</v>
      </c>
      <c r="D506" t="s">
        <v>28</v>
      </c>
      <c r="E506" t="s">
        <v>29</v>
      </c>
      <c r="F506" t="s">
        <v>30</v>
      </c>
      <c r="G506">
        <v>2164</v>
      </c>
      <c r="H506" s="6">
        <v>2</v>
      </c>
      <c r="I506" s="10">
        <v>2205.25</v>
      </c>
      <c r="J506" s="10">
        <v>3305.91</v>
      </c>
      <c r="L506" s="3">
        <v>0</v>
      </c>
      <c r="M506" t="s">
        <v>31</v>
      </c>
      <c r="N506" s="10">
        <v>121.76</v>
      </c>
      <c r="O506" t="s">
        <v>101</v>
      </c>
      <c r="P506" s="5">
        <v>45914</v>
      </c>
      <c r="Q506" s="5">
        <v>45923</v>
      </c>
      <c r="R506" s="5">
        <v>45918</v>
      </c>
      <c r="S506" t="s">
        <v>33</v>
      </c>
      <c r="T506" s="6">
        <v>4</v>
      </c>
      <c r="U506" t="s">
        <v>172</v>
      </c>
      <c r="V506" s="10">
        <v>6611.82</v>
      </c>
      <c r="W506" s="10">
        <v>4410.5</v>
      </c>
      <c r="X506" s="10">
        <v>2079.559999999999</v>
      </c>
      <c r="Y506" s="11">
        <v>0.31452156894773292</v>
      </c>
      <c r="Z506" s="6">
        <v>-5</v>
      </c>
      <c r="AA506" t="s">
        <v>35</v>
      </c>
    </row>
    <row r="507" spans="1:27" x14ac:dyDescent="0.25">
      <c r="A507" t="s">
        <v>648</v>
      </c>
      <c r="B507">
        <v>106</v>
      </c>
      <c r="C507" s="9">
        <v>45913.89603009259</v>
      </c>
      <c r="D507" t="s">
        <v>89</v>
      </c>
      <c r="E507" t="s">
        <v>90</v>
      </c>
      <c r="F507" t="s">
        <v>52</v>
      </c>
      <c r="G507">
        <v>220</v>
      </c>
      <c r="H507" s="6">
        <v>2</v>
      </c>
      <c r="I507" s="10">
        <v>68.900000000000006</v>
      </c>
      <c r="J507" s="10">
        <v>84.97</v>
      </c>
      <c r="L507" s="3">
        <v>0</v>
      </c>
      <c r="M507" t="s">
        <v>31</v>
      </c>
      <c r="N507" s="10">
        <v>22.33</v>
      </c>
      <c r="O507" t="s">
        <v>47</v>
      </c>
      <c r="P507" s="5">
        <v>45914</v>
      </c>
      <c r="Q507" s="5">
        <v>45923</v>
      </c>
      <c r="R507" s="5">
        <v>45922</v>
      </c>
      <c r="S507" t="s">
        <v>33</v>
      </c>
      <c r="T507" s="6">
        <v>4</v>
      </c>
      <c r="U507" t="s">
        <v>77</v>
      </c>
      <c r="V507" s="10">
        <v>169.94</v>
      </c>
      <c r="W507" s="10">
        <v>137.80000000000001</v>
      </c>
      <c r="X507" s="10">
        <v>9.8099999999999881</v>
      </c>
      <c r="Y507" s="11">
        <v>5.7726256325761963E-2</v>
      </c>
      <c r="Z507" s="6">
        <v>-1</v>
      </c>
      <c r="AA507" t="s">
        <v>35</v>
      </c>
    </row>
    <row r="508" spans="1:27" x14ac:dyDescent="0.25">
      <c r="A508" t="s">
        <v>649</v>
      </c>
      <c r="B508">
        <v>120</v>
      </c>
      <c r="C508" s="9">
        <v>45914.168715277781</v>
      </c>
      <c r="D508" t="s">
        <v>74</v>
      </c>
      <c r="E508" t="s">
        <v>75</v>
      </c>
      <c r="F508" t="s">
        <v>30</v>
      </c>
      <c r="G508">
        <v>2875</v>
      </c>
      <c r="H508" s="6">
        <v>1</v>
      </c>
      <c r="I508" s="10">
        <v>2288.94</v>
      </c>
      <c r="J508" s="10">
        <v>3511.23</v>
      </c>
      <c r="L508" s="3">
        <v>0</v>
      </c>
      <c r="M508" t="s">
        <v>31</v>
      </c>
      <c r="N508" s="10">
        <v>82.97</v>
      </c>
      <c r="O508" t="s">
        <v>133</v>
      </c>
      <c r="P508" s="5">
        <v>45916</v>
      </c>
      <c r="Q508" s="5">
        <v>45921</v>
      </c>
      <c r="R508" s="5">
        <v>45920</v>
      </c>
      <c r="S508" t="s">
        <v>33</v>
      </c>
      <c r="T508" s="6">
        <v>5</v>
      </c>
      <c r="U508" t="s">
        <v>79</v>
      </c>
      <c r="V508" s="10">
        <v>3511.23</v>
      </c>
      <c r="W508" s="10">
        <v>2288.94</v>
      </c>
      <c r="X508" s="10">
        <v>1139.32</v>
      </c>
      <c r="Y508" s="11">
        <v>0.32447888631619121</v>
      </c>
      <c r="Z508" s="6">
        <v>-1</v>
      </c>
      <c r="AA508" t="s">
        <v>35</v>
      </c>
    </row>
    <row r="509" spans="1:27" x14ac:dyDescent="0.25">
      <c r="A509" t="s">
        <v>650</v>
      </c>
      <c r="B509">
        <v>135</v>
      </c>
      <c r="C509" s="9">
        <v>45914.923148148147</v>
      </c>
      <c r="D509" t="s">
        <v>58</v>
      </c>
      <c r="E509" t="s">
        <v>59</v>
      </c>
      <c r="F509" t="s">
        <v>30</v>
      </c>
      <c r="G509">
        <v>4829</v>
      </c>
      <c r="H509" s="6">
        <v>2</v>
      </c>
      <c r="I509" s="10">
        <v>214.69</v>
      </c>
      <c r="J509" s="10">
        <v>437.7</v>
      </c>
      <c r="L509" s="3">
        <v>0</v>
      </c>
      <c r="M509" t="s">
        <v>31</v>
      </c>
      <c r="N509" s="10">
        <v>76.87</v>
      </c>
      <c r="O509" t="s">
        <v>62</v>
      </c>
      <c r="P509" s="5">
        <v>45916</v>
      </c>
      <c r="Q509" s="5">
        <v>45926</v>
      </c>
      <c r="S509" t="s">
        <v>63</v>
      </c>
      <c r="T509" s="6">
        <v>3</v>
      </c>
      <c r="U509" t="s">
        <v>55</v>
      </c>
      <c r="V509" s="10">
        <v>875.4</v>
      </c>
      <c r="W509" s="10">
        <v>429.38</v>
      </c>
      <c r="X509" s="10">
        <v>369.15</v>
      </c>
      <c r="Y509" s="11">
        <v>0.42169294037011651</v>
      </c>
      <c r="Z509" s="6"/>
      <c r="AA509" t="s">
        <v>56</v>
      </c>
    </row>
    <row r="510" spans="1:27" x14ac:dyDescent="0.25">
      <c r="A510" t="s">
        <v>651</v>
      </c>
      <c r="B510">
        <v>123</v>
      </c>
      <c r="C510" s="9">
        <v>45915.413460648153</v>
      </c>
      <c r="D510" t="s">
        <v>66</v>
      </c>
      <c r="E510" t="s">
        <v>67</v>
      </c>
      <c r="F510" t="s">
        <v>52</v>
      </c>
      <c r="G510">
        <v>297</v>
      </c>
      <c r="H510" s="6">
        <v>3</v>
      </c>
      <c r="I510" s="10">
        <v>65.38</v>
      </c>
      <c r="J510" s="10">
        <v>89.87</v>
      </c>
      <c r="L510" s="3">
        <v>0</v>
      </c>
      <c r="M510" t="s">
        <v>76</v>
      </c>
      <c r="N510" s="10">
        <v>49.2</v>
      </c>
      <c r="O510" t="s">
        <v>47</v>
      </c>
      <c r="P510" s="5">
        <v>45916</v>
      </c>
      <c r="Q510" s="5">
        <v>45924</v>
      </c>
      <c r="R510" s="5">
        <v>45919</v>
      </c>
      <c r="S510" t="s">
        <v>33</v>
      </c>
      <c r="T510" s="6">
        <v>4</v>
      </c>
      <c r="U510" t="s">
        <v>34</v>
      </c>
      <c r="V510" s="10">
        <v>269.61</v>
      </c>
      <c r="W510" s="10">
        <v>196.14</v>
      </c>
      <c r="X510" s="10">
        <v>24.270000000000021</v>
      </c>
      <c r="Y510" s="11">
        <v>9.0018916212306746E-2</v>
      </c>
      <c r="Z510" s="6">
        <v>-5</v>
      </c>
      <c r="AA510" t="s">
        <v>35</v>
      </c>
    </row>
    <row r="511" spans="1:27" x14ac:dyDescent="0.25">
      <c r="A511" t="s">
        <v>652</v>
      </c>
      <c r="B511">
        <v>6</v>
      </c>
      <c r="C511" s="9">
        <v>45915.423784722218</v>
      </c>
      <c r="D511" t="s">
        <v>155</v>
      </c>
      <c r="E511" t="s">
        <v>156</v>
      </c>
      <c r="F511" t="s">
        <v>30</v>
      </c>
      <c r="G511">
        <v>4046</v>
      </c>
      <c r="H511" s="6">
        <v>1</v>
      </c>
      <c r="I511" s="10">
        <v>549.24</v>
      </c>
      <c r="J511" s="10">
        <v>1503.73</v>
      </c>
      <c r="L511" s="3">
        <v>0</v>
      </c>
      <c r="M511" t="s">
        <v>39</v>
      </c>
      <c r="N511" s="10">
        <v>57.91</v>
      </c>
      <c r="O511" t="s">
        <v>97</v>
      </c>
      <c r="P511" s="5">
        <v>45917</v>
      </c>
      <c r="Q511" s="5">
        <v>45925</v>
      </c>
      <c r="R511" s="5">
        <v>45921</v>
      </c>
      <c r="S511" t="s">
        <v>33</v>
      </c>
      <c r="T511" s="6">
        <v>5</v>
      </c>
      <c r="U511" t="s">
        <v>48</v>
      </c>
      <c r="V511" s="10">
        <v>1503.73</v>
      </c>
      <c r="W511" s="10">
        <v>549.24</v>
      </c>
      <c r="X511" s="10">
        <v>896.58</v>
      </c>
      <c r="Y511" s="11">
        <v>0.59623735644031839</v>
      </c>
      <c r="Z511" s="6">
        <v>-4</v>
      </c>
      <c r="AA511" t="s">
        <v>35</v>
      </c>
    </row>
    <row r="512" spans="1:27" x14ac:dyDescent="0.25">
      <c r="A512" t="s">
        <v>653</v>
      </c>
      <c r="B512">
        <v>83</v>
      </c>
      <c r="C512" s="9">
        <v>45915.462719907409</v>
      </c>
      <c r="D512" t="s">
        <v>105</v>
      </c>
      <c r="E512" t="s">
        <v>106</v>
      </c>
      <c r="F512" t="s">
        <v>30</v>
      </c>
      <c r="G512">
        <v>2066</v>
      </c>
      <c r="H512" s="6">
        <v>1</v>
      </c>
      <c r="I512" s="10">
        <v>286.72000000000003</v>
      </c>
      <c r="J512" s="10">
        <v>636.22</v>
      </c>
      <c r="L512" s="3">
        <v>0</v>
      </c>
      <c r="M512" t="s">
        <v>61</v>
      </c>
      <c r="N512" s="10">
        <v>123.2</v>
      </c>
      <c r="O512" t="s">
        <v>62</v>
      </c>
      <c r="P512" s="5">
        <v>45917</v>
      </c>
      <c r="Q512" s="5">
        <v>45923</v>
      </c>
      <c r="R512" s="5">
        <v>45921</v>
      </c>
      <c r="S512" t="s">
        <v>33</v>
      </c>
      <c r="T512" s="6">
        <v>5</v>
      </c>
      <c r="U512" t="s">
        <v>41</v>
      </c>
      <c r="V512" s="10">
        <v>636.22</v>
      </c>
      <c r="W512" s="10">
        <v>286.72000000000003</v>
      </c>
      <c r="X512" s="10">
        <v>226.3</v>
      </c>
      <c r="Y512" s="11">
        <v>0.35569457106032498</v>
      </c>
      <c r="Z512" s="6">
        <v>-2</v>
      </c>
      <c r="AA512" t="s">
        <v>35</v>
      </c>
    </row>
    <row r="513" spans="1:27" x14ac:dyDescent="0.25">
      <c r="A513" t="s">
        <v>654</v>
      </c>
      <c r="B513">
        <v>146</v>
      </c>
      <c r="C513" s="9">
        <v>45915.603842592587</v>
      </c>
      <c r="D513" t="s">
        <v>123</v>
      </c>
      <c r="E513" t="s">
        <v>124</v>
      </c>
      <c r="F513" t="s">
        <v>45</v>
      </c>
      <c r="G513">
        <v>0</v>
      </c>
      <c r="H513" s="6">
        <v>3</v>
      </c>
      <c r="I513" s="10">
        <v>73.31</v>
      </c>
      <c r="J513" s="10">
        <v>99.46</v>
      </c>
      <c r="L513" s="3">
        <v>0</v>
      </c>
      <c r="M513" t="s">
        <v>31</v>
      </c>
      <c r="N513" s="10">
        <v>25.91</v>
      </c>
      <c r="O513" t="s">
        <v>97</v>
      </c>
      <c r="P513" s="5">
        <v>45917</v>
      </c>
      <c r="Q513" s="5">
        <v>45926</v>
      </c>
      <c r="R513" s="5">
        <v>45926</v>
      </c>
      <c r="S513" t="s">
        <v>33</v>
      </c>
      <c r="T513" s="6">
        <v>5</v>
      </c>
      <c r="U513" t="s">
        <v>172</v>
      </c>
      <c r="V513" s="10">
        <v>298.38</v>
      </c>
      <c r="W513" s="10">
        <v>219.93</v>
      </c>
      <c r="X513" s="10">
        <v>52.539999999999992</v>
      </c>
      <c r="Y513" s="11">
        <v>0.1760841879482539</v>
      </c>
      <c r="Z513" s="6">
        <v>0</v>
      </c>
      <c r="AA513" t="s">
        <v>35</v>
      </c>
    </row>
    <row r="514" spans="1:27" x14ac:dyDescent="0.25">
      <c r="A514" t="s">
        <v>655</v>
      </c>
      <c r="B514">
        <v>188</v>
      </c>
      <c r="C514" s="9">
        <v>45915.752500000002</v>
      </c>
      <c r="D514" t="s">
        <v>114</v>
      </c>
      <c r="E514" t="s">
        <v>115</v>
      </c>
      <c r="F514" t="s">
        <v>116</v>
      </c>
      <c r="G514">
        <v>0</v>
      </c>
      <c r="H514" s="6">
        <v>1</v>
      </c>
      <c r="I514" s="10">
        <v>338.85</v>
      </c>
      <c r="J514" s="10">
        <v>450.76</v>
      </c>
      <c r="L514" s="3">
        <v>0</v>
      </c>
      <c r="M514" t="s">
        <v>31</v>
      </c>
      <c r="N514" s="10">
        <v>27.34</v>
      </c>
      <c r="O514" t="s">
        <v>83</v>
      </c>
      <c r="P514" s="5">
        <v>45917</v>
      </c>
      <c r="Q514" s="5">
        <v>45924</v>
      </c>
      <c r="R514" s="5">
        <v>45924</v>
      </c>
      <c r="S514" t="s">
        <v>33</v>
      </c>
      <c r="T514" s="6">
        <v>4</v>
      </c>
      <c r="U514" t="s">
        <v>117</v>
      </c>
      <c r="V514" s="10">
        <v>450.76</v>
      </c>
      <c r="W514" s="10">
        <v>338.85</v>
      </c>
      <c r="X514" s="10">
        <v>84.569999999999965</v>
      </c>
      <c r="Y514" s="11">
        <v>0.18761646996184209</v>
      </c>
      <c r="Z514" s="6">
        <v>0</v>
      </c>
      <c r="AA514" t="s">
        <v>35</v>
      </c>
    </row>
    <row r="515" spans="1:27" x14ac:dyDescent="0.25">
      <c r="A515" t="s">
        <v>656</v>
      </c>
      <c r="B515">
        <v>107</v>
      </c>
      <c r="C515" s="9">
        <v>45915.84039351852</v>
      </c>
      <c r="D515" t="s">
        <v>43</v>
      </c>
      <c r="E515" t="s">
        <v>44</v>
      </c>
      <c r="F515" t="s">
        <v>45</v>
      </c>
      <c r="G515">
        <v>0</v>
      </c>
      <c r="H515" s="6">
        <v>1</v>
      </c>
      <c r="I515" s="10">
        <v>50.61</v>
      </c>
      <c r="J515" s="10">
        <v>59.99</v>
      </c>
      <c r="L515" s="3">
        <v>0</v>
      </c>
      <c r="M515" t="s">
        <v>76</v>
      </c>
      <c r="N515" s="10">
        <v>19.190000000000001</v>
      </c>
      <c r="O515" t="s">
        <v>68</v>
      </c>
      <c r="P515" s="5">
        <v>45916</v>
      </c>
      <c r="Q515" s="5">
        <v>45922</v>
      </c>
      <c r="R515" s="5">
        <v>45919</v>
      </c>
      <c r="S515" t="s">
        <v>33</v>
      </c>
      <c r="T515" s="6">
        <v>5</v>
      </c>
      <c r="U515" t="s">
        <v>172</v>
      </c>
      <c r="V515" s="10">
        <v>59.99</v>
      </c>
      <c r="W515" s="10">
        <v>50.61</v>
      </c>
      <c r="X515" s="10">
        <v>-9.8099999999999987</v>
      </c>
      <c r="Y515" s="11">
        <v>-0.1635272545424237</v>
      </c>
      <c r="Z515" s="6">
        <v>-3</v>
      </c>
      <c r="AA515" t="s">
        <v>35</v>
      </c>
    </row>
    <row r="516" spans="1:27" x14ac:dyDescent="0.25">
      <c r="A516" t="s">
        <v>657</v>
      </c>
      <c r="B516">
        <v>81</v>
      </c>
      <c r="C516" s="9">
        <v>45915.959039351852</v>
      </c>
      <c r="D516" t="s">
        <v>50</v>
      </c>
      <c r="E516" t="s">
        <v>51</v>
      </c>
      <c r="F516" t="s">
        <v>52</v>
      </c>
      <c r="G516">
        <v>635</v>
      </c>
      <c r="H516" s="6">
        <v>1</v>
      </c>
      <c r="I516" s="10">
        <v>96.23</v>
      </c>
      <c r="J516" s="10">
        <v>312.41000000000003</v>
      </c>
      <c r="K516" t="s">
        <v>46</v>
      </c>
      <c r="L516" s="3">
        <v>0.1</v>
      </c>
      <c r="M516" t="s">
        <v>76</v>
      </c>
      <c r="N516" s="10">
        <v>30.22</v>
      </c>
      <c r="O516" t="s">
        <v>157</v>
      </c>
      <c r="P516" s="5">
        <v>45917</v>
      </c>
      <c r="Q516" s="5">
        <v>45922</v>
      </c>
      <c r="R516" s="5">
        <v>45921</v>
      </c>
      <c r="S516" t="s">
        <v>33</v>
      </c>
      <c r="T516" s="6">
        <v>4</v>
      </c>
      <c r="U516" t="s">
        <v>84</v>
      </c>
      <c r="V516" s="10">
        <v>281.16899999999998</v>
      </c>
      <c r="W516" s="10">
        <v>96.23</v>
      </c>
      <c r="X516" s="10">
        <v>154.71899999999999</v>
      </c>
      <c r="Y516" s="11">
        <v>0.5502704778976345</v>
      </c>
      <c r="Z516" s="6">
        <v>-1</v>
      </c>
      <c r="AA516" t="s">
        <v>35</v>
      </c>
    </row>
    <row r="517" spans="1:27" x14ac:dyDescent="0.25">
      <c r="A517" t="s">
        <v>658</v>
      </c>
      <c r="B517">
        <v>57</v>
      </c>
      <c r="C517" s="9">
        <v>45916.025254629632</v>
      </c>
      <c r="D517" t="s">
        <v>71</v>
      </c>
      <c r="E517" t="s">
        <v>72</v>
      </c>
      <c r="F517" t="s">
        <v>52</v>
      </c>
      <c r="G517">
        <v>235</v>
      </c>
      <c r="H517" s="6">
        <v>1</v>
      </c>
      <c r="I517" s="10">
        <v>46.82</v>
      </c>
      <c r="J517" s="10">
        <v>72</v>
      </c>
      <c r="L517" s="3">
        <v>0</v>
      </c>
      <c r="M517" t="s">
        <v>31</v>
      </c>
      <c r="N517" s="10">
        <v>44.26</v>
      </c>
      <c r="O517" t="s">
        <v>32</v>
      </c>
      <c r="P517" s="5">
        <v>45918</v>
      </c>
      <c r="Q517" s="5">
        <v>45923</v>
      </c>
      <c r="R517" s="5">
        <v>45921</v>
      </c>
      <c r="S517" t="s">
        <v>33</v>
      </c>
      <c r="T517" s="6">
        <v>5</v>
      </c>
      <c r="U517" t="s">
        <v>77</v>
      </c>
      <c r="V517" s="10">
        <v>72</v>
      </c>
      <c r="W517" s="10">
        <v>46.82</v>
      </c>
      <c r="X517" s="10">
        <v>-19.079999999999998</v>
      </c>
      <c r="Y517" s="11">
        <v>-0.26500000000000001</v>
      </c>
      <c r="Z517" s="6">
        <v>-2</v>
      </c>
      <c r="AA517" t="s">
        <v>35</v>
      </c>
    </row>
    <row r="518" spans="1:27" x14ac:dyDescent="0.25">
      <c r="A518" t="s">
        <v>659</v>
      </c>
      <c r="B518">
        <v>88</v>
      </c>
      <c r="C518" s="9">
        <v>45916.145787037043</v>
      </c>
      <c r="D518" t="s">
        <v>198</v>
      </c>
      <c r="E518" t="s">
        <v>199</v>
      </c>
      <c r="F518" t="s">
        <v>116</v>
      </c>
      <c r="G518">
        <v>0</v>
      </c>
      <c r="H518" s="6">
        <v>1</v>
      </c>
      <c r="I518" s="10">
        <v>482.09</v>
      </c>
      <c r="J518" s="10">
        <v>591.33000000000004</v>
      </c>
      <c r="L518" s="3">
        <v>0</v>
      </c>
      <c r="M518" t="s">
        <v>76</v>
      </c>
      <c r="N518" s="10">
        <v>15.9</v>
      </c>
      <c r="O518" t="s">
        <v>53</v>
      </c>
      <c r="P518" s="5">
        <v>45917</v>
      </c>
      <c r="Q518" s="5">
        <v>45926</v>
      </c>
      <c r="R518" s="5">
        <v>45921</v>
      </c>
      <c r="S518" t="s">
        <v>33</v>
      </c>
      <c r="T518" s="6">
        <v>5</v>
      </c>
      <c r="U518" t="s">
        <v>69</v>
      </c>
      <c r="V518" s="10">
        <v>591.33000000000004</v>
      </c>
      <c r="W518" s="10">
        <v>482.09</v>
      </c>
      <c r="X518" s="10">
        <v>93.34000000000006</v>
      </c>
      <c r="Y518" s="11">
        <v>0.1578475639659751</v>
      </c>
      <c r="Z518" s="6">
        <v>-5</v>
      </c>
      <c r="AA518" t="s">
        <v>35</v>
      </c>
    </row>
    <row r="519" spans="1:27" x14ac:dyDescent="0.25">
      <c r="A519" t="s">
        <v>660</v>
      </c>
      <c r="B519">
        <v>84</v>
      </c>
      <c r="C519" s="9">
        <v>45916.195902777778</v>
      </c>
      <c r="D519" t="s">
        <v>74</v>
      </c>
      <c r="E519" t="s">
        <v>75</v>
      </c>
      <c r="F519" t="s">
        <v>30</v>
      </c>
      <c r="G519">
        <v>2680</v>
      </c>
      <c r="H519" s="6">
        <v>1</v>
      </c>
      <c r="I519" s="10">
        <v>2155.4299999999998</v>
      </c>
      <c r="J519" s="10">
        <v>4804.41</v>
      </c>
      <c r="L519" s="3">
        <v>0</v>
      </c>
      <c r="M519" t="s">
        <v>61</v>
      </c>
      <c r="N519" s="10">
        <v>121.41</v>
      </c>
      <c r="O519" t="s">
        <v>83</v>
      </c>
      <c r="P519" s="5">
        <v>45917</v>
      </c>
      <c r="Q519" s="5">
        <v>45927</v>
      </c>
      <c r="R519" s="5">
        <v>45923</v>
      </c>
      <c r="S519" t="s">
        <v>33</v>
      </c>
      <c r="T519" s="6">
        <v>5</v>
      </c>
      <c r="U519" t="s">
        <v>211</v>
      </c>
      <c r="V519" s="10">
        <v>4804.41</v>
      </c>
      <c r="W519" s="10">
        <v>2155.4299999999998</v>
      </c>
      <c r="X519" s="10">
        <v>2527.5700000000002</v>
      </c>
      <c r="Y519" s="11">
        <v>0.52609373471456433</v>
      </c>
      <c r="Z519" s="6">
        <v>-4</v>
      </c>
      <c r="AA519" t="s">
        <v>35</v>
      </c>
    </row>
    <row r="520" spans="1:27" x14ac:dyDescent="0.25">
      <c r="A520" t="s">
        <v>661</v>
      </c>
      <c r="B520">
        <v>34</v>
      </c>
      <c r="C520" s="9">
        <v>45916.290092592593</v>
      </c>
      <c r="D520" t="s">
        <v>105</v>
      </c>
      <c r="E520" t="s">
        <v>106</v>
      </c>
      <c r="F520" t="s">
        <v>30</v>
      </c>
      <c r="G520">
        <v>2084</v>
      </c>
      <c r="H520" s="6">
        <v>2</v>
      </c>
      <c r="I520" s="10">
        <v>297.06</v>
      </c>
      <c r="J520" s="10">
        <v>372.83</v>
      </c>
      <c r="K520" t="s">
        <v>60</v>
      </c>
      <c r="L520" s="3">
        <v>0.2</v>
      </c>
      <c r="M520" t="s">
        <v>76</v>
      </c>
      <c r="N520" s="10">
        <v>146.80000000000001</v>
      </c>
      <c r="O520" t="s">
        <v>97</v>
      </c>
      <c r="P520" s="5">
        <v>45917</v>
      </c>
      <c r="Q520" s="5">
        <v>45927</v>
      </c>
      <c r="S520" t="s">
        <v>54</v>
      </c>
      <c r="T520" s="6">
        <v>3</v>
      </c>
      <c r="U520" t="s">
        <v>352</v>
      </c>
      <c r="V520" s="10">
        <v>596.52800000000002</v>
      </c>
      <c r="W520" s="10">
        <v>594.12</v>
      </c>
      <c r="X520" s="10">
        <v>-144.392</v>
      </c>
      <c r="Y520" s="11">
        <v>-0.24205401925810691</v>
      </c>
      <c r="Z520" s="6"/>
      <c r="AA520" t="s">
        <v>56</v>
      </c>
    </row>
    <row r="521" spans="1:27" x14ac:dyDescent="0.25">
      <c r="A521" t="s">
        <v>662</v>
      </c>
      <c r="B521">
        <v>117</v>
      </c>
      <c r="C521" s="9">
        <v>45916.378912037027</v>
      </c>
      <c r="D521" t="s">
        <v>114</v>
      </c>
      <c r="E521" t="s">
        <v>115</v>
      </c>
      <c r="F521" t="s">
        <v>116</v>
      </c>
      <c r="G521">
        <v>0</v>
      </c>
      <c r="H521" s="6">
        <v>3</v>
      </c>
      <c r="I521" s="10">
        <v>420.3</v>
      </c>
      <c r="J521" s="10">
        <v>508.63</v>
      </c>
      <c r="L521" s="3">
        <v>0</v>
      </c>
      <c r="M521" t="s">
        <v>39</v>
      </c>
      <c r="N521" s="10">
        <v>26.31</v>
      </c>
      <c r="O521" t="s">
        <v>47</v>
      </c>
      <c r="P521" s="5">
        <v>45917</v>
      </c>
      <c r="Q521" s="5">
        <v>45924</v>
      </c>
      <c r="R521" s="5">
        <v>45921</v>
      </c>
      <c r="S521" t="s">
        <v>33</v>
      </c>
      <c r="T521" s="6">
        <v>5</v>
      </c>
      <c r="U521" t="s">
        <v>117</v>
      </c>
      <c r="V521" s="10">
        <v>1525.89</v>
      </c>
      <c r="W521" s="10">
        <v>1260.9000000000001</v>
      </c>
      <c r="X521" s="10">
        <v>238.67999999999981</v>
      </c>
      <c r="Y521" s="11">
        <v>0.15642018756266821</v>
      </c>
      <c r="Z521" s="6">
        <v>-3</v>
      </c>
      <c r="AA521" t="s">
        <v>35</v>
      </c>
    </row>
    <row r="522" spans="1:27" x14ac:dyDescent="0.25">
      <c r="A522" t="s">
        <v>663</v>
      </c>
      <c r="B522">
        <v>28</v>
      </c>
      <c r="C522" s="9">
        <v>45916.640243055554</v>
      </c>
      <c r="D522" t="s">
        <v>105</v>
      </c>
      <c r="E522" t="s">
        <v>106</v>
      </c>
      <c r="F522" t="s">
        <v>30</v>
      </c>
      <c r="G522">
        <v>2085</v>
      </c>
      <c r="H522" s="6">
        <v>2</v>
      </c>
      <c r="I522" s="10">
        <v>296.63</v>
      </c>
      <c r="J522" s="10">
        <v>529.09</v>
      </c>
      <c r="K522" t="s">
        <v>46</v>
      </c>
      <c r="L522" s="3">
        <v>0.1</v>
      </c>
      <c r="M522" t="s">
        <v>39</v>
      </c>
      <c r="N522" s="10">
        <v>91.58</v>
      </c>
      <c r="O522" t="s">
        <v>68</v>
      </c>
      <c r="P522" s="5">
        <v>45918</v>
      </c>
      <c r="Q522" s="5">
        <v>45924</v>
      </c>
      <c r="R522" s="5">
        <v>45924</v>
      </c>
      <c r="S522" t="s">
        <v>33</v>
      </c>
      <c r="T522" s="6">
        <v>4</v>
      </c>
      <c r="U522" t="s">
        <v>166</v>
      </c>
      <c r="V522" s="10">
        <v>952.36200000000008</v>
      </c>
      <c r="W522" s="10">
        <v>593.26</v>
      </c>
      <c r="X522" s="10">
        <v>267.52200000000011</v>
      </c>
      <c r="Y522" s="11">
        <v>0.28090368998343068</v>
      </c>
      <c r="Z522" s="6">
        <v>0</v>
      </c>
      <c r="AA522" t="s">
        <v>35</v>
      </c>
    </row>
    <row r="523" spans="1:27" x14ac:dyDescent="0.25">
      <c r="A523" t="s">
        <v>664</v>
      </c>
      <c r="B523">
        <v>8</v>
      </c>
      <c r="C523" s="9">
        <v>45916.758506944447</v>
      </c>
      <c r="D523" t="s">
        <v>105</v>
      </c>
      <c r="E523" t="s">
        <v>106</v>
      </c>
      <c r="F523" t="s">
        <v>30</v>
      </c>
      <c r="G523">
        <v>2093</v>
      </c>
      <c r="H523" s="6">
        <v>2</v>
      </c>
      <c r="I523" s="10">
        <v>366.02</v>
      </c>
      <c r="J523" s="10">
        <v>567.16999999999996</v>
      </c>
      <c r="L523" s="3">
        <v>0</v>
      </c>
      <c r="M523" t="s">
        <v>76</v>
      </c>
      <c r="N523" s="10">
        <v>76.319999999999993</v>
      </c>
      <c r="O523" t="s">
        <v>62</v>
      </c>
      <c r="P523" s="5">
        <v>45917</v>
      </c>
      <c r="Q523" s="5">
        <v>45926</v>
      </c>
      <c r="R523" s="5">
        <v>45926</v>
      </c>
      <c r="S523" t="s">
        <v>33</v>
      </c>
      <c r="T523" s="6">
        <v>5</v>
      </c>
      <c r="U523" t="s">
        <v>34</v>
      </c>
      <c r="V523" s="10">
        <v>1134.3399999999999</v>
      </c>
      <c r="W523" s="10">
        <v>732.04</v>
      </c>
      <c r="X523" s="10">
        <v>325.98</v>
      </c>
      <c r="Y523" s="11">
        <v>0.28737415589682103</v>
      </c>
      <c r="Z523" s="6">
        <v>0</v>
      </c>
      <c r="AA523" t="s">
        <v>35</v>
      </c>
    </row>
    <row r="524" spans="1:27" x14ac:dyDescent="0.25">
      <c r="A524" t="s">
        <v>665</v>
      </c>
      <c r="B524">
        <v>62</v>
      </c>
      <c r="C524" s="9">
        <v>45916.884097222217</v>
      </c>
      <c r="D524" t="s">
        <v>114</v>
      </c>
      <c r="E524" t="s">
        <v>115</v>
      </c>
      <c r="F524" t="s">
        <v>116</v>
      </c>
      <c r="G524">
        <v>0</v>
      </c>
      <c r="H524" s="6">
        <v>1</v>
      </c>
      <c r="I524" s="10">
        <v>251.55</v>
      </c>
      <c r="J524" s="10">
        <v>738.95</v>
      </c>
      <c r="K524" t="s">
        <v>60</v>
      </c>
      <c r="L524" s="3">
        <v>0.2</v>
      </c>
      <c r="M524" t="s">
        <v>76</v>
      </c>
      <c r="N524" s="10">
        <v>29.87</v>
      </c>
      <c r="O524" t="s">
        <v>47</v>
      </c>
      <c r="P524" s="5">
        <v>45918</v>
      </c>
      <c r="Q524" s="5">
        <v>45925</v>
      </c>
      <c r="S524" t="s">
        <v>161</v>
      </c>
      <c r="T524" s="6">
        <v>3</v>
      </c>
      <c r="U524" t="s">
        <v>121</v>
      </c>
      <c r="V524" s="10">
        <v>591.16000000000008</v>
      </c>
      <c r="W524" s="10">
        <v>251.55</v>
      </c>
      <c r="X524" s="10">
        <v>309.74000000000012</v>
      </c>
      <c r="Y524" s="11">
        <v>0.52395290615061918</v>
      </c>
      <c r="Z524" s="6"/>
      <c r="AA524" t="s">
        <v>56</v>
      </c>
    </row>
    <row r="525" spans="1:27" x14ac:dyDescent="0.25">
      <c r="A525" t="s">
        <v>666</v>
      </c>
      <c r="B525">
        <v>147</v>
      </c>
      <c r="C525" s="9">
        <v>45916.94672453704</v>
      </c>
      <c r="D525" t="s">
        <v>110</v>
      </c>
      <c r="E525" t="s">
        <v>111</v>
      </c>
      <c r="F525" t="s">
        <v>30</v>
      </c>
      <c r="G525">
        <v>2157</v>
      </c>
      <c r="H525" s="6">
        <v>2</v>
      </c>
      <c r="I525" s="10">
        <v>1348.22</v>
      </c>
      <c r="J525" s="10">
        <v>1835.6</v>
      </c>
      <c r="L525" s="3">
        <v>0</v>
      </c>
      <c r="M525" t="s">
        <v>61</v>
      </c>
      <c r="N525" s="10">
        <v>54.78</v>
      </c>
      <c r="O525" t="s">
        <v>47</v>
      </c>
      <c r="P525" s="5">
        <v>45917</v>
      </c>
      <c r="Q525" s="5">
        <v>45926</v>
      </c>
      <c r="R525" s="5">
        <v>45929</v>
      </c>
      <c r="S525" t="s">
        <v>33</v>
      </c>
      <c r="T525" s="6">
        <v>2</v>
      </c>
      <c r="U525" t="s">
        <v>248</v>
      </c>
      <c r="V525" s="10">
        <v>3671.2</v>
      </c>
      <c r="W525" s="10">
        <v>2696.44</v>
      </c>
      <c r="X525" s="10">
        <v>919.97999999999979</v>
      </c>
      <c r="Y525" s="11">
        <v>0.25059381128786218</v>
      </c>
      <c r="Z525" s="6">
        <v>3</v>
      </c>
      <c r="AA525" t="s">
        <v>103</v>
      </c>
    </row>
    <row r="526" spans="1:27" x14ac:dyDescent="0.25">
      <c r="A526" t="s">
        <v>667</v>
      </c>
      <c r="B526">
        <v>94</v>
      </c>
      <c r="C526" s="9">
        <v>45917.092592592591</v>
      </c>
      <c r="D526" t="s">
        <v>89</v>
      </c>
      <c r="E526" t="s">
        <v>90</v>
      </c>
      <c r="F526" t="s">
        <v>52</v>
      </c>
      <c r="G526">
        <v>294</v>
      </c>
      <c r="H526" s="6">
        <v>3</v>
      </c>
      <c r="I526" s="10">
        <v>49.39</v>
      </c>
      <c r="J526" s="10">
        <v>154.94</v>
      </c>
      <c r="L526" s="3">
        <v>0</v>
      </c>
      <c r="M526" t="s">
        <v>31</v>
      </c>
      <c r="N526" s="10">
        <v>48.3</v>
      </c>
      <c r="O526" t="s">
        <v>97</v>
      </c>
      <c r="P526" s="5">
        <v>45918</v>
      </c>
      <c r="Q526" s="5">
        <v>45926</v>
      </c>
      <c r="R526" s="5">
        <v>45924</v>
      </c>
      <c r="S526" t="s">
        <v>33</v>
      </c>
      <c r="T526" s="6">
        <v>4</v>
      </c>
      <c r="U526" t="s">
        <v>112</v>
      </c>
      <c r="V526" s="10">
        <v>464.82</v>
      </c>
      <c r="W526" s="10">
        <v>148.16999999999999</v>
      </c>
      <c r="X526" s="10">
        <v>268.35000000000002</v>
      </c>
      <c r="Y526" s="11">
        <v>0.57732025300116163</v>
      </c>
      <c r="Z526" s="6">
        <v>-2</v>
      </c>
      <c r="AA526" t="s">
        <v>35</v>
      </c>
    </row>
    <row r="527" spans="1:27" x14ac:dyDescent="0.25">
      <c r="A527" t="s">
        <v>668</v>
      </c>
      <c r="B527">
        <v>81</v>
      </c>
      <c r="C527" s="9">
        <v>45917.374814814822</v>
      </c>
      <c r="D527" t="s">
        <v>105</v>
      </c>
      <c r="E527" t="s">
        <v>106</v>
      </c>
      <c r="F527" t="s">
        <v>30</v>
      </c>
      <c r="G527">
        <v>2029</v>
      </c>
      <c r="H527" s="6">
        <v>1</v>
      </c>
      <c r="I527" s="10">
        <v>380.83</v>
      </c>
      <c r="J527" s="10">
        <v>608.23</v>
      </c>
      <c r="L527" s="3">
        <v>0</v>
      </c>
      <c r="M527" t="s">
        <v>61</v>
      </c>
      <c r="N527" s="10">
        <v>54.31</v>
      </c>
      <c r="O527" t="s">
        <v>101</v>
      </c>
      <c r="P527" s="5">
        <v>45918</v>
      </c>
      <c r="Q527" s="5">
        <v>45928</v>
      </c>
      <c r="S527" t="s">
        <v>161</v>
      </c>
      <c r="T527" s="6">
        <v>3</v>
      </c>
      <c r="U527" t="s">
        <v>405</v>
      </c>
      <c r="V527" s="10">
        <v>608.23</v>
      </c>
      <c r="W527" s="10">
        <v>380.83</v>
      </c>
      <c r="X527" s="10">
        <v>173.09</v>
      </c>
      <c r="Y527" s="11">
        <v>0.28457984643966933</v>
      </c>
      <c r="Z527" s="6"/>
      <c r="AA527" t="s">
        <v>56</v>
      </c>
    </row>
    <row r="528" spans="1:27" x14ac:dyDescent="0.25">
      <c r="A528" t="s">
        <v>669</v>
      </c>
      <c r="B528">
        <v>180</v>
      </c>
      <c r="C528" s="9">
        <v>45917.828900462962</v>
      </c>
      <c r="D528" t="s">
        <v>123</v>
      </c>
      <c r="E528" t="s">
        <v>124</v>
      </c>
      <c r="F528" t="s">
        <v>45</v>
      </c>
      <c r="G528">
        <v>0</v>
      </c>
      <c r="H528" s="6">
        <v>3</v>
      </c>
      <c r="I528" s="10">
        <v>58.19</v>
      </c>
      <c r="J528" s="10">
        <v>209.27</v>
      </c>
      <c r="K528" t="s">
        <v>46</v>
      </c>
      <c r="L528" s="3">
        <v>0.1</v>
      </c>
      <c r="M528" t="s">
        <v>31</v>
      </c>
      <c r="N528" s="10">
        <v>17.43</v>
      </c>
      <c r="O528" t="s">
        <v>99</v>
      </c>
      <c r="P528" s="5">
        <v>45918</v>
      </c>
      <c r="Q528" s="5">
        <v>45924</v>
      </c>
      <c r="R528" s="5">
        <v>45921</v>
      </c>
      <c r="S528" t="s">
        <v>33</v>
      </c>
      <c r="T528" s="6">
        <v>5</v>
      </c>
      <c r="U528" t="s">
        <v>79</v>
      </c>
      <c r="V528" s="10">
        <v>565.02900000000011</v>
      </c>
      <c r="W528" s="10">
        <v>174.57</v>
      </c>
      <c r="X528" s="10">
        <v>373.02900000000011</v>
      </c>
      <c r="Y528" s="11">
        <v>0.66019443249815501</v>
      </c>
      <c r="Z528" s="6">
        <v>-3</v>
      </c>
      <c r="AA528" t="s">
        <v>35</v>
      </c>
    </row>
    <row r="529" spans="1:27" x14ac:dyDescent="0.25">
      <c r="A529" t="s">
        <v>670</v>
      </c>
      <c r="B529">
        <v>83</v>
      </c>
      <c r="C529" s="9">
        <v>45918.05736111111</v>
      </c>
      <c r="D529" t="s">
        <v>148</v>
      </c>
      <c r="E529" t="s">
        <v>149</v>
      </c>
      <c r="F529" t="s">
        <v>30</v>
      </c>
      <c r="G529">
        <v>2798</v>
      </c>
      <c r="H529" s="6">
        <v>1</v>
      </c>
      <c r="I529" s="10">
        <v>399.32</v>
      </c>
      <c r="J529" s="10">
        <v>594.58000000000004</v>
      </c>
      <c r="L529" s="3">
        <v>0</v>
      </c>
      <c r="M529" t="s">
        <v>39</v>
      </c>
      <c r="N529" s="10">
        <v>138.94</v>
      </c>
      <c r="O529" t="s">
        <v>157</v>
      </c>
      <c r="P529" s="5">
        <v>45919</v>
      </c>
      <c r="Q529" s="5">
        <v>45926</v>
      </c>
      <c r="S529" t="s">
        <v>54</v>
      </c>
      <c r="T529" s="6">
        <v>2</v>
      </c>
      <c r="U529" t="s">
        <v>102</v>
      </c>
      <c r="V529" s="10">
        <v>594.58000000000004</v>
      </c>
      <c r="W529" s="10">
        <v>399.32</v>
      </c>
      <c r="X529" s="10">
        <v>56.32000000000005</v>
      </c>
      <c r="Y529" s="11">
        <v>9.4722325002522867E-2</v>
      </c>
      <c r="Z529" s="6"/>
      <c r="AA529" t="s">
        <v>56</v>
      </c>
    </row>
    <row r="530" spans="1:27" x14ac:dyDescent="0.25">
      <c r="A530" t="s">
        <v>671</v>
      </c>
      <c r="B530">
        <v>121</v>
      </c>
      <c r="C530" s="9">
        <v>45919.332766203697</v>
      </c>
      <c r="D530" t="s">
        <v>74</v>
      </c>
      <c r="E530" t="s">
        <v>75</v>
      </c>
      <c r="F530" t="s">
        <v>30</v>
      </c>
      <c r="G530">
        <v>2564</v>
      </c>
      <c r="H530" s="6">
        <v>3</v>
      </c>
      <c r="I530" s="10">
        <v>2284.52</v>
      </c>
      <c r="J530" s="10">
        <v>4575.25</v>
      </c>
      <c r="L530" s="3">
        <v>0</v>
      </c>
      <c r="M530" t="s">
        <v>76</v>
      </c>
      <c r="N530" s="10">
        <v>149.43</v>
      </c>
      <c r="O530" t="s">
        <v>47</v>
      </c>
      <c r="P530" s="5">
        <v>45920</v>
      </c>
      <c r="Q530" s="5">
        <v>45930</v>
      </c>
      <c r="R530" s="5">
        <v>45930</v>
      </c>
      <c r="S530" t="s">
        <v>33</v>
      </c>
      <c r="T530" s="6">
        <v>4</v>
      </c>
      <c r="U530" t="s">
        <v>79</v>
      </c>
      <c r="V530" s="10">
        <v>13725.75</v>
      </c>
      <c r="W530" s="10">
        <v>6853.5599999999986</v>
      </c>
      <c r="X530" s="10">
        <v>6722.76</v>
      </c>
      <c r="Y530" s="11">
        <v>0.48979181465493687</v>
      </c>
      <c r="Z530" s="6">
        <v>0</v>
      </c>
      <c r="AA530" t="s">
        <v>35</v>
      </c>
    </row>
    <row r="531" spans="1:27" x14ac:dyDescent="0.25">
      <c r="A531" t="s">
        <v>672</v>
      </c>
      <c r="B531">
        <v>59</v>
      </c>
      <c r="C531" s="9">
        <v>45919.509317129632</v>
      </c>
      <c r="D531" t="s">
        <v>155</v>
      </c>
      <c r="E531" t="s">
        <v>156</v>
      </c>
      <c r="F531" t="s">
        <v>30</v>
      </c>
      <c r="G531">
        <v>4655</v>
      </c>
      <c r="H531" s="6">
        <v>1</v>
      </c>
      <c r="I531" s="10">
        <v>821.48</v>
      </c>
      <c r="J531" s="10">
        <v>1108.6099999999999</v>
      </c>
      <c r="K531" t="s">
        <v>60</v>
      </c>
      <c r="L531" s="3">
        <v>0.2</v>
      </c>
      <c r="M531" t="s">
        <v>76</v>
      </c>
      <c r="N531" s="10">
        <v>134.41</v>
      </c>
      <c r="O531" t="s">
        <v>40</v>
      </c>
      <c r="P531" s="5">
        <v>45921</v>
      </c>
      <c r="Q531" s="5">
        <v>45927</v>
      </c>
      <c r="R531" s="5">
        <v>45925</v>
      </c>
      <c r="S531" t="s">
        <v>33</v>
      </c>
      <c r="T531" s="6">
        <v>4</v>
      </c>
      <c r="U531" t="s">
        <v>112</v>
      </c>
      <c r="V531" s="10">
        <v>886.88799999999992</v>
      </c>
      <c r="W531" s="10">
        <v>821.48</v>
      </c>
      <c r="X531" s="10">
        <v>-69.002000000000095</v>
      </c>
      <c r="Y531" s="11">
        <v>-7.7802383164503414E-2</v>
      </c>
      <c r="Z531" s="6">
        <v>-2</v>
      </c>
      <c r="AA531" t="s">
        <v>35</v>
      </c>
    </row>
    <row r="532" spans="1:27" x14ac:dyDescent="0.25">
      <c r="A532" t="s">
        <v>673</v>
      </c>
      <c r="B532">
        <v>43</v>
      </c>
      <c r="C532" s="9">
        <v>45921.226006944453</v>
      </c>
      <c r="D532" t="s">
        <v>37</v>
      </c>
      <c r="E532" t="s">
        <v>38</v>
      </c>
      <c r="F532" t="s">
        <v>30</v>
      </c>
      <c r="G532">
        <v>2015</v>
      </c>
      <c r="H532" s="6">
        <v>3</v>
      </c>
      <c r="I532" s="10">
        <v>753.99</v>
      </c>
      <c r="J532" s="10">
        <v>1246.4100000000001</v>
      </c>
      <c r="L532" s="3">
        <v>0</v>
      </c>
      <c r="M532" t="s">
        <v>76</v>
      </c>
      <c r="N532" s="10">
        <v>65.510000000000005</v>
      </c>
      <c r="O532" t="s">
        <v>40</v>
      </c>
      <c r="P532" s="5">
        <v>45923</v>
      </c>
      <c r="Q532" s="5">
        <v>45928</v>
      </c>
      <c r="R532" s="5">
        <v>45933</v>
      </c>
      <c r="S532" t="s">
        <v>33</v>
      </c>
      <c r="T532" s="6">
        <v>3</v>
      </c>
      <c r="U532" t="s">
        <v>238</v>
      </c>
      <c r="V532" s="10">
        <v>3739.23</v>
      </c>
      <c r="W532" s="10">
        <v>2261.9699999999998</v>
      </c>
      <c r="X532" s="10">
        <v>1411.75</v>
      </c>
      <c r="Y532" s="11">
        <v>0.37755099311890422</v>
      </c>
      <c r="Z532" s="6">
        <v>5</v>
      </c>
      <c r="AA532" t="s">
        <v>103</v>
      </c>
    </row>
    <row r="533" spans="1:27" x14ac:dyDescent="0.25">
      <c r="A533" t="s">
        <v>674</v>
      </c>
      <c r="B533">
        <v>126</v>
      </c>
      <c r="C533" s="9">
        <v>45921.467453703714</v>
      </c>
      <c r="D533" t="s">
        <v>105</v>
      </c>
      <c r="E533" t="s">
        <v>106</v>
      </c>
      <c r="F533" t="s">
        <v>30</v>
      </c>
      <c r="G533">
        <v>2075</v>
      </c>
      <c r="H533" s="6">
        <v>3</v>
      </c>
      <c r="I533" s="10">
        <v>382.35</v>
      </c>
      <c r="J533" s="10">
        <v>614.80999999999995</v>
      </c>
      <c r="L533" s="3">
        <v>0</v>
      </c>
      <c r="M533" t="s">
        <v>31</v>
      </c>
      <c r="N533" s="10">
        <v>63.26</v>
      </c>
      <c r="O533" t="s">
        <v>97</v>
      </c>
      <c r="P533" s="5">
        <v>45922</v>
      </c>
      <c r="Q533" s="5">
        <v>45927</v>
      </c>
      <c r="R533" s="5">
        <v>45927</v>
      </c>
      <c r="S533" t="s">
        <v>33</v>
      </c>
      <c r="T533" s="6">
        <v>4</v>
      </c>
      <c r="U533" t="s">
        <v>172</v>
      </c>
      <c r="V533" s="10">
        <v>1844.43</v>
      </c>
      <c r="W533" s="10">
        <v>1147.05</v>
      </c>
      <c r="X533" s="10">
        <v>634.11999999999966</v>
      </c>
      <c r="Y533" s="11">
        <v>0.3438026924307237</v>
      </c>
      <c r="Z533" s="6">
        <v>0</v>
      </c>
      <c r="AA533" t="s">
        <v>35</v>
      </c>
    </row>
    <row r="534" spans="1:27" x14ac:dyDescent="0.25">
      <c r="A534" t="s">
        <v>675</v>
      </c>
      <c r="B534">
        <v>23</v>
      </c>
      <c r="C534" s="9">
        <v>45921.493055555547</v>
      </c>
      <c r="D534" t="s">
        <v>198</v>
      </c>
      <c r="E534" t="s">
        <v>199</v>
      </c>
      <c r="F534" t="s">
        <v>116</v>
      </c>
      <c r="G534">
        <v>0</v>
      </c>
      <c r="H534" s="6">
        <v>2</v>
      </c>
      <c r="I534" s="10">
        <v>434.82</v>
      </c>
      <c r="J534" s="10">
        <v>787.4</v>
      </c>
      <c r="L534" s="3">
        <v>0</v>
      </c>
      <c r="M534" t="s">
        <v>39</v>
      </c>
      <c r="N534" s="10">
        <v>29.88</v>
      </c>
      <c r="O534" t="s">
        <v>264</v>
      </c>
      <c r="P534" s="5">
        <v>45922</v>
      </c>
      <c r="Q534" s="5">
        <v>45927</v>
      </c>
      <c r="R534" s="5">
        <v>45926</v>
      </c>
      <c r="S534" t="s">
        <v>33</v>
      </c>
      <c r="T534" s="6">
        <v>4</v>
      </c>
      <c r="U534" t="s">
        <v>41</v>
      </c>
      <c r="V534" s="10">
        <v>1574.8</v>
      </c>
      <c r="W534" s="10">
        <v>869.64</v>
      </c>
      <c r="X534" s="10">
        <v>675.28</v>
      </c>
      <c r="Y534" s="11">
        <v>0.4288036576073152</v>
      </c>
      <c r="Z534" s="6">
        <v>-1</v>
      </c>
      <c r="AA534" t="s">
        <v>35</v>
      </c>
    </row>
    <row r="535" spans="1:27" x14ac:dyDescent="0.25">
      <c r="A535" t="s">
        <v>676</v>
      </c>
      <c r="B535">
        <v>100</v>
      </c>
      <c r="C535" s="9">
        <v>45922.041724537034</v>
      </c>
      <c r="D535" t="s">
        <v>89</v>
      </c>
      <c r="E535" t="s">
        <v>90</v>
      </c>
      <c r="F535" t="s">
        <v>52</v>
      </c>
      <c r="G535">
        <v>230</v>
      </c>
      <c r="H535" s="6">
        <v>3</v>
      </c>
      <c r="I535" s="10">
        <v>46.06</v>
      </c>
      <c r="J535" s="10">
        <v>112.63</v>
      </c>
      <c r="K535" t="s">
        <v>46</v>
      </c>
      <c r="L535" s="3">
        <v>0.1</v>
      </c>
      <c r="M535" t="s">
        <v>31</v>
      </c>
      <c r="N535" s="10">
        <v>51.27</v>
      </c>
      <c r="O535" t="s">
        <v>47</v>
      </c>
      <c r="P535" s="5">
        <v>45923</v>
      </c>
      <c r="Q535" s="5">
        <v>45930</v>
      </c>
      <c r="S535" t="s">
        <v>54</v>
      </c>
      <c r="T535" s="6">
        <v>2</v>
      </c>
      <c r="U535" t="s">
        <v>461</v>
      </c>
      <c r="V535" s="10">
        <v>304.101</v>
      </c>
      <c r="W535" s="10">
        <v>138.18</v>
      </c>
      <c r="X535" s="10">
        <v>114.651</v>
      </c>
      <c r="Y535" s="11">
        <v>0.37701618870046461</v>
      </c>
      <c r="Z535" s="6"/>
      <c r="AA535" t="s">
        <v>56</v>
      </c>
    </row>
    <row r="536" spans="1:27" x14ac:dyDescent="0.25">
      <c r="A536" t="s">
        <v>677</v>
      </c>
      <c r="B536">
        <v>101</v>
      </c>
      <c r="C536" s="9">
        <v>45922.064027777778</v>
      </c>
      <c r="D536" t="s">
        <v>71</v>
      </c>
      <c r="E536" t="s">
        <v>72</v>
      </c>
      <c r="F536" t="s">
        <v>52</v>
      </c>
      <c r="G536">
        <v>349</v>
      </c>
      <c r="H536" s="6">
        <v>2</v>
      </c>
      <c r="I536" s="10">
        <v>38.96</v>
      </c>
      <c r="J536" s="10">
        <v>130.68</v>
      </c>
      <c r="K536" t="s">
        <v>60</v>
      </c>
      <c r="L536" s="3">
        <v>0.2</v>
      </c>
      <c r="M536" t="s">
        <v>76</v>
      </c>
      <c r="N536" s="10">
        <v>46.07</v>
      </c>
      <c r="O536" t="s">
        <v>62</v>
      </c>
      <c r="P536" s="5">
        <v>45923</v>
      </c>
      <c r="Q536" s="5">
        <v>45928</v>
      </c>
      <c r="R536" s="5">
        <v>45925</v>
      </c>
      <c r="S536" t="s">
        <v>33</v>
      </c>
      <c r="T536" s="6">
        <v>4</v>
      </c>
      <c r="U536" t="s">
        <v>34</v>
      </c>
      <c r="V536" s="10">
        <v>209.08799999999999</v>
      </c>
      <c r="W536" s="10">
        <v>77.92</v>
      </c>
      <c r="X536" s="10">
        <v>85.098000000000013</v>
      </c>
      <c r="Y536" s="11">
        <v>0.40699609733700642</v>
      </c>
      <c r="Z536" s="6">
        <v>-3</v>
      </c>
      <c r="AA536" t="s">
        <v>35</v>
      </c>
    </row>
    <row r="537" spans="1:27" x14ac:dyDescent="0.25">
      <c r="A537" t="s">
        <v>678</v>
      </c>
      <c r="B537">
        <v>148</v>
      </c>
      <c r="C537" s="9">
        <v>45923.960243055553</v>
      </c>
      <c r="D537" t="s">
        <v>74</v>
      </c>
      <c r="E537" t="s">
        <v>75</v>
      </c>
      <c r="F537" t="s">
        <v>30</v>
      </c>
      <c r="G537">
        <v>2287</v>
      </c>
      <c r="H537" s="6">
        <v>3</v>
      </c>
      <c r="I537" s="10">
        <v>2923.08</v>
      </c>
      <c r="J537" s="10">
        <v>3875.72</v>
      </c>
      <c r="L537" s="3">
        <v>0</v>
      </c>
      <c r="M537" t="s">
        <v>76</v>
      </c>
      <c r="N537" s="10">
        <v>136.62</v>
      </c>
      <c r="O537" t="s">
        <v>264</v>
      </c>
      <c r="P537" s="5">
        <v>45925</v>
      </c>
      <c r="Q537" s="5">
        <v>45935</v>
      </c>
      <c r="R537" s="5">
        <v>45935</v>
      </c>
      <c r="S537" t="s">
        <v>33</v>
      </c>
      <c r="T537" s="6">
        <v>4</v>
      </c>
      <c r="U537" t="s">
        <v>41</v>
      </c>
      <c r="V537" s="10">
        <v>11627.16</v>
      </c>
      <c r="W537" s="10">
        <v>8769.24</v>
      </c>
      <c r="X537" s="10">
        <v>2721.3</v>
      </c>
      <c r="Y537" s="11">
        <v>0.23404683516869129</v>
      </c>
      <c r="Z537" s="6">
        <v>0</v>
      </c>
      <c r="AA537" t="s">
        <v>35</v>
      </c>
    </row>
    <row r="538" spans="1:27" x14ac:dyDescent="0.25">
      <c r="A538" t="s">
        <v>679</v>
      </c>
      <c r="B538">
        <v>158</v>
      </c>
      <c r="C538" s="9">
        <v>45924.29546296296</v>
      </c>
      <c r="D538" t="s">
        <v>123</v>
      </c>
      <c r="E538" t="s">
        <v>124</v>
      </c>
      <c r="F538" t="s">
        <v>45</v>
      </c>
      <c r="G538">
        <v>0</v>
      </c>
      <c r="H538" s="6">
        <v>1</v>
      </c>
      <c r="I538" s="10">
        <v>66.739999999999995</v>
      </c>
      <c r="J538" s="10">
        <v>208.92</v>
      </c>
      <c r="L538" s="3">
        <v>0</v>
      </c>
      <c r="M538" t="s">
        <v>31</v>
      </c>
      <c r="N538" s="10">
        <v>18.809999999999999</v>
      </c>
      <c r="O538" t="s">
        <v>62</v>
      </c>
      <c r="P538" s="5">
        <v>45925</v>
      </c>
      <c r="Q538" s="5">
        <v>45934</v>
      </c>
      <c r="R538" s="5">
        <v>45930</v>
      </c>
      <c r="S538" t="s">
        <v>33</v>
      </c>
      <c r="T538" s="6">
        <v>4</v>
      </c>
      <c r="U538" t="s">
        <v>84</v>
      </c>
      <c r="V538" s="10">
        <v>208.92</v>
      </c>
      <c r="W538" s="10">
        <v>66.739999999999995</v>
      </c>
      <c r="X538" s="10">
        <v>123.37</v>
      </c>
      <c r="Y538" s="11">
        <v>0.59051311506796866</v>
      </c>
      <c r="Z538" s="6">
        <v>-4</v>
      </c>
      <c r="AA538" t="s">
        <v>35</v>
      </c>
    </row>
    <row r="539" spans="1:27" x14ac:dyDescent="0.25">
      <c r="A539" t="s">
        <v>680</v>
      </c>
      <c r="B539">
        <v>200</v>
      </c>
      <c r="C539" s="9">
        <v>45924.785787037043</v>
      </c>
      <c r="D539" t="s">
        <v>43</v>
      </c>
      <c r="E539" t="s">
        <v>44</v>
      </c>
      <c r="F539" t="s">
        <v>45</v>
      </c>
      <c r="G539">
        <v>0</v>
      </c>
      <c r="H539" s="6">
        <v>2</v>
      </c>
      <c r="I539" s="10">
        <v>38.74</v>
      </c>
      <c r="J539" s="10">
        <v>94.08</v>
      </c>
      <c r="L539" s="3">
        <v>0</v>
      </c>
      <c r="M539" t="s">
        <v>76</v>
      </c>
      <c r="N539" s="10">
        <v>20.14</v>
      </c>
      <c r="O539" t="s">
        <v>62</v>
      </c>
      <c r="P539" s="5">
        <v>45926</v>
      </c>
      <c r="Q539" s="5">
        <v>45931</v>
      </c>
      <c r="R539" s="5">
        <v>45934</v>
      </c>
      <c r="S539" t="s">
        <v>33</v>
      </c>
      <c r="T539" s="6">
        <v>2</v>
      </c>
      <c r="U539" t="s">
        <v>185</v>
      </c>
      <c r="V539" s="10">
        <v>188.16</v>
      </c>
      <c r="W539" s="10">
        <v>77.48</v>
      </c>
      <c r="X539" s="10">
        <v>90.539999999999992</v>
      </c>
      <c r="Y539" s="11">
        <v>0.48118622448979592</v>
      </c>
      <c r="Z539" s="6">
        <v>3</v>
      </c>
      <c r="AA539" t="s">
        <v>103</v>
      </c>
    </row>
    <row r="540" spans="1:27" x14ac:dyDescent="0.25">
      <c r="A540" t="s">
        <v>681</v>
      </c>
      <c r="B540">
        <v>135</v>
      </c>
      <c r="C540" s="9">
        <v>45925.071944444448</v>
      </c>
      <c r="D540" t="s">
        <v>74</v>
      </c>
      <c r="E540" t="s">
        <v>75</v>
      </c>
      <c r="F540" t="s">
        <v>30</v>
      </c>
      <c r="G540">
        <v>2842</v>
      </c>
      <c r="H540" s="6">
        <v>2</v>
      </c>
      <c r="I540" s="10">
        <v>2596.91</v>
      </c>
      <c r="J540" s="10">
        <v>4194.8</v>
      </c>
      <c r="L540" s="3">
        <v>0</v>
      </c>
      <c r="M540" t="s">
        <v>39</v>
      </c>
      <c r="N540" s="10">
        <v>77.98</v>
      </c>
      <c r="O540" t="s">
        <v>47</v>
      </c>
      <c r="P540" s="5">
        <v>45927</v>
      </c>
      <c r="Q540" s="5">
        <v>45937</v>
      </c>
      <c r="R540" s="5">
        <v>45935</v>
      </c>
      <c r="S540" t="s">
        <v>33</v>
      </c>
      <c r="T540" s="6">
        <v>5</v>
      </c>
      <c r="U540" t="s">
        <v>48</v>
      </c>
      <c r="V540" s="10">
        <v>8389.6</v>
      </c>
      <c r="W540" s="10">
        <v>5193.82</v>
      </c>
      <c r="X540" s="10">
        <v>3117.8000000000011</v>
      </c>
      <c r="Y540" s="11">
        <v>0.37162677600839139</v>
      </c>
      <c r="Z540" s="6">
        <v>-2</v>
      </c>
      <c r="AA540" t="s">
        <v>35</v>
      </c>
    </row>
    <row r="541" spans="1:27" x14ac:dyDescent="0.25">
      <c r="A541" t="s">
        <v>682</v>
      </c>
      <c r="B541">
        <v>92</v>
      </c>
      <c r="C541" s="9">
        <v>45925.522881944453</v>
      </c>
      <c r="D541" t="s">
        <v>177</v>
      </c>
      <c r="E541" t="s">
        <v>178</v>
      </c>
      <c r="F541" t="s">
        <v>116</v>
      </c>
      <c r="G541">
        <v>0</v>
      </c>
      <c r="H541" s="6">
        <v>1</v>
      </c>
      <c r="I541" s="10">
        <v>298.95999999999998</v>
      </c>
      <c r="J541" s="10">
        <v>347.29</v>
      </c>
      <c r="K541" t="s">
        <v>46</v>
      </c>
      <c r="L541" s="3">
        <v>0.1</v>
      </c>
      <c r="M541" t="s">
        <v>76</v>
      </c>
      <c r="N541" s="10">
        <v>19.84</v>
      </c>
      <c r="O541" t="s">
        <v>99</v>
      </c>
      <c r="P541" s="5">
        <v>45926</v>
      </c>
      <c r="Q541" s="5">
        <v>45934</v>
      </c>
      <c r="R541" s="5">
        <v>45932</v>
      </c>
      <c r="S541" t="s">
        <v>33</v>
      </c>
      <c r="T541" s="6">
        <v>5</v>
      </c>
      <c r="U541" t="s">
        <v>119</v>
      </c>
      <c r="V541" s="10">
        <v>312.56099999999998</v>
      </c>
      <c r="W541" s="10">
        <v>298.95999999999998</v>
      </c>
      <c r="X541" s="10">
        <v>-6.2389999999999439</v>
      </c>
      <c r="Y541" s="11">
        <v>-1.9960903631610929E-2</v>
      </c>
      <c r="Z541" s="6">
        <v>-2</v>
      </c>
      <c r="AA541" t="s">
        <v>35</v>
      </c>
    </row>
    <row r="542" spans="1:27" x14ac:dyDescent="0.25">
      <c r="A542" t="s">
        <v>683</v>
      </c>
      <c r="B542">
        <v>106</v>
      </c>
      <c r="C542" s="9">
        <v>45926.517384259263</v>
      </c>
      <c r="D542" t="s">
        <v>164</v>
      </c>
      <c r="E542" t="s">
        <v>165</v>
      </c>
      <c r="F542" t="s">
        <v>116</v>
      </c>
      <c r="G542">
        <v>0</v>
      </c>
      <c r="H542" s="6">
        <v>3</v>
      </c>
      <c r="I542" s="10">
        <v>221.47</v>
      </c>
      <c r="J542" s="10">
        <v>626.95000000000005</v>
      </c>
      <c r="K542" t="s">
        <v>60</v>
      </c>
      <c r="L542" s="3">
        <v>0.2</v>
      </c>
      <c r="M542" t="s">
        <v>61</v>
      </c>
      <c r="N542" s="10">
        <v>17.87</v>
      </c>
      <c r="O542" t="s">
        <v>133</v>
      </c>
      <c r="P542" s="5">
        <v>45927</v>
      </c>
      <c r="Q542" s="5">
        <v>45932</v>
      </c>
      <c r="R542" s="5">
        <v>45937</v>
      </c>
      <c r="S542" t="s">
        <v>33</v>
      </c>
      <c r="T542" s="6">
        <v>2</v>
      </c>
      <c r="U542" t="s">
        <v>461</v>
      </c>
      <c r="V542" s="10">
        <v>1504.68</v>
      </c>
      <c r="W542" s="10">
        <v>664.41</v>
      </c>
      <c r="X542" s="10">
        <v>822.40000000000032</v>
      </c>
      <c r="Y542" s="11">
        <v>0.54656139511391133</v>
      </c>
      <c r="Z542" s="6">
        <v>5</v>
      </c>
      <c r="AA542" t="s">
        <v>103</v>
      </c>
    </row>
    <row r="543" spans="1:27" x14ac:dyDescent="0.25">
      <c r="A543" t="s">
        <v>684</v>
      </c>
      <c r="B543">
        <v>54</v>
      </c>
      <c r="C543" s="9">
        <v>45927.505462962959</v>
      </c>
      <c r="D543" t="s">
        <v>37</v>
      </c>
      <c r="E543" t="s">
        <v>38</v>
      </c>
      <c r="F543" t="s">
        <v>30</v>
      </c>
      <c r="G543">
        <v>2639</v>
      </c>
      <c r="H543" s="6">
        <v>3</v>
      </c>
      <c r="I543" s="10">
        <v>621.17999999999995</v>
      </c>
      <c r="J543" s="10">
        <v>1478.67</v>
      </c>
      <c r="L543" s="3">
        <v>0</v>
      </c>
      <c r="M543" t="s">
        <v>61</v>
      </c>
      <c r="N543" s="10">
        <v>75.17</v>
      </c>
      <c r="O543" t="s">
        <v>99</v>
      </c>
      <c r="P543" s="5">
        <v>45928</v>
      </c>
      <c r="Q543" s="5">
        <v>45934</v>
      </c>
      <c r="R543" s="5">
        <v>45933</v>
      </c>
      <c r="S543" t="s">
        <v>33</v>
      </c>
      <c r="T543" s="6">
        <v>5</v>
      </c>
      <c r="U543" t="s">
        <v>172</v>
      </c>
      <c r="V543" s="10">
        <v>4436.01</v>
      </c>
      <c r="W543" s="10">
        <v>1863.54</v>
      </c>
      <c r="X543" s="10">
        <v>2497.3000000000002</v>
      </c>
      <c r="Y543" s="11">
        <v>0.5629608589701105</v>
      </c>
      <c r="Z543" s="6">
        <v>-1</v>
      </c>
      <c r="AA543" t="s">
        <v>35</v>
      </c>
    </row>
    <row r="544" spans="1:27" x14ac:dyDescent="0.25">
      <c r="A544" t="s">
        <v>685</v>
      </c>
      <c r="B544">
        <v>146</v>
      </c>
      <c r="C544" s="9">
        <v>45927.597500000003</v>
      </c>
      <c r="D544" t="s">
        <v>177</v>
      </c>
      <c r="E544" t="s">
        <v>178</v>
      </c>
      <c r="F544" t="s">
        <v>116</v>
      </c>
      <c r="G544">
        <v>0</v>
      </c>
      <c r="H544" s="6">
        <v>3</v>
      </c>
      <c r="I544" s="10">
        <v>154.66999999999999</v>
      </c>
      <c r="J544" s="10">
        <v>583.09</v>
      </c>
      <c r="L544" s="3">
        <v>0</v>
      </c>
      <c r="M544" t="s">
        <v>61</v>
      </c>
      <c r="N544" s="10">
        <v>16.46</v>
      </c>
      <c r="O544" t="s">
        <v>40</v>
      </c>
      <c r="P544" s="5">
        <v>45929</v>
      </c>
      <c r="Q544" s="5">
        <v>45935</v>
      </c>
      <c r="R544" s="5">
        <v>45934</v>
      </c>
      <c r="S544" t="s">
        <v>33</v>
      </c>
      <c r="T544" s="6">
        <v>4</v>
      </c>
      <c r="U544" t="s">
        <v>127</v>
      </c>
      <c r="V544" s="10">
        <v>1749.27</v>
      </c>
      <c r="W544" s="10">
        <v>464.01</v>
      </c>
      <c r="X544" s="10">
        <v>1268.8</v>
      </c>
      <c r="Y544" s="11">
        <v>0.72533113813190642</v>
      </c>
      <c r="Z544" s="6">
        <v>-1</v>
      </c>
      <c r="AA544" t="s">
        <v>35</v>
      </c>
    </row>
    <row r="545" spans="1:27" x14ac:dyDescent="0.25">
      <c r="A545" t="s">
        <v>686</v>
      </c>
      <c r="B545">
        <v>6</v>
      </c>
      <c r="C545" s="9">
        <v>45927.63076388889</v>
      </c>
      <c r="D545" t="s">
        <v>92</v>
      </c>
      <c r="E545" t="s">
        <v>93</v>
      </c>
      <c r="F545" t="s">
        <v>52</v>
      </c>
      <c r="G545">
        <v>249</v>
      </c>
      <c r="H545" s="6">
        <v>2</v>
      </c>
      <c r="I545" s="10">
        <v>57.05</v>
      </c>
      <c r="J545" s="10">
        <v>111.37</v>
      </c>
      <c r="K545" t="s">
        <v>60</v>
      </c>
      <c r="L545" s="3">
        <v>0.2</v>
      </c>
      <c r="M545" t="s">
        <v>61</v>
      </c>
      <c r="N545" s="10">
        <v>23.75</v>
      </c>
      <c r="O545" t="s">
        <v>62</v>
      </c>
      <c r="P545" s="5">
        <v>45928</v>
      </c>
      <c r="Q545" s="5">
        <v>45937</v>
      </c>
      <c r="R545" s="5">
        <v>45931</v>
      </c>
      <c r="S545" t="s">
        <v>33</v>
      </c>
      <c r="T545" s="6">
        <v>4</v>
      </c>
      <c r="U545" t="s">
        <v>134</v>
      </c>
      <c r="V545" s="10">
        <v>178.19200000000001</v>
      </c>
      <c r="W545" s="10">
        <v>114.1</v>
      </c>
      <c r="X545" s="10">
        <v>40.342000000000013</v>
      </c>
      <c r="Y545" s="11">
        <v>0.22639624674508399</v>
      </c>
      <c r="Z545" s="6">
        <v>-6</v>
      </c>
      <c r="AA545" t="s">
        <v>35</v>
      </c>
    </row>
    <row r="546" spans="1:27" x14ac:dyDescent="0.25">
      <c r="A546" t="s">
        <v>687</v>
      </c>
      <c r="B546">
        <v>170</v>
      </c>
      <c r="C546" s="9">
        <v>45928.782719907409</v>
      </c>
      <c r="D546" t="s">
        <v>50</v>
      </c>
      <c r="E546" t="s">
        <v>51</v>
      </c>
      <c r="F546" t="s">
        <v>52</v>
      </c>
      <c r="G546">
        <v>758</v>
      </c>
      <c r="H546" s="6">
        <v>2</v>
      </c>
      <c r="I546" s="10">
        <v>105.91</v>
      </c>
      <c r="J546" s="10">
        <v>174.35</v>
      </c>
      <c r="L546" s="3">
        <v>0</v>
      </c>
      <c r="M546" t="s">
        <v>39</v>
      </c>
      <c r="N546" s="10">
        <v>49.03</v>
      </c>
      <c r="O546" t="s">
        <v>101</v>
      </c>
      <c r="P546" s="5">
        <v>45930</v>
      </c>
      <c r="Q546" s="5">
        <v>45940</v>
      </c>
      <c r="S546" t="s">
        <v>63</v>
      </c>
      <c r="T546" s="6">
        <v>1</v>
      </c>
      <c r="U546" t="s">
        <v>180</v>
      </c>
      <c r="V546" s="10">
        <v>348.7</v>
      </c>
      <c r="W546" s="10">
        <v>211.82</v>
      </c>
      <c r="X546" s="10">
        <v>87.85</v>
      </c>
      <c r="Y546" s="11">
        <v>0.25193576139948382</v>
      </c>
      <c r="Z546" s="6"/>
      <c r="AA546" t="s">
        <v>56</v>
      </c>
    </row>
    <row r="547" spans="1:27" x14ac:dyDescent="0.25">
      <c r="A547" t="s">
        <v>688</v>
      </c>
      <c r="B547">
        <v>84</v>
      </c>
      <c r="C547" s="9">
        <v>45928.878229166658</v>
      </c>
      <c r="D547" t="s">
        <v>105</v>
      </c>
      <c r="E547" t="s">
        <v>106</v>
      </c>
      <c r="F547" t="s">
        <v>30</v>
      </c>
      <c r="G547">
        <v>2086</v>
      </c>
      <c r="H547" s="6">
        <v>3</v>
      </c>
      <c r="I547" s="10">
        <v>218.72</v>
      </c>
      <c r="J547" s="10">
        <v>541.79</v>
      </c>
      <c r="K547" t="s">
        <v>60</v>
      </c>
      <c r="L547" s="3">
        <v>0.2</v>
      </c>
      <c r="M547" t="s">
        <v>76</v>
      </c>
      <c r="N547" s="10">
        <v>58.09</v>
      </c>
      <c r="O547" t="s">
        <v>99</v>
      </c>
      <c r="P547" s="5">
        <v>45930</v>
      </c>
      <c r="Q547" s="5">
        <v>45938</v>
      </c>
      <c r="R547" s="5">
        <v>45943</v>
      </c>
      <c r="S547" t="s">
        <v>33</v>
      </c>
      <c r="T547" s="6">
        <v>2</v>
      </c>
      <c r="U547" t="s">
        <v>64</v>
      </c>
      <c r="V547" s="10">
        <v>1300.296</v>
      </c>
      <c r="W547" s="10">
        <v>656.16</v>
      </c>
      <c r="X547" s="10">
        <v>586.04600000000005</v>
      </c>
      <c r="Y547" s="11">
        <v>0.45070199400751831</v>
      </c>
      <c r="Z547" s="6">
        <v>5</v>
      </c>
      <c r="AA547" t="s">
        <v>103</v>
      </c>
    </row>
    <row r="548" spans="1:27" x14ac:dyDescent="0.25">
      <c r="A548" t="s">
        <v>689</v>
      </c>
      <c r="B548">
        <v>66</v>
      </c>
      <c r="C548" s="9">
        <v>45929.305324074077</v>
      </c>
      <c r="D548" t="s">
        <v>43</v>
      </c>
      <c r="E548" t="s">
        <v>44</v>
      </c>
      <c r="F548" t="s">
        <v>45</v>
      </c>
      <c r="G548">
        <v>0</v>
      </c>
      <c r="H548" s="6">
        <v>3</v>
      </c>
      <c r="I548" s="10">
        <v>42.22</v>
      </c>
      <c r="J548" s="10">
        <v>121.74</v>
      </c>
      <c r="K548" t="s">
        <v>60</v>
      </c>
      <c r="L548" s="3">
        <v>0.2</v>
      </c>
      <c r="M548" t="s">
        <v>76</v>
      </c>
      <c r="N548" s="10">
        <v>28.42</v>
      </c>
      <c r="O548" t="s">
        <v>47</v>
      </c>
      <c r="P548" s="5">
        <v>45931</v>
      </c>
      <c r="Q548" s="5">
        <v>45940</v>
      </c>
      <c r="S548" t="s">
        <v>161</v>
      </c>
      <c r="T548" s="6">
        <v>1</v>
      </c>
      <c r="U548" t="s">
        <v>170</v>
      </c>
      <c r="V548" s="10">
        <v>292.17599999999999</v>
      </c>
      <c r="W548" s="10">
        <v>126.66</v>
      </c>
      <c r="X548" s="10">
        <v>137.096</v>
      </c>
      <c r="Y548" s="11">
        <v>0.46922402935217128</v>
      </c>
      <c r="Z548" s="6"/>
      <c r="AA548" t="s">
        <v>56</v>
      </c>
    </row>
    <row r="549" spans="1:27" x14ac:dyDescent="0.25">
      <c r="A549" t="s">
        <v>690</v>
      </c>
      <c r="B549">
        <v>40</v>
      </c>
      <c r="C549" s="9">
        <v>45929.461840277778</v>
      </c>
      <c r="D549" t="s">
        <v>66</v>
      </c>
      <c r="E549" t="s">
        <v>67</v>
      </c>
      <c r="F549" t="s">
        <v>52</v>
      </c>
      <c r="G549">
        <v>216</v>
      </c>
      <c r="H549" s="6">
        <v>1</v>
      </c>
      <c r="I549" s="10">
        <v>54.55</v>
      </c>
      <c r="J549" s="10">
        <v>91.95</v>
      </c>
      <c r="L549" s="3">
        <v>0</v>
      </c>
      <c r="M549" t="s">
        <v>31</v>
      </c>
      <c r="N549" s="10">
        <v>34.479999999999997</v>
      </c>
      <c r="O549" t="s">
        <v>47</v>
      </c>
      <c r="P549" s="5">
        <v>45931</v>
      </c>
      <c r="Q549" s="5">
        <v>45936</v>
      </c>
      <c r="R549" s="5">
        <v>45938</v>
      </c>
      <c r="S549" t="s">
        <v>33</v>
      </c>
      <c r="T549" s="6">
        <v>3</v>
      </c>
      <c r="U549" t="s">
        <v>405</v>
      </c>
      <c r="V549" s="10">
        <v>91.95</v>
      </c>
      <c r="W549" s="10">
        <v>54.55</v>
      </c>
      <c r="X549" s="10">
        <v>2.9200000000000088</v>
      </c>
      <c r="Y549" s="11">
        <v>3.1756389342033807E-2</v>
      </c>
      <c r="Z549" s="6">
        <v>2</v>
      </c>
      <c r="AA549" t="s">
        <v>103</v>
      </c>
    </row>
    <row r="550" spans="1:27" x14ac:dyDescent="0.25">
      <c r="A550" t="s">
        <v>691</v>
      </c>
      <c r="B550">
        <v>145</v>
      </c>
      <c r="C550" s="9">
        <v>45929.922881944447</v>
      </c>
      <c r="D550" t="s">
        <v>28</v>
      </c>
      <c r="E550" t="s">
        <v>29</v>
      </c>
      <c r="F550" t="s">
        <v>30</v>
      </c>
      <c r="G550">
        <v>2166</v>
      </c>
      <c r="H550" s="6">
        <v>2</v>
      </c>
      <c r="I550" s="10">
        <v>1602.59</v>
      </c>
      <c r="J550" s="10">
        <v>3258.89</v>
      </c>
      <c r="K550" t="s">
        <v>46</v>
      </c>
      <c r="L550" s="3">
        <v>0.1</v>
      </c>
      <c r="M550" t="s">
        <v>31</v>
      </c>
      <c r="N550" s="10">
        <v>142.81</v>
      </c>
      <c r="O550" t="s">
        <v>47</v>
      </c>
      <c r="P550" s="5">
        <v>45931</v>
      </c>
      <c r="Q550" s="5">
        <v>45939</v>
      </c>
      <c r="R550" s="5">
        <v>45933</v>
      </c>
      <c r="S550" t="s">
        <v>33</v>
      </c>
      <c r="T550" s="6">
        <v>4</v>
      </c>
      <c r="U550" t="s">
        <v>77</v>
      </c>
      <c r="V550" s="10">
        <v>5866.0019999999986</v>
      </c>
      <c r="W550" s="10">
        <v>3205.18</v>
      </c>
      <c r="X550" s="10">
        <v>2518.0120000000002</v>
      </c>
      <c r="Y550" s="11">
        <v>0.42925522357476181</v>
      </c>
      <c r="Z550" s="6">
        <v>-6</v>
      </c>
      <c r="AA550" t="s">
        <v>35</v>
      </c>
    </row>
    <row r="551" spans="1:27" x14ac:dyDescent="0.25">
      <c r="A551" t="s">
        <v>692</v>
      </c>
      <c r="B551">
        <v>100</v>
      </c>
      <c r="C551" s="9">
        <v>45930.515046296299</v>
      </c>
      <c r="D551" t="s">
        <v>58</v>
      </c>
      <c r="E551" t="s">
        <v>59</v>
      </c>
      <c r="F551" t="s">
        <v>30</v>
      </c>
      <c r="G551">
        <v>4318</v>
      </c>
      <c r="H551" s="6">
        <v>2</v>
      </c>
      <c r="I551" s="10">
        <v>297.27</v>
      </c>
      <c r="J551" s="10">
        <v>480.02</v>
      </c>
      <c r="L551" s="3">
        <v>0</v>
      </c>
      <c r="M551" t="s">
        <v>31</v>
      </c>
      <c r="N551" s="10">
        <v>122.43</v>
      </c>
      <c r="O551" t="s">
        <v>99</v>
      </c>
      <c r="P551" s="5">
        <v>45932</v>
      </c>
      <c r="Q551" s="5">
        <v>45940</v>
      </c>
      <c r="S551" t="s">
        <v>54</v>
      </c>
      <c r="T551" s="6">
        <v>2</v>
      </c>
      <c r="U551" t="s">
        <v>258</v>
      </c>
      <c r="V551" s="10">
        <v>960.04</v>
      </c>
      <c r="W551" s="10">
        <v>594.54</v>
      </c>
      <c r="X551" s="10">
        <v>243.07</v>
      </c>
      <c r="Y551" s="11">
        <v>0.25318736719303359</v>
      </c>
      <c r="Z551" s="6"/>
      <c r="AA551" t="s">
        <v>56</v>
      </c>
    </row>
    <row r="552" spans="1:27" x14ac:dyDescent="0.25">
      <c r="A552" t="s">
        <v>693</v>
      </c>
      <c r="B552">
        <v>58</v>
      </c>
      <c r="C552" s="9">
        <v>45931.095717592587</v>
      </c>
      <c r="D552" t="s">
        <v>105</v>
      </c>
      <c r="E552" t="s">
        <v>106</v>
      </c>
      <c r="F552" t="s">
        <v>30</v>
      </c>
      <c r="G552">
        <v>2038</v>
      </c>
      <c r="H552" s="6">
        <v>1</v>
      </c>
      <c r="I552" s="10">
        <v>305.89999999999998</v>
      </c>
      <c r="J552" s="10">
        <v>600.73</v>
      </c>
      <c r="L552" s="3">
        <v>0</v>
      </c>
      <c r="M552" t="s">
        <v>61</v>
      </c>
      <c r="N552" s="10">
        <v>132.52000000000001</v>
      </c>
      <c r="O552" t="s">
        <v>47</v>
      </c>
      <c r="P552" s="5">
        <v>45933</v>
      </c>
      <c r="Q552" s="5">
        <v>45939</v>
      </c>
      <c r="S552" t="s">
        <v>161</v>
      </c>
      <c r="T552" s="6">
        <v>2</v>
      </c>
      <c r="U552" t="s">
        <v>129</v>
      </c>
      <c r="V552" s="10">
        <v>600.73</v>
      </c>
      <c r="W552" s="10">
        <v>305.89999999999998</v>
      </c>
      <c r="X552" s="10">
        <v>162.31</v>
      </c>
      <c r="Y552" s="11">
        <v>0.27018793800875612</v>
      </c>
      <c r="Z552" s="6"/>
      <c r="AA552" t="s">
        <v>56</v>
      </c>
    </row>
    <row r="553" spans="1:27" x14ac:dyDescent="0.25">
      <c r="A553" t="s">
        <v>694</v>
      </c>
      <c r="B553">
        <v>172</v>
      </c>
      <c r="C553" s="9">
        <v>45931.206458333327</v>
      </c>
      <c r="D553" t="s">
        <v>177</v>
      </c>
      <c r="E553" t="s">
        <v>178</v>
      </c>
      <c r="F553" t="s">
        <v>116</v>
      </c>
      <c r="G553">
        <v>0</v>
      </c>
      <c r="H553" s="6">
        <v>3</v>
      </c>
      <c r="I553" s="10">
        <v>239.87</v>
      </c>
      <c r="J553" s="10">
        <v>589.78</v>
      </c>
      <c r="L553" s="3">
        <v>0</v>
      </c>
      <c r="M553" t="s">
        <v>61</v>
      </c>
      <c r="N553" s="10">
        <v>21.28</v>
      </c>
      <c r="O553" t="s">
        <v>40</v>
      </c>
      <c r="P553" s="5">
        <v>45932</v>
      </c>
      <c r="Q553" s="5">
        <v>45941</v>
      </c>
      <c r="R553" s="5">
        <v>45936</v>
      </c>
      <c r="S553" t="s">
        <v>33</v>
      </c>
      <c r="T553" s="6">
        <v>5</v>
      </c>
      <c r="U553" t="s">
        <v>48</v>
      </c>
      <c r="V553" s="10">
        <v>1769.34</v>
      </c>
      <c r="W553" s="10">
        <v>719.61</v>
      </c>
      <c r="X553" s="10">
        <v>1028.45</v>
      </c>
      <c r="Y553" s="11">
        <v>0.58126193948025828</v>
      </c>
      <c r="Z553" s="6">
        <v>-5</v>
      </c>
      <c r="AA553" t="s">
        <v>35</v>
      </c>
    </row>
    <row r="554" spans="1:27" x14ac:dyDescent="0.25">
      <c r="A554" t="s">
        <v>695</v>
      </c>
      <c r="B554">
        <v>127</v>
      </c>
      <c r="C554" s="9">
        <v>45931.574467592603</v>
      </c>
      <c r="D554" t="s">
        <v>155</v>
      </c>
      <c r="E554" t="s">
        <v>156</v>
      </c>
      <c r="F554" t="s">
        <v>30</v>
      </c>
      <c r="G554">
        <v>3858</v>
      </c>
      <c r="H554" s="6">
        <v>2</v>
      </c>
      <c r="I554" s="10">
        <v>920.44</v>
      </c>
      <c r="J554" s="10">
        <v>1159.23</v>
      </c>
      <c r="L554" s="3">
        <v>0</v>
      </c>
      <c r="M554" t="s">
        <v>76</v>
      </c>
      <c r="N554" s="10">
        <v>78.09</v>
      </c>
      <c r="O554" t="s">
        <v>157</v>
      </c>
      <c r="P554" s="5">
        <v>45932</v>
      </c>
      <c r="Q554" s="5">
        <v>45940</v>
      </c>
      <c r="R554" s="5">
        <v>45934</v>
      </c>
      <c r="S554" t="s">
        <v>33</v>
      </c>
      <c r="T554" s="6">
        <v>5</v>
      </c>
      <c r="U554" t="s">
        <v>112</v>
      </c>
      <c r="V554" s="10">
        <v>2318.46</v>
      </c>
      <c r="W554" s="10">
        <v>1840.88</v>
      </c>
      <c r="X554" s="10">
        <v>399.4899999999999</v>
      </c>
      <c r="Y554" s="11">
        <v>0.17230834260673031</v>
      </c>
      <c r="Z554" s="6">
        <v>-6</v>
      </c>
      <c r="AA554" t="s">
        <v>35</v>
      </c>
    </row>
    <row r="555" spans="1:27" x14ac:dyDescent="0.25">
      <c r="A555" t="s">
        <v>696</v>
      </c>
      <c r="B555">
        <v>149</v>
      </c>
      <c r="C555" s="9">
        <v>45931.955787037034</v>
      </c>
      <c r="D555" t="s">
        <v>74</v>
      </c>
      <c r="E555" t="s">
        <v>75</v>
      </c>
      <c r="F555" t="s">
        <v>30</v>
      </c>
      <c r="G555">
        <v>2404</v>
      </c>
      <c r="H555" s="6">
        <v>2</v>
      </c>
      <c r="I555" s="10">
        <v>2915.28</v>
      </c>
      <c r="J555" s="10">
        <v>4104.63</v>
      </c>
      <c r="K555" t="s">
        <v>46</v>
      </c>
      <c r="L555" s="3">
        <v>0.1</v>
      </c>
      <c r="M555" t="s">
        <v>31</v>
      </c>
      <c r="N555" s="10">
        <v>113.47</v>
      </c>
      <c r="O555" t="s">
        <v>157</v>
      </c>
      <c r="P555" s="5">
        <v>45933</v>
      </c>
      <c r="Q555" s="5">
        <v>45942</v>
      </c>
      <c r="R555" s="5">
        <v>45942</v>
      </c>
      <c r="S555" t="s">
        <v>33</v>
      </c>
      <c r="T555" s="6">
        <v>5</v>
      </c>
      <c r="U555" t="s">
        <v>127</v>
      </c>
      <c r="V555" s="10">
        <v>7388.3340000000007</v>
      </c>
      <c r="W555" s="10">
        <v>5830.56</v>
      </c>
      <c r="X555" s="10">
        <v>1444.3040000000001</v>
      </c>
      <c r="Y555" s="11">
        <v>0.19548439472281581</v>
      </c>
      <c r="Z555" s="6">
        <v>0</v>
      </c>
      <c r="AA555" t="s">
        <v>35</v>
      </c>
    </row>
    <row r="556" spans="1:27" x14ac:dyDescent="0.25">
      <c r="A556" t="s">
        <v>697</v>
      </c>
      <c r="B556">
        <v>195</v>
      </c>
      <c r="C556" s="9">
        <v>45931.977361111109</v>
      </c>
      <c r="D556" t="s">
        <v>92</v>
      </c>
      <c r="E556" t="s">
        <v>93</v>
      </c>
      <c r="F556" t="s">
        <v>52</v>
      </c>
      <c r="G556">
        <v>230</v>
      </c>
      <c r="H556" s="6">
        <v>2</v>
      </c>
      <c r="I556" s="10">
        <v>39.18</v>
      </c>
      <c r="J556" s="10">
        <v>46.1</v>
      </c>
      <c r="L556" s="3">
        <v>0</v>
      </c>
      <c r="M556" t="s">
        <v>61</v>
      </c>
      <c r="N556" s="10">
        <v>59.05</v>
      </c>
      <c r="O556" t="s">
        <v>32</v>
      </c>
      <c r="P556" s="5">
        <v>45932</v>
      </c>
      <c r="Q556" s="5">
        <v>45942</v>
      </c>
      <c r="R556" s="5">
        <v>45939</v>
      </c>
      <c r="S556" t="s">
        <v>33</v>
      </c>
      <c r="T556" s="6">
        <v>4</v>
      </c>
      <c r="U556" t="s">
        <v>69</v>
      </c>
      <c r="V556" s="10">
        <v>92.2</v>
      </c>
      <c r="W556" s="10">
        <v>78.36</v>
      </c>
      <c r="X556" s="10">
        <v>-45.209999999999987</v>
      </c>
      <c r="Y556" s="11">
        <v>-0.49034707158351398</v>
      </c>
      <c r="Z556" s="6">
        <v>-3</v>
      </c>
      <c r="AA556" t="s">
        <v>35</v>
      </c>
    </row>
    <row r="557" spans="1:27" x14ac:dyDescent="0.25">
      <c r="A557" t="s">
        <v>698</v>
      </c>
      <c r="B557">
        <v>156</v>
      </c>
      <c r="C557" s="9">
        <v>45932.789074074077</v>
      </c>
      <c r="D557" t="s">
        <v>89</v>
      </c>
      <c r="E557" t="s">
        <v>90</v>
      </c>
      <c r="F557" t="s">
        <v>52</v>
      </c>
      <c r="G557">
        <v>328</v>
      </c>
      <c r="H557" s="6">
        <v>3</v>
      </c>
      <c r="I557" s="10">
        <v>57.07</v>
      </c>
      <c r="J557" s="10">
        <v>181.85</v>
      </c>
      <c r="L557" s="3">
        <v>0</v>
      </c>
      <c r="M557" t="s">
        <v>39</v>
      </c>
      <c r="N557" s="10">
        <v>35.83</v>
      </c>
      <c r="O557" t="s">
        <v>157</v>
      </c>
      <c r="P557" s="5">
        <v>45934</v>
      </c>
      <c r="Q557" s="5">
        <v>45943</v>
      </c>
      <c r="R557" s="5">
        <v>45937</v>
      </c>
      <c r="S557" t="s">
        <v>33</v>
      </c>
      <c r="T557" s="6">
        <v>4</v>
      </c>
      <c r="U557" t="s">
        <v>166</v>
      </c>
      <c r="V557" s="10">
        <v>545.54999999999995</v>
      </c>
      <c r="W557" s="10">
        <v>171.21</v>
      </c>
      <c r="X557" s="10">
        <v>338.50999999999988</v>
      </c>
      <c r="Y557" s="11">
        <v>0.62049308037760054</v>
      </c>
      <c r="Z557" s="6">
        <v>-6</v>
      </c>
      <c r="AA557" t="s">
        <v>35</v>
      </c>
    </row>
    <row r="558" spans="1:27" x14ac:dyDescent="0.25">
      <c r="A558" t="s">
        <v>699</v>
      </c>
      <c r="B558">
        <v>135</v>
      </c>
      <c r="C558" s="9">
        <v>45933.251666666663</v>
      </c>
      <c r="D558" t="s">
        <v>95</v>
      </c>
      <c r="E558" t="s">
        <v>96</v>
      </c>
      <c r="F558" t="s">
        <v>52</v>
      </c>
      <c r="G558">
        <v>447</v>
      </c>
      <c r="H558" s="6">
        <v>3</v>
      </c>
      <c r="I558" s="10">
        <v>31.02</v>
      </c>
      <c r="J558" s="10">
        <v>37.83</v>
      </c>
      <c r="L558" s="3">
        <v>0</v>
      </c>
      <c r="M558" t="s">
        <v>31</v>
      </c>
      <c r="N558" s="10">
        <v>28.54</v>
      </c>
      <c r="O558" t="s">
        <v>40</v>
      </c>
      <c r="P558" s="5">
        <v>45935</v>
      </c>
      <c r="Q558" s="5">
        <v>45945</v>
      </c>
      <c r="R558" s="5">
        <v>45943</v>
      </c>
      <c r="S558" t="s">
        <v>33</v>
      </c>
      <c r="T558" s="6">
        <v>4</v>
      </c>
      <c r="U558" t="s">
        <v>69</v>
      </c>
      <c r="V558" s="10">
        <v>113.49</v>
      </c>
      <c r="W558" s="10">
        <v>93.06</v>
      </c>
      <c r="X558" s="10">
        <v>-8.1100000000000065</v>
      </c>
      <c r="Y558" s="11">
        <v>-7.1460040532205546E-2</v>
      </c>
      <c r="Z558" s="6">
        <v>-2</v>
      </c>
      <c r="AA558" t="s">
        <v>35</v>
      </c>
    </row>
    <row r="559" spans="1:27" x14ac:dyDescent="0.25">
      <c r="A559" t="s">
        <v>700</v>
      </c>
      <c r="B559">
        <v>77</v>
      </c>
      <c r="C559" s="9">
        <v>45933.292060185187</v>
      </c>
      <c r="D559" t="s">
        <v>28</v>
      </c>
      <c r="E559" t="s">
        <v>29</v>
      </c>
      <c r="F559" t="s">
        <v>30</v>
      </c>
      <c r="G559">
        <v>2354</v>
      </c>
      <c r="H559" s="6">
        <v>3</v>
      </c>
      <c r="I559" s="10">
        <v>1872.58</v>
      </c>
      <c r="J559" s="10">
        <v>2271.58</v>
      </c>
      <c r="K559" t="s">
        <v>46</v>
      </c>
      <c r="L559" s="3">
        <v>0.1</v>
      </c>
      <c r="M559" t="s">
        <v>76</v>
      </c>
      <c r="N559" s="10">
        <v>115.87</v>
      </c>
      <c r="O559" t="s">
        <v>62</v>
      </c>
      <c r="P559" s="5">
        <v>45934</v>
      </c>
      <c r="Q559" s="5">
        <v>45940</v>
      </c>
      <c r="R559" s="5">
        <v>45937</v>
      </c>
      <c r="S559" t="s">
        <v>33</v>
      </c>
      <c r="T559" s="6">
        <v>5</v>
      </c>
      <c r="U559" t="s">
        <v>166</v>
      </c>
      <c r="V559" s="10">
        <v>6133.2659999999996</v>
      </c>
      <c r="W559" s="10">
        <v>5617.74</v>
      </c>
      <c r="X559" s="10">
        <v>399.65599999999978</v>
      </c>
      <c r="Y559" s="11">
        <v>6.5162019713477265E-2</v>
      </c>
      <c r="Z559" s="6">
        <v>-3</v>
      </c>
      <c r="AA559" t="s">
        <v>35</v>
      </c>
    </row>
    <row r="560" spans="1:27" x14ac:dyDescent="0.25">
      <c r="A560" t="s">
        <v>701</v>
      </c>
      <c r="B560">
        <v>61</v>
      </c>
      <c r="C560" s="9">
        <v>45934.036099537043</v>
      </c>
      <c r="D560" t="s">
        <v>177</v>
      </c>
      <c r="E560" t="s">
        <v>178</v>
      </c>
      <c r="F560" t="s">
        <v>116</v>
      </c>
      <c r="G560">
        <v>0</v>
      </c>
      <c r="H560" s="6">
        <v>2</v>
      </c>
      <c r="I560" s="10">
        <v>215.92</v>
      </c>
      <c r="J560" s="10">
        <v>588.29999999999995</v>
      </c>
      <c r="L560" s="3">
        <v>0</v>
      </c>
      <c r="M560" t="s">
        <v>31</v>
      </c>
      <c r="N560" s="10">
        <v>17.23</v>
      </c>
      <c r="O560" t="s">
        <v>47</v>
      </c>
      <c r="P560" s="5">
        <v>45935</v>
      </c>
      <c r="Q560" s="5">
        <v>45941</v>
      </c>
      <c r="R560" s="5">
        <v>45939</v>
      </c>
      <c r="S560" t="s">
        <v>33</v>
      </c>
      <c r="T560" s="6">
        <v>5</v>
      </c>
      <c r="U560" t="s">
        <v>119</v>
      </c>
      <c r="V560" s="10">
        <v>1176.5999999999999</v>
      </c>
      <c r="W560" s="10">
        <v>431.84</v>
      </c>
      <c r="X560" s="10">
        <v>727.53</v>
      </c>
      <c r="Y560" s="11">
        <v>0.61833248342682312</v>
      </c>
      <c r="Z560" s="6">
        <v>-2</v>
      </c>
      <c r="AA560" t="s">
        <v>35</v>
      </c>
    </row>
    <row r="561" spans="1:27" x14ac:dyDescent="0.25">
      <c r="A561" t="s">
        <v>702</v>
      </c>
      <c r="B561">
        <v>42</v>
      </c>
      <c r="C561" s="9">
        <v>45934.677129629628</v>
      </c>
      <c r="D561" t="s">
        <v>92</v>
      </c>
      <c r="E561" t="s">
        <v>93</v>
      </c>
      <c r="F561" t="s">
        <v>52</v>
      </c>
      <c r="G561">
        <v>289</v>
      </c>
      <c r="H561" s="6">
        <v>1</v>
      </c>
      <c r="I561" s="10">
        <v>29.18</v>
      </c>
      <c r="J561" s="10">
        <v>106.95</v>
      </c>
      <c r="L561" s="3">
        <v>0</v>
      </c>
      <c r="M561" t="s">
        <v>76</v>
      </c>
      <c r="N561" s="10">
        <v>28.15</v>
      </c>
      <c r="O561" t="s">
        <v>62</v>
      </c>
      <c r="P561" s="5">
        <v>45935</v>
      </c>
      <c r="Q561" s="5">
        <v>45941</v>
      </c>
      <c r="R561" s="5">
        <v>45940</v>
      </c>
      <c r="S561" t="s">
        <v>33</v>
      </c>
      <c r="T561" s="6">
        <v>5</v>
      </c>
      <c r="U561" t="s">
        <v>117</v>
      </c>
      <c r="V561" s="10">
        <v>106.95</v>
      </c>
      <c r="W561" s="10">
        <v>29.18</v>
      </c>
      <c r="X561" s="10">
        <v>49.620000000000012</v>
      </c>
      <c r="Y561" s="11">
        <v>0.46395511921458638</v>
      </c>
      <c r="Z561" s="6">
        <v>-1</v>
      </c>
      <c r="AA561" t="s">
        <v>35</v>
      </c>
    </row>
    <row r="562" spans="1:27" x14ac:dyDescent="0.25">
      <c r="A562" t="s">
        <v>703</v>
      </c>
      <c r="B562">
        <v>61</v>
      </c>
      <c r="C562" s="9">
        <v>45935.571076388893</v>
      </c>
      <c r="D562" t="s">
        <v>81</v>
      </c>
      <c r="E562" t="s">
        <v>82</v>
      </c>
      <c r="F562" t="s">
        <v>45</v>
      </c>
      <c r="G562">
        <v>0</v>
      </c>
      <c r="H562" s="6">
        <v>3</v>
      </c>
      <c r="I562" s="10">
        <v>62.21</v>
      </c>
      <c r="J562" s="10">
        <v>108.12</v>
      </c>
      <c r="L562" s="3">
        <v>0</v>
      </c>
      <c r="M562" t="s">
        <v>39</v>
      </c>
      <c r="N562" s="10">
        <v>15.3</v>
      </c>
      <c r="O562" t="s">
        <v>99</v>
      </c>
      <c r="P562" s="5">
        <v>45937</v>
      </c>
      <c r="Q562" s="5">
        <v>45943</v>
      </c>
      <c r="R562" s="5">
        <v>45940</v>
      </c>
      <c r="S562" t="s">
        <v>33</v>
      </c>
      <c r="T562" s="6">
        <v>5</v>
      </c>
      <c r="U562" t="s">
        <v>117</v>
      </c>
      <c r="V562" s="10">
        <v>324.36</v>
      </c>
      <c r="W562" s="10">
        <v>186.63</v>
      </c>
      <c r="X562" s="10">
        <v>122.43</v>
      </c>
      <c r="Y562" s="11">
        <v>0.37745098039215691</v>
      </c>
      <c r="Z562" s="6">
        <v>-3</v>
      </c>
      <c r="AA562" t="s">
        <v>35</v>
      </c>
    </row>
    <row r="563" spans="1:27" x14ac:dyDescent="0.25">
      <c r="A563" t="s">
        <v>704</v>
      </c>
      <c r="B563">
        <v>145</v>
      </c>
      <c r="C563" s="9">
        <v>45936.417233796303</v>
      </c>
      <c r="D563" t="s">
        <v>81</v>
      </c>
      <c r="E563" t="s">
        <v>82</v>
      </c>
      <c r="F563" t="s">
        <v>45</v>
      </c>
      <c r="G563">
        <v>0</v>
      </c>
      <c r="H563" s="6">
        <v>3</v>
      </c>
      <c r="I563" s="10">
        <v>68.430000000000007</v>
      </c>
      <c r="J563" s="10">
        <v>144.37</v>
      </c>
      <c r="K563" t="s">
        <v>60</v>
      </c>
      <c r="L563" s="3">
        <v>0.2</v>
      </c>
      <c r="M563" t="s">
        <v>31</v>
      </c>
      <c r="N563" s="10">
        <v>16.98</v>
      </c>
      <c r="O563" t="s">
        <v>157</v>
      </c>
      <c r="P563" s="5">
        <v>45937</v>
      </c>
      <c r="Q563" s="5">
        <v>45944</v>
      </c>
      <c r="R563" s="5">
        <v>45947</v>
      </c>
      <c r="S563" t="s">
        <v>33</v>
      </c>
      <c r="T563" s="6">
        <v>2</v>
      </c>
      <c r="U563" t="s">
        <v>185</v>
      </c>
      <c r="V563" s="10">
        <v>346.48800000000011</v>
      </c>
      <c r="W563" s="10">
        <v>205.29</v>
      </c>
      <c r="X563" s="10">
        <v>124.218</v>
      </c>
      <c r="Y563" s="11">
        <v>0.3585059222830228</v>
      </c>
      <c r="Z563" s="6">
        <v>3</v>
      </c>
      <c r="AA563" t="s">
        <v>103</v>
      </c>
    </row>
    <row r="564" spans="1:27" x14ac:dyDescent="0.25">
      <c r="A564" t="s">
        <v>705</v>
      </c>
      <c r="B564">
        <v>133</v>
      </c>
      <c r="C564" s="9">
        <v>45936.467523148152</v>
      </c>
      <c r="D564" t="s">
        <v>114</v>
      </c>
      <c r="E564" t="s">
        <v>115</v>
      </c>
      <c r="F564" t="s">
        <v>116</v>
      </c>
      <c r="G564">
        <v>0</v>
      </c>
      <c r="H564" s="6">
        <v>3</v>
      </c>
      <c r="I564" s="10">
        <v>320.27</v>
      </c>
      <c r="J564" s="10">
        <v>370.24</v>
      </c>
      <c r="K564" t="s">
        <v>46</v>
      </c>
      <c r="L564" s="3">
        <v>0.1</v>
      </c>
      <c r="M564" t="s">
        <v>61</v>
      </c>
      <c r="N564" s="10">
        <v>19.47</v>
      </c>
      <c r="O564" t="s">
        <v>40</v>
      </c>
      <c r="P564" s="5">
        <v>45937</v>
      </c>
      <c r="Q564" s="5">
        <v>45947</v>
      </c>
      <c r="R564" s="5">
        <v>45943</v>
      </c>
      <c r="S564" t="s">
        <v>33</v>
      </c>
      <c r="T564" s="6">
        <v>5</v>
      </c>
      <c r="U564" t="s">
        <v>34</v>
      </c>
      <c r="V564" s="10">
        <v>999.64800000000002</v>
      </c>
      <c r="W564" s="10">
        <v>960.81</v>
      </c>
      <c r="X564" s="10">
        <v>19.36800000000008</v>
      </c>
      <c r="Y564" s="11">
        <v>1.9374819936617771E-2</v>
      </c>
      <c r="Z564" s="6">
        <v>-4</v>
      </c>
      <c r="AA564" t="s">
        <v>35</v>
      </c>
    </row>
    <row r="565" spans="1:27" x14ac:dyDescent="0.25">
      <c r="A565" t="s">
        <v>706</v>
      </c>
      <c r="B565">
        <v>114</v>
      </c>
      <c r="C565" s="9">
        <v>45936.522118055553</v>
      </c>
      <c r="D565" t="s">
        <v>177</v>
      </c>
      <c r="E565" t="s">
        <v>178</v>
      </c>
      <c r="F565" t="s">
        <v>116</v>
      </c>
      <c r="G565">
        <v>0</v>
      </c>
      <c r="H565" s="6">
        <v>1</v>
      </c>
      <c r="I565" s="10">
        <v>228.93</v>
      </c>
      <c r="J565" s="10">
        <v>304.93</v>
      </c>
      <c r="L565" s="3">
        <v>0</v>
      </c>
      <c r="M565" t="s">
        <v>76</v>
      </c>
      <c r="N565" s="10">
        <v>21.52</v>
      </c>
      <c r="O565" t="s">
        <v>47</v>
      </c>
      <c r="P565" s="5">
        <v>45938</v>
      </c>
      <c r="Q565" s="5">
        <v>45945</v>
      </c>
      <c r="R565" s="5">
        <v>45943</v>
      </c>
      <c r="S565" t="s">
        <v>33</v>
      </c>
      <c r="T565" s="6">
        <v>4</v>
      </c>
      <c r="U565" t="s">
        <v>166</v>
      </c>
      <c r="V565" s="10">
        <v>304.93</v>
      </c>
      <c r="W565" s="10">
        <v>228.93</v>
      </c>
      <c r="X565" s="10">
        <v>54.48</v>
      </c>
      <c r="Y565" s="11">
        <v>0.1786639556619552</v>
      </c>
      <c r="Z565" s="6">
        <v>-2</v>
      </c>
      <c r="AA565" t="s">
        <v>35</v>
      </c>
    </row>
    <row r="566" spans="1:27" x14ac:dyDescent="0.25">
      <c r="A566" t="s">
        <v>707</v>
      </c>
      <c r="B566">
        <v>31</v>
      </c>
      <c r="C566" s="9">
        <v>45936.679537037038</v>
      </c>
      <c r="D566" t="s">
        <v>114</v>
      </c>
      <c r="E566" t="s">
        <v>115</v>
      </c>
      <c r="F566" t="s">
        <v>116</v>
      </c>
      <c r="G566">
        <v>0</v>
      </c>
      <c r="H566" s="6">
        <v>2</v>
      </c>
      <c r="I566" s="10">
        <v>387.77</v>
      </c>
      <c r="J566" s="10">
        <v>607.66</v>
      </c>
      <c r="K566" t="s">
        <v>60</v>
      </c>
      <c r="L566" s="3">
        <v>0.2</v>
      </c>
      <c r="M566" t="s">
        <v>31</v>
      </c>
      <c r="N566" s="10">
        <v>28.54</v>
      </c>
      <c r="O566" t="s">
        <v>40</v>
      </c>
      <c r="P566" s="5">
        <v>45937</v>
      </c>
      <c r="Q566" s="5">
        <v>45945</v>
      </c>
      <c r="R566" s="5">
        <v>45943</v>
      </c>
      <c r="S566" t="s">
        <v>33</v>
      </c>
      <c r="T566" s="6">
        <v>5</v>
      </c>
      <c r="U566" t="s">
        <v>79</v>
      </c>
      <c r="V566" s="10">
        <v>972.25599999999997</v>
      </c>
      <c r="W566" s="10">
        <v>775.54</v>
      </c>
      <c r="X566" s="10">
        <v>168.17599999999999</v>
      </c>
      <c r="Y566" s="11">
        <v>0.17297501892505679</v>
      </c>
      <c r="Z566" s="6">
        <v>-2</v>
      </c>
      <c r="AA566" t="s">
        <v>35</v>
      </c>
    </row>
    <row r="567" spans="1:27" x14ac:dyDescent="0.25">
      <c r="A567" t="s">
        <v>708</v>
      </c>
      <c r="B567">
        <v>52</v>
      </c>
      <c r="C567" s="9">
        <v>45937.643761574072</v>
      </c>
      <c r="D567" t="s">
        <v>86</v>
      </c>
      <c r="E567" t="s">
        <v>87</v>
      </c>
      <c r="F567" t="s">
        <v>45</v>
      </c>
      <c r="G567">
        <v>0</v>
      </c>
      <c r="H567" s="6">
        <v>2</v>
      </c>
      <c r="I567" s="10">
        <v>66.510000000000005</v>
      </c>
      <c r="J567" s="10">
        <v>188.61</v>
      </c>
      <c r="L567" s="3">
        <v>0</v>
      </c>
      <c r="M567" t="s">
        <v>76</v>
      </c>
      <c r="N567" s="10">
        <v>27.88</v>
      </c>
      <c r="O567" t="s">
        <v>68</v>
      </c>
      <c r="P567" s="5">
        <v>45938</v>
      </c>
      <c r="Q567" s="5">
        <v>45947</v>
      </c>
      <c r="S567" t="s">
        <v>161</v>
      </c>
      <c r="T567" s="6">
        <v>2</v>
      </c>
      <c r="U567" t="s">
        <v>461</v>
      </c>
      <c r="V567" s="10">
        <v>377.22</v>
      </c>
      <c r="W567" s="10">
        <v>133.02000000000001</v>
      </c>
      <c r="X567" s="10">
        <v>216.32</v>
      </c>
      <c r="Y567" s="11">
        <v>0.57345845925454642</v>
      </c>
      <c r="Z567" s="6"/>
      <c r="AA567" t="s">
        <v>56</v>
      </c>
    </row>
    <row r="568" spans="1:27" x14ac:dyDescent="0.25">
      <c r="A568" t="s">
        <v>709</v>
      </c>
      <c r="B568">
        <v>118</v>
      </c>
      <c r="C568" s="9">
        <v>45937.859814814823</v>
      </c>
      <c r="D568" t="s">
        <v>71</v>
      </c>
      <c r="E568" t="s">
        <v>72</v>
      </c>
      <c r="F568" t="s">
        <v>52</v>
      </c>
      <c r="G568">
        <v>204</v>
      </c>
      <c r="H568" s="6">
        <v>3</v>
      </c>
      <c r="I568" s="10">
        <v>53.52</v>
      </c>
      <c r="J568" s="10">
        <v>146.11000000000001</v>
      </c>
      <c r="L568" s="3">
        <v>0</v>
      </c>
      <c r="M568" t="s">
        <v>61</v>
      </c>
      <c r="N568" s="10">
        <v>35.35</v>
      </c>
      <c r="O568" t="s">
        <v>47</v>
      </c>
      <c r="P568" s="5">
        <v>45938</v>
      </c>
      <c r="Q568" s="5">
        <v>45944</v>
      </c>
      <c r="R568" s="5">
        <v>45941</v>
      </c>
      <c r="S568" t="s">
        <v>33</v>
      </c>
      <c r="T568" s="6">
        <v>4</v>
      </c>
      <c r="U568" t="s">
        <v>112</v>
      </c>
      <c r="V568" s="10">
        <v>438.33</v>
      </c>
      <c r="W568" s="10">
        <v>160.56</v>
      </c>
      <c r="X568" s="10">
        <v>242.42</v>
      </c>
      <c r="Y568" s="11">
        <v>0.55305363538886232</v>
      </c>
      <c r="Z568" s="6">
        <v>-3</v>
      </c>
      <c r="AA568" t="s">
        <v>35</v>
      </c>
    </row>
    <row r="569" spans="1:27" x14ac:dyDescent="0.25">
      <c r="A569" t="s">
        <v>710</v>
      </c>
      <c r="B569">
        <v>5</v>
      </c>
      <c r="C569" s="9">
        <v>45937.983414351853</v>
      </c>
      <c r="D569" t="s">
        <v>148</v>
      </c>
      <c r="E569" t="s">
        <v>149</v>
      </c>
      <c r="F569" t="s">
        <v>30</v>
      </c>
      <c r="G569">
        <v>3001</v>
      </c>
      <c r="H569" s="6">
        <v>3</v>
      </c>
      <c r="I569" s="10">
        <v>391.09</v>
      </c>
      <c r="J569" s="10">
        <v>581.29</v>
      </c>
      <c r="K569" t="s">
        <v>46</v>
      </c>
      <c r="L569" s="3">
        <v>0.1</v>
      </c>
      <c r="M569" t="s">
        <v>39</v>
      </c>
      <c r="N569" s="10">
        <v>140.55000000000001</v>
      </c>
      <c r="O569" t="s">
        <v>99</v>
      </c>
      <c r="P569" s="5">
        <v>45938</v>
      </c>
      <c r="Q569" s="5">
        <v>45948</v>
      </c>
      <c r="R569" s="5">
        <v>45945</v>
      </c>
      <c r="S569" t="s">
        <v>33</v>
      </c>
      <c r="T569" s="6">
        <v>4</v>
      </c>
      <c r="U569" t="s">
        <v>119</v>
      </c>
      <c r="V569" s="10">
        <v>1569.4829999999999</v>
      </c>
      <c r="W569" s="10">
        <v>1173.27</v>
      </c>
      <c r="X569" s="10">
        <v>255.66300000000001</v>
      </c>
      <c r="Y569" s="11">
        <v>0.16289631681260641</v>
      </c>
      <c r="Z569" s="6">
        <v>-3</v>
      </c>
      <c r="AA569" t="s">
        <v>35</v>
      </c>
    </row>
    <row r="570" spans="1:27" x14ac:dyDescent="0.25">
      <c r="A570" t="s">
        <v>711</v>
      </c>
      <c r="B570">
        <v>65</v>
      </c>
      <c r="C570" s="9">
        <v>45938.138495370367</v>
      </c>
      <c r="D570" t="s">
        <v>164</v>
      </c>
      <c r="E570" t="s">
        <v>165</v>
      </c>
      <c r="F570" t="s">
        <v>116</v>
      </c>
      <c r="G570">
        <v>0</v>
      </c>
      <c r="H570" s="6">
        <v>2</v>
      </c>
      <c r="I570" s="10">
        <v>380.56</v>
      </c>
      <c r="J570" s="10">
        <v>722.73</v>
      </c>
      <c r="K570" t="s">
        <v>46</v>
      </c>
      <c r="L570" s="3">
        <v>0.1</v>
      </c>
      <c r="M570" t="s">
        <v>61</v>
      </c>
      <c r="N570" s="10">
        <v>27.59</v>
      </c>
      <c r="O570" t="s">
        <v>47</v>
      </c>
      <c r="P570" s="5">
        <v>45940</v>
      </c>
      <c r="Q570" s="5">
        <v>45945</v>
      </c>
      <c r="R570" s="5">
        <v>45944</v>
      </c>
      <c r="S570" t="s">
        <v>33</v>
      </c>
      <c r="T570" s="6">
        <v>4</v>
      </c>
      <c r="U570" t="s">
        <v>34</v>
      </c>
      <c r="V570" s="10">
        <v>1300.914</v>
      </c>
      <c r="W570" s="10">
        <v>761.12</v>
      </c>
      <c r="X570" s="10">
        <v>512.20399999999995</v>
      </c>
      <c r="Y570" s="11">
        <v>0.39372625707771608</v>
      </c>
      <c r="Z570" s="6">
        <v>-1</v>
      </c>
      <c r="AA570" t="s">
        <v>35</v>
      </c>
    </row>
    <row r="571" spans="1:27" x14ac:dyDescent="0.25">
      <c r="A571" t="s">
        <v>712</v>
      </c>
      <c r="B571">
        <v>140</v>
      </c>
      <c r="C571" s="9">
        <v>45938.222569444442</v>
      </c>
      <c r="D571" t="s">
        <v>43</v>
      </c>
      <c r="E571" t="s">
        <v>44</v>
      </c>
      <c r="F571" t="s">
        <v>45</v>
      </c>
      <c r="G571">
        <v>0</v>
      </c>
      <c r="H571" s="6">
        <v>1</v>
      </c>
      <c r="I571" s="10">
        <v>28.28</v>
      </c>
      <c r="J571" s="10">
        <v>147.09</v>
      </c>
      <c r="K571" t="s">
        <v>46</v>
      </c>
      <c r="L571" s="3">
        <v>0.1</v>
      </c>
      <c r="M571" t="s">
        <v>39</v>
      </c>
      <c r="N571" s="10">
        <v>27.85</v>
      </c>
      <c r="O571" t="s">
        <v>126</v>
      </c>
      <c r="P571" s="5">
        <v>45939</v>
      </c>
      <c r="Q571" s="5">
        <v>45945</v>
      </c>
      <c r="R571" s="5">
        <v>45942</v>
      </c>
      <c r="S571" t="s">
        <v>33</v>
      </c>
      <c r="T571" s="6">
        <v>4</v>
      </c>
      <c r="U571" t="s">
        <v>48</v>
      </c>
      <c r="V571" s="10">
        <v>132.381</v>
      </c>
      <c r="W571" s="10">
        <v>28.28</v>
      </c>
      <c r="X571" s="10">
        <v>76.251000000000005</v>
      </c>
      <c r="Y571" s="11">
        <v>0.57599655539692252</v>
      </c>
      <c r="Z571" s="6">
        <v>-3</v>
      </c>
      <c r="AA571" t="s">
        <v>35</v>
      </c>
    </row>
    <row r="572" spans="1:27" x14ac:dyDescent="0.25">
      <c r="A572" t="s">
        <v>713</v>
      </c>
      <c r="B572">
        <v>27</v>
      </c>
      <c r="C572" s="9">
        <v>45939.64298611111</v>
      </c>
      <c r="D572" t="s">
        <v>28</v>
      </c>
      <c r="E572" t="s">
        <v>29</v>
      </c>
      <c r="F572" t="s">
        <v>30</v>
      </c>
      <c r="G572">
        <v>2005</v>
      </c>
      <c r="H572" s="6">
        <v>1</v>
      </c>
      <c r="I572" s="10">
        <v>1706.38</v>
      </c>
      <c r="J572" s="10">
        <v>3652.88</v>
      </c>
      <c r="L572" s="3">
        <v>0</v>
      </c>
      <c r="M572" t="s">
        <v>76</v>
      </c>
      <c r="N572" s="10">
        <v>57.72</v>
      </c>
      <c r="O572" t="s">
        <v>264</v>
      </c>
      <c r="P572" s="5">
        <v>45940</v>
      </c>
      <c r="Q572" s="5">
        <v>45945</v>
      </c>
      <c r="R572" s="5">
        <v>45943</v>
      </c>
      <c r="S572" t="s">
        <v>33</v>
      </c>
      <c r="T572" s="6">
        <v>5</v>
      </c>
      <c r="U572" t="s">
        <v>84</v>
      </c>
      <c r="V572" s="10">
        <v>3652.88</v>
      </c>
      <c r="W572" s="10">
        <v>1706.38</v>
      </c>
      <c r="X572" s="10">
        <v>1888.78</v>
      </c>
      <c r="Y572" s="11">
        <v>0.51706598629026956</v>
      </c>
      <c r="Z572" s="6">
        <v>-2</v>
      </c>
      <c r="AA572" t="s">
        <v>35</v>
      </c>
    </row>
    <row r="573" spans="1:27" x14ac:dyDescent="0.25">
      <c r="A573" t="s">
        <v>714</v>
      </c>
      <c r="B573">
        <v>62</v>
      </c>
      <c r="C573" s="9">
        <v>45939.744733796288</v>
      </c>
      <c r="D573" t="s">
        <v>164</v>
      </c>
      <c r="E573" t="s">
        <v>165</v>
      </c>
      <c r="F573" t="s">
        <v>116</v>
      </c>
      <c r="G573">
        <v>0</v>
      </c>
      <c r="H573" s="6">
        <v>2</v>
      </c>
      <c r="I573" s="10">
        <v>307.94</v>
      </c>
      <c r="J573" s="10">
        <v>621.84</v>
      </c>
      <c r="K573" t="s">
        <v>46</v>
      </c>
      <c r="L573" s="3">
        <v>0.1</v>
      </c>
      <c r="M573" t="s">
        <v>76</v>
      </c>
      <c r="N573" s="10">
        <v>20.12</v>
      </c>
      <c r="O573" t="s">
        <v>32</v>
      </c>
      <c r="P573" s="5">
        <v>45940</v>
      </c>
      <c r="Q573" s="5">
        <v>45945</v>
      </c>
      <c r="R573" s="5">
        <v>45942</v>
      </c>
      <c r="S573" t="s">
        <v>33</v>
      </c>
      <c r="T573" s="6">
        <v>5</v>
      </c>
      <c r="U573" t="s">
        <v>127</v>
      </c>
      <c r="V573" s="10">
        <v>1119.3119999999999</v>
      </c>
      <c r="W573" s="10">
        <v>615.88</v>
      </c>
      <c r="X573" s="10">
        <v>483.31200000000013</v>
      </c>
      <c r="Y573" s="11">
        <v>0.43179381620138091</v>
      </c>
      <c r="Z573" s="6">
        <v>-3</v>
      </c>
      <c r="AA573" t="s">
        <v>35</v>
      </c>
    </row>
    <row r="574" spans="1:27" x14ac:dyDescent="0.25">
      <c r="A574" t="s">
        <v>715</v>
      </c>
      <c r="B574">
        <v>102</v>
      </c>
      <c r="C574" s="9">
        <v>45940.059548611112</v>
      </c>
      <c r="D574" t="s">
        <v>86</v>
      </c>
      <c r="E574" t="s">
        <v>87</v>
      </c>
      <c r="F574" t="s">
        <v>45</v>
      </c>
      <c r="G574">
        <v>0</v>
      </c>
      <c r="H574" s="6">
        <v>1</v>
      </c>
      <c r="I574" s="10">
        <v>46.67</v>
      </c>
      <c r="J574" s="10">
        <v>81.540000000000006</v>
      </c>
      <c r="L574" s="3">
        <v>0</v>
      </c>
      <c r="M574" t="s">
        <v>61</v>
      </c>
      <c r="N574" s="10">
        <v>28.03</v>
      </c>
      <c r="O574" t="s">
        <v>47</v>
      </c>
      <c r="P574" s="5">
        <v>45941</v>
      </c>
      <c r="Q574" s="5">
        <v>45949</v>
      </c>
      <c r="R574" s="5">
        <v>45948</v>
      </c>
      <c r="S574" t="s">
        <v>33</v>
      </c>
      <c r="T574" s="6">
        <v>4</v>
      </c>
      <c r="U574" t="s">
        <v>166</v>
      </c>
      <c r="V574" s="10">
        <v>81.540000000000006</v>
      </c>
      <c r="W574" s="10">
        <v>46.67</v>
      </c>
      <c r="X574" s="10">
        <v>6.8400000000000034</v>
      </c>
      <c r="Y574" s="11">
        <v>8.3885209713024322E-2</v>
      </c>
      <c r="Z574" s="6">
        <v>-1</v>
      </c>
      <c r="AA574" t="s">
        <v>35</v>
      </c>
    </row>
    <row r="575" spans="1:27" x14ac:dyDescent="0.25">
      <c r="A575" t="s">
        <v>716</v>
      </c>
      <c r="B575">
        <v>167</v>
      </c>
      <c r="C575" s="9">
        <v>45940.231550925928</v>
      </c>
      <c r="D575" t="s">
        <v>86</v>
      </c>
      <c r="E575" t="s">
        <v>87</v>
      </c>
      <c r="F575" t="s">
        <v>45</v>
      </c>
      <c r="G575">
        <v>0</v>
      </c>
      <c r="H575" s="6">
        <v>2</v>
      </c>
      <c r="I575" s="10">
        <v>55.72</v>
      </c>
      <c r="J575" s="10">
        <v>181.84</v>
      </c>
      <c r="L575" s="3">
        <v>0</v>
      </c>
      <c r="M575" t="s">
        <v>76</v>
      </c>
      <c r="N575" s="10">
        <v>28.49</v>
      </c>
      <c r="O575" t="s">
        <v>264</v>
      </c>
      <c r="P575" s="5">
        <v>45941</v>
      </c>
      <c r="Q575" s="5">
        <v>45946</v>
      </c>
      <c r="R575" s="5">
        <v>45949</v>
      </c>
      <c r="S575" t="s">
        <v>33</v>
      </c>
      <c r="T575" s="6">
        <v>1</v>
      </c>
      <c r="U575" t="s">
        <v>129</v>
      </c>
      <c r="V575" s="10">
        <v>363.68</v>
      </c>
      <c r="W575" s="10">
        <v>111.44</v>
      </c>
      <c r="X575" s="10">
        <v>223.75</v>
      </c>
      <c r="Y575" s="11">
        <v>0.61523867135943688</v>
      </c>
      <c r="Z575" s="6">
        <v>3</v>
      </c>
      <c r="AA575" t="s">
        <v>103</v>
      </c>
    </row>
    <row r="576" spans="1:27" x14ac:dyDescent="0.25">
      <c r="A576" t="s">
        <v>717</v>
      </c>
      <c r="B576">
        <v>37</v>
      </c>
      <c r="C576" s="9">
        <v>45941.109965277778</v>
      </c>
      <c r="D576" t="s">
        <v>105</v>
      </c>
      <c r="E576" t="s">
        <v>106</v>
      </c>
      <c r="F576" t="s">
        <v>30</v>
      </c>
      <c r="G576">
        <v>2085</v>
      </c>
      <c r="H576" s="6">
        <v>2</v>
      </c>
      <c r="I576" s="10">
        <v>262.13</v>
      </c>
      <c r="J576" s="10">
        <v>515.02</v>
      </c>
      <c r="L576" s="3">
        <v>0</v>
      </c>
      <c r="M576" t="s">
        <v>61</v>
      </c>
      <c r="N576" s="10">
        <v>93.28</v>
      </c>
      <c r="O576" t="s">
        <v>157</v>
      </c>
      <c r="P576" s="5">
        <v>45943</v>
      </c>
      <c r="Q576" s="5">
        <v>45952</v>
      </c>
      <c r="S576" t="s">
        <v>63</v>
      </c>
      <c r="T576" s="6">
        <v>1</v>
      </c>
      <c r="U576" t="s">
        <v>461</v>
      </c>
      <c r="V576" s="10">
        <v>1030.04</v>
      </c>
      <c r="W576" s="10">
        <v>524.26</v>
      </c>
      <c r="X576" s="10">
        <v>412.5</v>
      </c>
      <c r="Y576" s="11">
        <v>0.4004698846646732</v>
      </c>
      <c r="Z576" s="6"/>
      <c r="AA576" t="s">
        <v>56</v>
      </c>
    </row>
    <row r="577" spans="1:27" x14ac:dyDescent="0.25">
      <c r="A577" t="s">
        <v>718</v>
      </c>
      <c r="B577">
        <v>49</v>
      </c>
      <c r="C577" s="9">
        <v>45941.570115740738</v>
      </c>
      <c r="D577" t="s">
        <v>92</v>
      </c>
      <c r="E577" t="s">
        <v>93</v>
      </c>
      <c r="F577" t="s">
        <v>52</v>
      </c>
      <c r="G577">
        <v>247</v>
      </c>
      <c r="H577" s="6">
        <v>2</v>
      </c>
      <c r="I577" s="10">
        <v>27.46</v>
      </c>
      <c r="J577" s="10">
        <v>84.85</v>
      </c>
      <c r="K577" t="s">
        <v>60</v>
      </c>
      <c r="L577" s="3">
        <v>0.2</v>
      </c>
      <c r="M577" t="s">
        <v>61</v>
      </c>
      <c r="N577" s="10">
        <v>53.1</v>
      </c>
      <c r="O577" t="s">
        <v>97</v>
      </c>
      <c r="P577" s="5">
        <v>45943</v>
      </c>
      <c r="Q577" s="5">
        <v>45953</v>
      </c>
      <c r="R577" s="5">
        <v>45949</v>
      </c>
      <c r="S577" t="s">
        <v>33</v>
      </c>
      <c r="T577" s="6">
        <v>5</v>
      </c>
      <c r="U577" t="s">
        <v>34</v>
      </c>
      <c r="V577" s="10">
        <v>135.76</v>
      </c>
      <c r="W577" s="10">
        <v>54.92</v>
      </c>
      <c r="X577" s="10">
        <v>27.739999999999991</v>
      </c>
      <c r="Y577" s="11">
        <v>0.20433117265763101</v>
      </c>
      <c r="Z577" s="6">
        <v>-4</v>
      </c>
      <c r="AA577" t="s">
        <v>35</v>
      </c>
    </row>
    <row r="578" spans="1:27" x14ac:dyDescent="0.25">
      <c r="A578" t="s">
        <v>719</v>
      </c>
      <c r="B578">
        <v>164</v>
      </c>
      <c r="C578" s="9">
        <v>45942.364293981482</v>
      </c>
      <c r="D578" t="s">
        <v>37</v>
      </c>
      <c r="E578" t="s">
        <v>38</v>
      </c>
      <c r="F578" t="s">
        <v>30</v>
      </c>
      <c r="G578">
        <v>2017</v>
      </c>
      <c r="H578" s="6">
        <v>1</v>
      </c>
      <c r="I578" s="10">
        <v>461.14</v>
      </c>
      <c r="J578" s="10">
        <v>1136.54</v>
      </c>
      <c r="L578" s="3">
        <v>0</v>
      </c>
      <c r="M578" t="s">
        <v>61</v>
      </c>
      <c r="N578" s="10">
        <v>73</v>
      </c>
      <c r="O578" t="s">
        <v>62</v>
      </c>
      <c r="P578" s="5">
        <v>45944</v>
      </c>
      <c r="Q578" s="5">
        <v>45953</v>
      </c>
      <c r="R578" s="5">
        <v>45947</v>
      </c>
      <c r="S578" t="s">
        <v>33</v>
      </c>
      <c r="T578" s="6">
        <v>5</v>
      </c>
      <c r="U578" t="s">
        <v>84</v>
      </c>
      <c r="V578" s="10">
        <v>1136.54</v>
      </c>
      <c r="W578" s="10">
        <v>461.14</v>
      </c>
      <c r="X578" s="10">
        <v>602.4</v>
      </c>
      <c r="Y578" s="11">
        <v>0.53002973938444753</v>
      </c>
      <c r="Z578" s="6">
        <v>-6</v>
      </c>
      <c r="AA578" t="s">
        <v>35</v>
      </c>
    </row>
    <row r="579" spans="1:27" x14ac:dyDescent="0.25">
      <c r="A579" t="s">
        <v>720</v>
      </c>
      <c r="B579">
        <v>87</v>
      </c>
      <c r="C579" s="9">
        <v>45942.761145833327</v>
      </c>
      <c r="D579" t="s">
        <v>110</v>
      </c>
      <c r="E579" t="s">
        <v>111</v>
      </c>
      <c r="F579" t="s">
        <v>30</v>
      </c>
      <c r="G579">
        <v>2004</v>
      </c>
      <c r="H579" s="6">
        <v>1</v>
      </c>
      <c r="I579" s="10">
        <v>957.23</v>
      </c>
      <c r="J579" s="10">
        <v>2280.79</v>
      </c>
      <c r="L579" s="3">
        <v>0</v>
      </c>
      <c r="M579" t="s">
        <v>31</v>
      </c>
      <c r="N579" s="10">
        <v>73.680000000000007</v>
      </c>
      <c r="O579" t="s">
        <v>126</v>
      </c>
      <c r="P579" s="5">
        <v>45943</v>
      </c>
      <c r="Q579" s="5">
        <v>45948</v>
      </c>
      <c r="R579" s="5">
        <v>45949</v>
      </c>
      <c r="S579" t="s">
        <v>33</v>
      </c>
      <c r="T579" s="6">
        <v>1</v>
      </c>
      <c r="U579" t="s">
        <v>168</v>
      </c>
      <c r="V579" s="10">
        <v>2280.79</v>
      </c>
      <c r="W579" s="10">
        <v>957.23</v>
      </c>
      <c r="X579" s="10">
        <v>1249.8800000000001</v>
      </c>
      <c r="Y579" s="11">
        <v>0.54800310418758413</v>
      </c>
      <c r="Z579" s="6">
        <v>1</v>
      </c>
      <c r="AA579" t="s">
        <v>103</v>
      </c>
    </row>
    <row r="580" spans="1:27" x14ac:dyDescent="0.25">
      <c r="A580" t="s">
        <v>721</v>
      </c>
      <c r="B580">
        <v>193</v>
      </c>
      <c r="C580" s="9">
        <v>45943.031446759262</v>
      </c>
      <c r="D580" t="s">
        <v>123</v>
      </c>
      <c r="E580" t="s">
        <v>124</v>
      </c>
      <c r="F580" t="s">
        <v>45</v>
      </c>
      <c r="G580">
        <v>0</v>
      </c>
      <c r="H580" s="6">
        <v>1</v>
      </c>
      <c r="I580" s="10">
        <v>215.79</v>
      </c>
      <c r="J580" s="10">
        <v>271.52999999999997</v>
      </c>
      <c r="L580" s="3">
        <v>0</v>
      </c>
      <c r="M580" t="s">
        <v>31</v>
      </c>
      <c r="N580" s="10">
        <v>24.36</v>
      </c>
      <c r="O580" t="s">
        <v>47</v>
      </c>
      <c r="P580" s="5">
        <v>45944</v>
      </c>
      <c r="Q580" s="5">
        <v>45952</v>
      </c>
      <c r="R580" s="5">
        <v>45948</v>
      </c>
      <c r="S580" t="s">
        <v>33</v>
      </c>
      <c r="T580" s="6">
        <v>4</v>
      </c>
      <c r="U580" t="s">
        <v>34</v>
      </c>
      <c r="V580" s="10">
        <v>271.52999999999997</v>
      </c>
      <c r="W580" s="10">
        <v>215.79</v>
      </c>
      <c r="X580" s="10">
        <v>31.379999999999981</v>
      </c>
      <c r="Y580" s="11">
        <v>0.1155673406253452</v>
      </c>
      <c r="Z580" s="6">
        <v>-4</v>
      </c>
      <c r="AA580" t="s">
        <v>35</v>
      </c>
    </row>
    <row r="581" spans="1:27" x14ac:dyDescent="0.25">
      <c r="A581" t="s">
        <v>722</v>
      </c>
      <c r="B581">
        <v>168</v>
      </c>
      <c r="C581" s="9">
        <v>45943.182812500003</v>
      </c>
      <c r="D581" t="s">
        <v>164</v>
      </c>
      <c r="E581" t="s">
        <v>165</v>
      </c>
      <c r="F581" t="s">
        <v>116</v>
      </c>
      <c r="G581">
        <v>0</v>
      </c>
      <c r="H581" s="6">
        <v>1</v>
      </c>
      <c r="I581" s="10">
        <v>410.17</v>
      </c>
      <c r="J581" s="10">
        <v>624.34</v>
      </c>
      <c r="K581" t="s">
        <v>60</v>
      </c>
      <c r="L581" s="3">
        <v>0.2</v>
      </c>
      <c r="M581" t="s">
        <v>39</v>
      </c>
      <c r="N581" s="10">
        <v>29.58</v>
      </c>
      <c r="O581" t="s">
        <v>133</v>
      </c>
      <c r="P581" s="5">
        <v>45945</v>
      </c>
      <c r="Q581" s="5">
        <v>45952</v>
      </c>
      <c r="R581" s="5">
        <v>45949</v>
      </c>
      <c r="S581" t="s">
        <v>33</v>
      </c>
      <c r="T581" s="6">
        <v>4</v>
      </c>
      <c r="U581" t="s">
        <v>79</v>
      </c>
      <c r="V581" s="10">
        <v>499.47199999999998</v>
      </c>
      <c r="W581" s="10">
        <v>410.17</v>
      </c>
      <c r="X581" s="10">
        <v>59.722000000000023</v>
      </c>
      <c r="Y581" s="11">
        <v>0.1195702662011084</v>
      </c>
      <c r="Z581" s="6">
        <v>-3</v>
      </c>
      <c r="AA581" t="s">
        <v>35</v>
      </c>
    </row>
    <row r="582" spans="1:27" x14ac:dyDescent="0.25">
      <c r="A582" t="s">
        <v>723</v>
      </c>
      <c r="B582">
        <v>108</v>
      </c>
      <c r="C582" s="9">
        <v>45944.071226851847</v>
      </c>
      <c r="D582" t="s">
        <v>95</v>
      </c>
      <c r="E582" t="s">
        <v>96</v>
      </c>
      <c r="F582" t="s">
        <v>52</v>
      </c>
      <c r="G582">
        <v>598</v>
      </c>
      <c r="H582" s="6">
        <v>2</v>
      </c>
      <c r="I582" s="10">
        <v>47.5</v>
      </c>
      <c r="J582" s="10">
        <v>64.52</v>
      </c>
      <c r="K582" t="s">
        <v>46</v>
      </c>
      <c r="L582" s="3">
        <v>0.1</v>
      </c>
      <c r="M582" t="s">
        <v>31</v>
      </c>
      <c r="N582" s="10">
        <v>43.94</v>
      </c>
      <c r="O582" t="s">
        <v>47</v>
      </c>
      <c r="P582" s="5">
        <v>45946</v>
      </c>
      <c r="Q582" s="5">
        <v>45953</v>
      </c>
      <c r="R582" s="5">
        <v>45949</v>
      </c>
      <c r="S582" t="s">
        <v>33</v>
      </c>
      <c r="T582" s="6">
        <v>5</v>
      </c>
      <c r="U582" t="s">
        <v>211</v>
      </c>
      <c r="V582" s="10">
        <v>116.136</v>
      </c>
      <c r="W582" s="10">
        <v>95</v>
      </c>
      <c r="X582" s="10">
        <v>-22.803999999999998</v>
      </c>
      <c r="Y582" s="11">
        <v>-0.1963559964179927</v>
      </c>
      <c r="Z582" s="6">
        <v>-4</v>
      </c>
      <c r="AA582" t="s">
        <v>35</v>
      </c>
    </row>
    <row r="583" spans="1:27" x14ac:dyDescent="0.25">
      <c r="A583" t="s">
        <v>724</v>
      </c>
      <c r="B583">
        <v>135</v>
      </c>
      <c r="C583" s="9">
        <v>45944.142766203702</v>
      </c>
      <c r="D583" t="s">
        <v>137</v>
      </c>
      <c r="E583" t="s">
        <v>138</v>
      </c>
      <c r="F583" t="s">
        <v>52</v>
      </c>
      <c r="G583">
        <v>336</v>
      </c>
      <c r="H583" s="6">
        <v>2</v>
      </c>
      <c r="I583" s="10">
        <v>118.84</v>
      </c>
      <c r="J583" s="10">
        <v>198.47</v>
      </c>
      <c r="L583" s="3">
        <v>0</v>
      </c>
      <c r="M583" t="s">
        <v>31</v>
      </c>
      <c r="N583" s="10">
        <v>53.77</v>
      </c>
      <c r="O583" t="s">
        <v>47</v>
      </c>
      <c r="P583" s="5">
        <v>45946</v>
      </c>
      <c r="Q583" s="5">
        <v>45955</v>
      </c>
      <c r="R583" s="5">
        <v>45948</v>
      </c>
      <c r="S583" t="s">
        <v>33</v>
      </c>
      <c r="T583" s="6">
        <v>4</v>
      </c>
      <c r="U583" t="s">
        <v>117</v>
      </c>
      <c r="V583" s="10">
        <v>396.94</v>
      </c>
      <c r="W583" s="10">
        <v>237.68</v>
      </c>
      <c r="X583" s="10">
        <v>105.49</v>
      </c>
      <c r="Y583" s="11">
        <v>0.26575804907542699</v>
      </c>
      <c r="Z583" s="6">
        <v>-7</v>
      </c>
      <c r="AA583" t="s">
        <v>35</v>
      </c>
    </row>
    <row r="584" spans="1:27" x14ac:dyDescent="0.25">
      <c r="A584" t="s">
        <v>725</v>
      </c>
      <c r="B584">
        <v>85</v>
      </c>
      <c r="C584" s="9">
        <v>45944.310370370367</v>
      </c>
      <c r="D584" t="s">
        <v>148</v>
      </c>
      <c r="E584" t="s">
        <v>149</v>
      </c>
      <c r="F584" t="s">
        <v>30</v>
      </c>
      <c r="G584">
        <v>2669</v>
      </c>
      <c r="H584" s="6">
        <v>2</v>
      </c>
      <c r="I584" s="10">
        <v>569.66999999999996</v>
      </c>
      <c r="J584" s="10">
        <v>969.87</v>
      </c>
      <c r="L584" s="3">
        <v>0</v>
      </c>
      <c r="M584" t="s">
        <v>76</v>
      </c>
      <c r="N584" s="10">
        <v>75.069999999999993</v>
      </c>
      <c r="O584" t="s">
        <v>47</v>
      </c>
      <c r="P584" s="5">
        <v>45945</v>
      </c>
      <c r="Q584" s="5">
        <v>45951</v>
      </c>
      <c r="R584" s="5">
        <v>45950</v>
      </c>
      <c r="S584" t="s">
        <v>33</v>
      </c>
      <c r="T584" s="6">
        <v>5</v>
      </c>
      <c r="U584" t="s">
        <v>41</v>
      </c>
      <c r="V584" s="10">
        <v>1939.74</v>
      </c>
      <c r="W584" s="10">
        <v>1139.3399999999999</v>
      </c>
      <c r="X584" s="10">
        <v>725.33000000000015</v>
      </c>
      <c r="Y584" s="11">
        <v>0.37393155783764842</v>
      </c>
      <c r="Z584" s="6">
        <v>-1</v>
      </c>
      <c r="AA584" t="s">
        <v>35</v>
      </c>
    </row>
    <row r="585" spans="1:27" x14ac:dyDescent="0.25">
      <c r="A585" t="s">
        <v>726</v>
      </c>
      <c r="B585">
        <v>130</v>
      </c>
      <c r="C585" s="9">
        <v>45944.344988425917</v>
      </c>
      <c r="D585" t="s">
        <v>105</v>
      </c>
      <c r="E585" t="s">
        <v>106</v>
      </c>
      <c r="F585" t="s">
        <v>30</v>
      </c>
      <c r="G585">
        <v>2089</v>
      </c>
      <c r="H585" s="6">
        <v>1</v>
      </c>
      <c r="I585" s="10">
        <v>399.97</v>
      </c>
      <c r="J585" s="10">
        <v>614.88</v>
      </c>
      <c r="L585" s="3">
        <v>0</v>
      </c>
      <c r="M585" t="s">
        <v>76</v>
      </c>
      <c r="N585" s="10">
        <v>130.13</v>
      </c>
      <c r="O585" t="s">
        <v>97</v>
      </c>
      <c r="P585" s="5">
        <v>45946</v>
      </c>
      <c r="Q585" s="5">
        <v>45956</v>
      </c>
      <c r="S585" t="s">
        <v>54</v>
      </c>
      <c r="T585" s="6">
        <v>2</v>
      </c>
      <c r="U585" t="s">
        <v>140</v>
      </c>
      <c r="V585" s="10">
        <v>614.88</v>
      </c>
      <c r="W585" s="10">
        <v>399.97</v>
      </c>
      <c r="X585" s="10">
        <v>84.779999999999973</v>
      </c>
      <c r="Y585" s="11">
        <v>0.13788056206088989</v>
      </c>
      <c r="Z585" s="6"/>
      <c r="AA585" t="s">
        <v>56</v>
      </c>
    </row>
    <row r="586" spans="1:27" x14ac:dyDescent="0.25">
      <c r="A586" t="s">
        <v>727</v>
      </c>
      <c r="B586">
        <v>110</v>
      </c>
      <c r="C586" s="9">
        <v>45944.379629629628</v>
      </c>
      <c r="D586" t="s">
        <v>177</v>
      </c>
      <c r="E586" t="s">
        <v>178</v>
      </c>
      <c r="F586" t="s">
        <v>116</v>
      </c>
      <c r="G586">
        <v>0</v>
      </c>
      <c r="H586" s="6">
        <v>1</v>
      </c>
      <c r="I586" s="10">
        <v>278.95999999999998</v>
      </c>
      <c r="J586" s="10">
        <v>339.9</v>
      </c>
      <c r="K586" t="s">
        <v>60</v>
      </c>
      <c r="L586" s="3">
        <v>0.2</v>
      </c>
      <c r="M586" t="s">
        <v>61</v>
      </c>
      <c r="N586" s="10">
        <v>18.579999999999998</v>
      </c>
      <c r="O586" t="s">
        <v>62</v>
      </c>
      <c r="P586" s="5">
        <v>45945</v>
      </c>
      <c r="Q586" s="5">
        <v>45954</v>
      </c>
      <c r="R586" s="5">
        <v>45955</v>
      </c>
      <c r="S586" t="s">
        <v>33</v>
      </c>
      <c r="T586" s="6">
        <v>1</v>
      </c>
      <c r="U586" t="s">
        <v>140</v>
      </c>
      <c r="V586" s="10">
        <v>271.92</v>
      </c>
      <c r="W586" s="10">
        <v>278.95999999999998</v>
      </c>
      <c r="X586" s="10">
        <v>-25.619999999999958</v>
      </c>
      <c r="Y586" s="11">
        <v>-9.4218887908208149E-2</v>
      </c>
      <c r="Z586" s="6">
        <v>1</v>
      </c>
      <c r="AA586" t="s">
        <v>103</v>
      </c>
    </row>
    <row r="587" spans="1:27" x14ac:dyDescent="0.25">
      <c r="A587" t="s">
        <v>728</v>
      </c>
      <c r="B587">
        <v>72</v>
      </c>
      <c r="C587" s="9">
        <v>45944.482071759259</v>
      </c>
      <c r="D587" t="s">
        <v>66</v>
      </c>
      <c r="E587" t="s">
        <v>67</v>
      </c>
      <c r="F587" t="s">
        <v>52</v>
      </c>
      <c r="G587">
        <v>220</v>
      </c>
      <c r="H587" s="6">
        <v>2</v>
      </c>
      <c r="I587" s="10">
        <v>32.619999999999997</v>
      </c>
      <c r="J587" s="10">
        <v>133.63999999999999</v>
      </c>
      <c r="L587" s="3">
        <v>0</v>
      </c>
      <c r="M587" t="s">
        <v>31</v>
      </c>
      <c r="N587" s="10">
        <v>25.84</v>
      </c>
      <c r="O587" t="s">
        <v>47</v>
      </c>
      <c r="P587" s="5">
        <v>45946</v>
      </c>
      <c r="Q587" s="5">
        <v>45954</v>
      </c>
      <c r="R587" s="5">
        <v>45951</v>
      </c>
      <c r="S587" t="s">
        <v>33</v>
      </c>
      <c r="T587" s="6">
        <v>4</v>
      </c>
      <c r="U587" t="s">
        <v>84</v>
      </c>
      <c r="V587" s="10">
        <v>267.27999999999997</v>
      </c>
      <c r="W587" s="10">
        <v>65.239999999999995</v>
      </c>
      <c r="X587" s="10">
        <v>176.2</v>
      </c>
      <c r="Y587" s="11">
        <v>0.65923376234660269</v>
      </c>
      <c r="Z587" s="6">
        <v>-3</v>
      </c>
      <c r="AA587" t="s">
        <v>35</v>
      </c>
    </row>
    <row r="588" spans="1:27" x14ac:dyDescent="0.25">
      <c r="A588" t="s">
        <v>729</v>
      </c>
      <c r="B588">
        <v>34</v>
      </c>
      <c r="C588" s="9">
        <v>45944.755694444437</v>
      </c>
      <c r="D588" t="s">
        <v>164</v>
      </c>
      <c r="E588" t="s">
        <v>165</v>
      </c>
      <c r="F588" t="s">
        <v>116</v>
      </c>
      <c r="G588">
        <v>0</v>
      </c>
      <c r="H588" s="6">
        <v>2</v>
      </c>
      <c r="I588" s="10">
        <v>392.78</v>
      </c>
      <c r="J588" s="10">
        <v>745.38</v>
      </c>
      <c r="L588" s="3">
        <v>0</v>
      </c>
      <c r="M588" t="s">
        <v>61</v>
      </c>
      <c r="N588" s="10">
        <v>28.73</v>
      </c>
      <c r="O588" t="s">
        <v>150</v>
      </c>
      <c r="P588" s="5">
        <v>45946</v>
      </c>
      <c r="Q588" s="5">
        <v>45953</v>
      </c>
      <c r="R588" s="5">
        <v>45951</v>
      </c>
      <c r="S588" t="s">
        <v>33</v>
      </c>
      <c r="T588" s="6">
        <v>4</v>
      </c>
      <c r="U588" t="s">
        <v>79</v>
      </c>
      <c r="V588" s="10">
        <v>1490.76</v>
      </c>
      <c r="W588" s="10">
        <v>785.56</v>
      </c>
      <c r="X588" s="10">
        <v>676.47</v>
      </c>
      <c r="Y588" s="11">
        <v>0.45377525557433801</v>
      </c>
      <c r="Z588" s="6">
        <v>-2</v>
      </c>
      <c r="AA588" t="s">
        <v>35</v>
      </c>
    </row>
    <row r="589" spans="1:27" x14ac:dyDescent="0.25">
      <c r="A589" t="s">
        <v>730</v>
      </c>
      <c r="B589">
        <v>37</v>
      </c>
      <c r="C589" s="9">
        <v>45944.977835648147</v>
      </c>
      <c r="D589" t="s">
        <v>198</v>
      </c>
      <c r="E589" t="s">
        <v>199</v>
      </c>
      <c r="F589" t="s">
        <v>116</v>
      </c>
      <c r="G589">
        <v>0</v>
      </c>
      <c r="H589" s="6">
        <v>3</v>
      </c>
      <c r="I589" s="10">
        <v>411.9</v>
      </c>
      <c r="J589" s="10">
        <v>657.03</v>
      </c>
      <c r="L589" s="3">
        <v>0</v>
      </c>
      <c r="M589" t="s">
        <v>76</v>
      </c>
      <c r="N589" s="10">
        <v>21.56</v>
      </c>
      <c r="O589" t="s">
        <v>47</v>
      </c>
      <c r="P589" s="5">
        <v>45946</v>
      </c>
      <c r="Q589" s="5">
        <v>45954</v>
      </c>
      <c r="R589" s="5">
        <v>45958</v>
      </c>
      <c r="S589" t="s">
        <v>33</v>
      </c>
      <c r="T589" s="6">
        <v>2</v>
      </c>
      <c r="U589" t="s">
        <v>153</v>
      </c>
      <c r="V589" s="10">
        <v>1971.09</v>
      </c>
      <c r="W589" s="10">
        <v>1235.7</v>
      </c>
      <c r="X589" s="10">
        <v>713.83000000000015</v>
      </c>
      <c r="Y589" s="11">
        <v>0.36214987646429142</v>
      </c>
      <c r="Z589" s="6">
        <v>4</v>
      </c>
      <c r="AA589" t="s">
        <v>103</v>
      </c>
    </row>
    <row r="590" spans="1:27" x14ac:dyDescent="0.25">
      <c r="A590" t="s">
        <v>731</v>
      </c>
      <c r="B590">
        <v>23</v>
      </c>
      <c r="C590" s="9">
        <v>45945.36954861111</v>
      </c>
      <c r="D590" t="s">
        <v>86</v>
      </c>
      <c r="E590" t="s">
        <v>87</v>
      </c>
      <c r="F590" t="s">
        <v>45</v>
      </c>
      <c r="G590">
        <v>0</v>
      </c>
      <c r="H590" s="6">
        <v>1</v>
      </c>
      <c r="I590" s="10">
        <v>94.56</v>
      </c>
      <c r="J590" s="10">
        <v>135.11000000000001</v>
      </c>
      <c r="L590" s="3">
        <v>0</v>
      </c>
      <c r="M590" t="s">
        <v>61</v>
      </c>
      <c r="N590" s="10">
        <v>19.940000000000001</v>
      </c>
      <c r="O590" t="s">
        <v>99</v>
      </c>
      <c r="P590" s="5">
        <v>45946</v>
      </c>
      <c r="Q590" s="5">
        <v>45954</v>
      </c>
      <c r="R590" s="5">
        <v>45950</v>
      </c>
      <c r="S590" t="s">
        <v>33</v>
      </c>
      <c r="T590" s="6">
        <v>5</v>
      </c>
      <c r="U590" t="s">
        <v>112</v>
      </c>
      <c r="V590" s="10">
        <v>135.11000000000001</v>
      </c>
      <c r="W590" s="10">
        <v>94.56</v>
      </c>
      <c r="X590" s="10">
        <v>20.61000000000001</v>
      </c>
      <c r="Y590" s="11">
        <v>0.152542372881356</v>
      </c>
      <c r="Z590" s="6">
        <v>-4</v>
      </c>
      <c r="AA590" t="s">
        <v>35</v>
      </c>
    </row>
    <row r="591" spans="1:27" x14ac:dyDescent="0.25">
      <c r="A591" t="s">
        <v>732</v>
      </c>
      <c r="B591">
        <v>120</v>
      </c>
      <c r="C591" s="9">
        <v>45945.771493055552</v>
      </c>
      <c r="D591" t="s">
        <v>37</v>
      </c>
      <c r="E591" t="s">
        <v>38</v>
      </c>
      <c r="F591" t="s">
        <v>30</v>
      </c>
      <c r="G591">
        <v>2116</v>
      </c>
      <c r="H591" s="6">
        <v>3</v>
      </c>
      <c r="I591" s="10">
        <v>601.11</v>
      </c>
      <c r="J591" s="10">
        <v>1026.28</v>
      </c>
      <c r="L591" s="3">
        <v>0</v>
      </c>
      <c r="M591" t="s">
        <v>31</v>
      </c>
      <c r="N591" s="10">
        <v>144.53</v>
      </c>
      <c r="O591" t="s">
        <v>47</v>
      </c>
      <c r="P591" s="5">
        <v>45946</v>
      </c>
      <c r="Q591" s="5">
        <v>45954</v>
      </c>
      <c r="R591" s="5">
        <v>45952</v>
      </c>
      <c r="S591" t="s">
        <v>33</v>
      </c>
      <c r="T591" s="6">
        <v>4</v>
      </c>
      <c r="U591" t="s">
        <v>127</v>
      </c>
      <c r="V591" s="10">
        <v>3078.84</v>
      </c>
      <c r="W591" s="10">
        <v>1803.33</v>
      </c>
      <c r="X591" s="10">
        <v>1130.98</v>
      </c>
      <c r="Y591" s="11">
        <v>0.36733964739967012</v>
      </c>
      <c r="Z591" s="6">
        <v>-2</v>
      </c>
      <c r="AA591" t="s">
        <v>35</v>
      </c>
    </row>
    <row r="592" spans="1:27" x14ac:dyDescent="0.25">
      <c r="A592" t="s">
        <v>733</v>
      </c>
      <c r="B592">
        <v>89</v>
      </c>
      <c r="C592" s="9">
        <v>45946.215324074074</v>
      </c>
      <c r="D592" t="s">
        <v>137</v>
      </c>
      <c r="E592" t="s">
        <v>138</v>
      </c>
      <c r="F592" t="s">
        <v>52</v>
      </c>
      <c r="G592">
        <v>486</v>
      </c>
      <c r="H592" s="6">
        <v>2</v>
      </c>
      <c r="I592" s="10">
        <v>62.78</v>
      </c>
      <c r="J592" s="10">
        <v>213.95</v>
      </c>
      <c r="L592" s="3">
        <v>0</v>
      </c>
      <c r="M592" t="s">
        <v>31</v>
      </c>
      <c r="N592" s="10">
        <v>51.25</v>
      </c>
      <c r="O592" t="s">
        <v>126</v>
      </c>
      <c r="P592" s="5">
        <v>45947</v>
      </c>
      <c r="Q592" s="5">
        <v>45953</v>
      </c>
      <c r="R592" s="5">
        <v>45951</v>
      </c>
      <c r="S592" t="s">
        <v>33</v>
      </c>
      <c r="T592" s="6">
        <v>4</v>
      </c>
      <c r="U592" t="s">
        <v>79</v>
      </c>
      <c r="V592" s="10">
        <v>427.9</v>
      </c>
      <c r="W592" s="10">
        <v>125.56</v>
      </c>
      <c r="X592" s="10">
        <v>251.09</v>
      </c>
      <c r="Y592" s="11">
        <v>0.58679598036924507</v>
      </c>
      <c r="Z592" s="6">
        <v>-2</v>
      </c>
      <c r="AA592" t="s">
        <v>35</v>
      </c>
    </row>
    <row r="593" spans="1:27" x14ac:dyDescent="0.25">
      <c r="A593" t="s">
        <v>734</v>
      </c>
      <c r="B593">
        <v>4</v>
      </c>
      <c r="C593" s="9">
        <v>45946.874201388891</v>
      </c>
      <c r="D593" t="s">
        <v>86</v>
      </c>
      <c r="E593" t="s">
        <v>87</v>
      </c>
      <c r="F593" t="s">
        <v>45</v>
      </c>
      <c r="G593">
        <v>0</v>
      </c>
      <c r="H593" s="6">
        <v>1</v>
      </c>
      <c r="I593" s="10">
        <v>53.55</v>
      </c>
      <c r="J593" s="10">
        <v>99.96</v>
      </c>
      <c r="K593" t="s">
        <v>60</v>
      </c>
      <c r="L593" s="3">
        <v>0.2</v>
      </c>
      <c r="M593" t="s">
        <v>31</v>
      </c>
      <c r="N593" s="10">
        <v>15.43</v>
      </c>
      <c r="O593" t="s">
        <v>47</v>
      </c>
      <c r="P593" s="5">
        <v>45948</v>
      </c>
      <c r="Q593" s="5">
        <v>45955</v>
      </c>
      <c r="S593" t="s">
        <v>63</v>
      </c>
      <c r="T593" s="6">
        <v>2</v>
      </c>
      <c r="U593" t="s">
        <v>129</v>
      </c>
      <c r="V593" s="10">
        <v>79.968000000000004</v>
      </c>
      <c r="W593" s="10">
        <v>53.55</v>
      </c>
      <c r="X593" s="10">
        <v>10.98800000000001</v>
      </c>
      <c r="Y593" s="11">
        <v>0.13740496198479399</v>
      </c>
      <c r="Z593" s="6"/>
      <c r="AA593" t="s">
        <v>56</v>
      </c>
    </row>
    <row r="594" spans="1:27" x14ac:dyDescent="0.25">
      <c r="A594" t="s">
        <v>735</v>
      </c>
      <c r="B594">
        <v>57</v>
      </c>
      <c r="C594" s="9">
        <v>45947.049988425933</v>
      </c>
      <c r="D594" t="s">
        <v>43</v>
      </c>
      <c r="E594" t="s">
        <v>44</v>
      </c>
      <c r="F594" t="s">
        <v>45</v>
      </c>
      <c r="G594">
        <v>0</v>
      </c>
      <c r="H594" s="6">
        <v>1</v>
      </c>
      <c r="I594" s="10">
        <v>60.73</v>
      </c>
      <c r="J594" s="10">
        <v>98.6</v>
      </c>
      <c r="K594" t="s">
        <v>60</v>
      </c>
      <c r="L594" s="3">
        <v>0.2</v>
      </c>
      <c r="M594" t="s">
        <v>39</v>
      </c>
      <c r="N594" s="10">
        <v>27.69</v>
      </c>
      <c r="O594" t="s">
        <v>40</v>
      </c>
      <c r="P594" s="5">
        <v>45949</v>
      </c>
      <c r="Q594" s="5">
        <v>45958</v>
      </c>
      <c r="R594" s="5">
        <v>45955</v>
      </c>
      <c r="S594" t="s">
        <v>33</v>
      </c>
      <c r="T594" s="6">
        <v>5</v>
      </c>
      <c r="U594" t="s">
        <v>112</v>
      </c>
      <c r="V594" s="10">
        <v>78.88</v>
      </c>
      <c r="W594" s="10">
        <v>60.73</v>
      </c>
      <c r="X594" s="10">
        <v>-9.5400000000000027</v>
      </c>
      <c r="Y594" s="11">
        <v>-0.1209432048681542</v>
      </c>
      <c r="Z594" s="6">
        <v>-3</v>
      </c>
      <c r="AA594" t="s">
        <v>35</v>
      </c>
    </row>
    <row r="595" spans="1:27" x14ac:dyDescent="0.25">
      <c r="A595" t="s">
        <v>736</v>
      </c>
      <c r="B595">
        <v>161</v>
      </c>
      <c r="C595" s="9">
        <v>45947.089907407397</v>
      </c>
      <c r="D595" t="s">
        <v>28</v>
      </c>
      <c r="E595" t="s">
        <v>29</v>
      </c>
      <c r="F595" t="s">
        <v>30</v>
      </c>
      <c r="G595">
        <v>2691</v>
      </c>
      <c r="H595" s="6">
        <v>3</v>
      </c>
      <c r="I595" s="10">
        <v>2398.2199999999998</v>
      </c>
      <c r="J595" s="10">
        <v>3423.17</v>
      </c>
      <c r="K595" t="s">
        <v>60</v>
      </c>
      <c r="L595" s="3">
        <v>0.2</v>
      </c>
      <c r="M595" t="s">
        <v>39</v>
      </c>
      <c r="N595" s="10">
        <v>80.05</v>
      </c>
      <c r="O595" t="s">
        <v>47</v>
      </c>
      <c r="P595" s="5">
        <v>45949</v>
      </c>
      <c r="Q595" s="5">
        <v>45956</v>
      </c>
      <c r="R595" s="5">
        <v>45952</v>
      </c>
      <c r="S595" t="s">
        <v>33</v>
      </c>
      <c r="T595" s="6">
        <v>4</v>
      </c>
      <c r="U595" t="s">
        <v>69</v>
      </c>
      <c r="V595" s="10">
        <v>8215.6080000000002</v>
      </c>
      <c r="W595" s="10">
        <v>7194.66</v>
      </c>
      <c r="X595" s="10">
        <v>940.89800000000037</v>
      </c>
      <c r="Y595" s="11">
        <v>0.1145256687027911</v>
      </c>
      <c r="Z595" s="6">
        <v>-4</v>
      </c>
      <c r="AA595" t="s">
        <v>35</v>
      </c>
    </row>
    <row r="596" spans="1:27" x14ac:dyDescent="0.25">
      <c r="A596" t="s">
        <v>737</v>
      </c>
      <c r="B596">
        <v>148</v>
      </c>
      <c r="C596" s="9">
        <v>45948.912962962961</v>
      </c>
      <c r="D596" t="s">
        <v>50</v>
      </c>
      <c r="E596" t="s">
        <v>51</v>
      </c>
      <c r="F596" t="s">
        <v>52</v>
      </c>
      <c r="G596">
        <v>764</v>
      </c>
      <c r="H596" s="6">
        <v>2</v>
      </c>
      <c r="I596" s="10">
        <v>82.28</v>
      </c>
      <c r="J596" s="10">
        <v>336.54</v>
      </c>
      <c r="L596" s="3">
        <v>0</v>
      </c>
      <c r="M596" t="s">
        <v>39</v>
      </c>
      <c r="N596" s="10">
        <v>50.44</v>
      </c>
      <c r="O596" t="s">
        <v>62</v>
      </c>
      <c r="P596" s="5">
        <v>45949</v>
      </c>
      <c r="Q596" s="5">
        <v>45958</v>
      </c>
      <c r="R596" s="5">
        <v>45952</v>
      </c>
      <c r="S596" t="s">
        <v>33</v>
      </c>
      <c r="T596" s="6">
        <v>4</v>
      </c>
      <c r="U596" t="s">
        <v>79</v>
      </c>
      <c r="V596" s="10">
        <v>673.08</v>
      </c>
      <c r="W596" s="10">
        <v>164.56</v>
      </c>
      <c r="X596" s="10">
        <v>458.08</v>
      </c>
      <c r="Y596" s="11">
        <v>0.68057288880965117</v>
      </c>
      <c r="Z596" s="6">
        <v>-6</v>
      </c>
      <c r="AA596" t="s">
        <v>35</v>
      </c>
    </row>
    <row r="597" spans="1:27" x14ac:dyDescent="0.25">
      <c r="A597" t="s">
        <v>738</v>
      </c>
      <c r="B597">
        <v>126</v>
      </c>
      <c r="C597" s="9">
        <v>45950.154942129629</v>
      </c>
      <c r="D597" t="s">
        <v>155</v>
      </c>
      <c r="E597" t="s">
        <v>156</v>
      </c>
      <c r="F597" t="s">
        <v>30</v>
      </c>
      <c r="G597">
        <v>4847</v>
      </c>
      <c r="H597" s="6">
        <v>1</v>
      </c>
      <c r="I597" s="10">
        <v>1162.9100000000001</v>
      </c>
      <c r="J597" s="10">
        <v>1977.69</v>
      </c>
      <c r="L597" s="3">
        <v>0</v>
      </c>
      <c r="M597" t="s">
        <v>61</v>
      </c>
      <c r="N597" s="10">
        <v>130.49</v>
      </c>
      <c r="O597" t="s">
        <v>150</v>
      </c>
      <c r="P597" s="5">
        <v>45951</v>
      </c>
      <c r="Q597" s="5">
        <v>45958</v>
      </c>
      <c r="R597" s="5">
        <v>45954</v>
      </c>
      <c r="S597" t="s">
        <v>33</v>
      </c>
      <c r="T597" s="6">
        <v>5</v>
      </c>
      <c r="U597" t="s">
        <v>172</v>
      </c>
      <c r="V597" s="10">
        <v>1977.69</v>
      </c>
      <c r="W597" s="10">
        <v>1162.9100000000001</v>
      </c>
      <c r="X597" s="10">
        <v>684.29</v>
      </c>
      <c r="Y597" s="11">
        <v>0.34600468223027869</v>
      </c>
      <c r="Z597" s="6">
        <v>-4</v>
      </c>
      <c r="AA597" t="s">
        <v>35</v>
      </c>
    </row>
    <row r="598" spans="1:27" x14ac:dyDescent="0.25">
      <c r="A598" t="s">
        <v>739</v>
      </c>
      <c r="B598">
        <v>147</v>
      </c>
      <c r="C598" s="9">
        <v>45950.339861111112</v>
      </c>
      <c r="D598" t="s">
        <v>28</v>
      </c>
      <c r="E598" t="s">
        <v>29</v>
      </c>
      <c r="F598" t="s">
        <v>30</v>
      </c>
      <c r="G598">
        <v>2570</v>
      </c>
      <c r="H598" s="6">
        <v>3</v>
      </c>
      <c r="I598" s="10">
        <v>2381.9499999999998</v>
      </c>
      <c r="J598" s="10">
        <v>3566.75</v>
      </c>
      <c r="K598" t="s">
        <v>46</v>
      </c>
      <c r="L598" s="3">
        <v>0.1</v>
      </c>
      <c r="M598" t="s">
        <v>39</v>
      </c>
      <c r="N598" s="10">
        <v>71.25</v>
      </c>
      <c r="O598" t="s">
        <v>101</v>
      </c>
      <c r="P598" s="5">
        <v>45951</v>
      </c>
      <c r="Q598" s="5">
        <v>45958</v>
      </c>
      <c r="R598" s="5">
        <v>45956</v>
      </c>
      <c r="S598" t="s">
        <v>33</v>
      </c>
      <c r="T598" s="6">
        <v>5</v>
      </c>
      <c r="U598" t="s">
        <v>166</v>
      </c>
      <c r="V598" s="10">
        <v>9630.2250000000004</v>
      </c>
      <c r="W598" s="10">
        <v>7145.8499999999995</v>
      </c>
      <c r="X598" s="10">
        <v>2413.1250000000009</v>
      </c>
      <c r="Y598" s="11">
        <v>0.2505782575173478</v>
      </c>
      <c r="Z598" s="6">
        <v>-2</v>
      </c>
      <c r="AA598" t="s">
        <v>35</v>
      </c>
    </row>
    <row r="599" spans="1:27" x14ac:dyDescent="0.25">
      <c r="A599" t="s">
        <v>740</v>
      </c>
      <c r="B599">
        <v>195</v>
      </c>
      <c r="C599" s="9">
        <v>45950.471875000003</v>
      </c>
      <c r="D599" t="s">
        <v>114</v>
      </c>
      <c r="E599" t="s">
        <v>115</v>
      </c>
      <c r="F599" t="s">
        <v>116</v>
      </c>
      <c r="G599">
        <v>0</v>
      </c>
      <c r="H599" s="6">
        <v>3</v>
      </c>
      <c r="I599" s="10">
        <v>474.04</v>
      </c>
      <c r="J599" s="10">
        <v>747.99</v>
      </c>
      <c r="K599" t="s">
        <v>46</v>
      </c>
      <c r="L599" s="3">
        <v>0.1</v>
      </c>
      <c r="M599" t="s">
        <v>76</v>
      </c>
      <c r="N599" s="10">
        <v>21.49</v>
      </c>
      <c r="O599" t="s">
        <v>99</v>
      </c>
      <c r="P599" s="5">
        <v>45952</v>
      </c>
      <c r="Q599" s="5">
        <v>45959</v>
      </c>
      <c r="S599" t="s">
        <v>54</v>
      </c>
      <c r="T599" s="6">
        <v>4</v>
      </c>
      <c r="U599" t="s">
        <v>166</v>
      </c>
      <c r="V599" s="10">
        <v>2019.5730000000001</v>
      </c>
      <c r="W599" s="10">
        <v>1422.12</v>
      </c>
      <c r="X599" s="10">
        <v>575.96300000000019</v>
      </c>
      <c r="Y599" s="11">
        <v>0.28519048333484359</v>
      </c>
      <c r="Z599" s="6"/>
      <c r="AA599" t="s">
        <v>56</v>
      </c>
    </row>
    <row r="600" spans="1:27" x14ac:dyDescent="0.25">
      <c r="A600" t="s">
        <v>741</v>
      </c>
      <c r="B600">
        <v>58</v>
      </c>
      <c r="C600" s="9">
        <v>45950.961828703701</v>
      </c>
      <c r="D600" t="s">
        <v>37</v>
      </c>
      <c r="E600" t="s">
        <v>38</v>
      </c>
      <c r="F600" t="s">
        <v>30</v>
      </c>
      <c r="G600">
        <v>2171</v>
      </c>
      <c r="H600" s="6">
        <v>1</v>
      </c>
      <c r="I600" s="10">
        <v>506.86</v>
      </c>
      <c r="J600" s="10">
        <v>925</v>
      </c>
      <c r="K600" t="s">
        <v>60</v>
      </c>
      <c r="L600" s="3">
        <v>0.2</v>
      </c>
      <c r="M600" t="s">
        <v>61</v>
      </c>
      <c r="N600" s="10">
        <v>118.06</v>
      </c>
      <c r="O600" t="s">
        <v>99</v>
      </c>
      <c r="P600" s="5">
        <v>45952</v>
      </c>
      <c r="Q600" s="5">
        <v>45959</v>
      </c>
      <c r="R600" s="5">
        <v>45958</v>
      </c>
      <c r="S600" t="s">
        <v>33</v>
      </c>
      <c r="T600" s="6">
        <v>4</v>
      </c>
      <c r="U600" t="s">
        <v>211</v>
      </c>
      <c r="V600" s="10">
        <v>740</v>
      </c>
      <c r="W600" s="10">
        <v>506.86</v>
      </c>
      <c r="X600" s="10">
        <v>115.08</v>
      </c>
      <c r="Y600" s="11">
        <v>0.1555135135135135</v>
      </c>
      <c r="Z600" s="6">
        <v>-1</v>
      </c>
      <c r="AA600" t="s">
        <v>35</v>
      </c>
    </row>
    <row r="601" spans="1:27" x14ac:dyDescent="0.25">
      <c r="A601" t="s">
        <v>742</v>
      </c>
      <c r="B601">
        <v>52</v>
      </c>
      <c r="C601" s="9">
        <v>45951.414398148147</v>
      </c>
      <c r="D601" t="s">
        <v>198</v>
      </c>
      <c r="E601" t="s">
        <v>199</v>
      </c>
      <c r="F601" t="s">
        <v>116</v>
      </c>
      <c r="G601">
        <v>0</v>
      </c>
      <c r="H601" s="6">
        <v>3</v>
      </c>
      <c r="I601" s="10">
        <v>468.64</v>
      </c>
      <c r="J601" s="10">
        <v>625.37</v>
      </c>
      <c r="K601" t="s">
        <v>60</v>
      </c>
      <c r="L601" s="3">
        <v>0.2</v>
      </c>
      <c r="M601" t="s">
        <v>76</v>
      </c>
      <c r="N601" s="10">
        <v>21.87</v>
      </c>
      <c r="O601" t="s">
        <v>264</v>
      </c>
      <c r="P601" s="5">
        <v>45952</v>
      </c>
      <c r="Q601" s="5">
        <v>45959</v>
      </c>
      <c r="R601" s="5">
        <v>45958</v>
      </c>
      <c r="S601" t="s">
        <v>33</v>
      </c>
      <c r="T601" s="6">
        <v>5</v>
      </c>
      <c r="U601" t="s">
        <v>41</v>
      </c>
      <c r="V601" s="10">
        <v>1500.8879999999999</v>
      </c>
      <c r="W601" s="10">
        <v>1405.92</v>
      </c>
      <c r="X601" s="10">
        <v>73.09800000000007</v>
      </c>
      <c r="Y601" s="11">
        <v>4.8703167724707022E-2</v>
      </c>
      <c r="Z601" s="6">
        <v>-1</v>
      </c>
      <c r="AA601" t="s">
        <v>35</v>
      </c>
    </row>
    <row r="602" spans="1:27" x14ac:dyDescent="0.25">
      <c r="A602" t="s">
        <v>743</v>
      </c>
      <c r="B602">
        <v>70</v>
      </c>
      <c r="C602" s="9">
        <v>45952.016388888893</v>
      </c>
      <c r="D602" t="s">
        <v>66</v>
      </c>
      <c r="E602" t="s">
        <v>67</v>
      </c>
      <c r="F602" t="s">
        <v>52</v>
      </c>
      <c r="G602">
        <v>298</v>
      </c>
      <c r="H602" s="6">
        <v>3</v>
      </c>
      <c r="I602" s="10">
        <v>32.630000000000003</v>
      </c>
      <c r="J602" s="10">
        <v>127.33</v>
      </c>
      <c r="L602" s="3">
        <v>0</v>
      </c>
      <c r="M602" t="s">
        <v>76</v>
      </c>
      <c r="N602" s="10">
        <v>32.72</v>
      </c>
      <c r="O602" t="s">
        <v>47</v>
      </c>
      <c r="P602" s="5">
        <v>45953</v>
      </c>
      <c r="Q602" s="5">
        <v>45963</v>
      </c>
      <c r="R602" s="5">
        <v>45965</v>
      </c>
      <c r="S602" t="s">
        <v>33</v>
      </c>
      <c r="T602" s="6">
        <v>2</v>
      </c>
      <c r="U602" t="s">
        <v>131</v>
      </c>
      <c r="V602" s="10">
        <v>381.99</v>
      </c>
      <c r="W602" s="10">
        <v>97.890000000000015</v>
      </c>
      <c r="X602" s="10">
        <v>251.38</v>
      </c>
      <c r="Y602" s="11">
        <v>0.65808005445168727</v>
      </c>
      <c r="Z602" s="6">
        <v>2</v>
      </c>
      <c r="AA602" t="s">
        <v>103</v>
      </c>
    </row>
    <row r="603" spans="1:27" x14ac:dyDescent="0.25">
      <c r="A603" t="s">
        <v>744</v>
      </c>
      <c r="B603">
        <v>108</v>
      </c>
      <c r="C603" s="9">
        <v>45952.162129629629</v>
      </c>
      <c r="D603" t="s">
        <v>155</v>
      </c>
      <c r="E603" t="s">
        <v>156</v>
      </c>
      <c r="F603" t="s">
        <v>30</v>
      </c>
      <c r="G603">
        <v>4019</v>
      </c>
      <c r="H603" s="6">
        <v>1</v>
      </c>
      <c r="I603" s="10">
        <v>596.67999999999995</v>
      </c>
      <c r="J603" s="10">
        <v>933.32</v>
      </c>
      <c r="L603" s="3">
        <v>0</v>
      </c>
      <c r="M603" t="s">
        <v>61</v>
      </c>
      <c r="N603" s="10">
        <v>104.5</v>
      </c>
      <c r="O603" t="s">
        <v>40</v>
      </c>
      <c r="P603" s="5">
        <v>45953</v>
      </c>
      <c r="Q603" s="5">
        <v>45961</v>
      </c>
      <c r="R603" s="5">
        <v>45959</v>
      </c>
      <c r="S603" t="s">
        <v>33</v>
      </c>
      <c r="T603" s="6">
        <v>5</v>
      </c>
      <c r="U603" t="s">
        <v>34</v>
      </c>
      <c r="V603" s="10">
        <v>933.32</v>
      </c>
      <c r="W603" s="10">
        <v>596.67999999999995</v>
      </c>
      <c r="X603" s="10">
        <v>232.1400000000001</v>
      </c>
      <c r="Y603" s="11">
        <v>0.24872498178545421</v>
      </c>
      <c r="Z603" s="6">
        <v>-2</v>
      </c>
      <c r="AA603" t="s">
        <v>35</v>
      </c>
    </row>
    <row r="604" spans="1:27" x14ac:dyDescent="0.25">
      <c r="A604" t="s">
        <v>745</v>
      </c>
      <c r="B604">
        <v>125</v>
      </c>
      <c r="C604" s="9">
        <v>45953.094467592593</v>
      </c>
      <c r="D604" t="s">
        <v>58</v>
      </c>
      <c r="E604" t="s">
        <v>59</v>
      </c>
      <c r="F604" t="s">
        <v>30</v>
      </c>
      <c r="G604">
        <v>4530</v>
      </c>
      <c r="H604" s="6">
        <v>3</v>
      </c>
      <c r="I604" s="10">
        <v>404.95</v>
      </c>
      <c r="J604" s="10">
        <v>579.16999999999996</v>
      </c>
      <c r="K604" t="s">
        <v>60</v>
      </c>
      <c r="L604" s="3">
        <v>0.2</v>
      </c>
      <c r="M604" t="s">
        <v>61</v>
      </c>
      <c r="N604" s="10">
        <v>60.68</v>
      </c>
      <c r="O604" t="s">
        <v>62</v>
      </c>
      <c r="P604" s="5">
        <v>45955</v>
      </c>
      <c r="Q604" s="5">
        <v>45964</v>
      </c>
      <c r="R604" s="5">
        <v>45957</v>
      </c>
      <c r="S604" t="s">
        <v>33</v>
      </c>
      <c r="T604" s="6">
        <v>5</v>
      </c>
      <c r="U604" t="s">
        <v>211</v>
      </c>
      <c r="V604" s="10">
        <v>1390.008</v>
      </c>
      <c r="W604" s="10">
        <v>1214.8499999999999</v>
      </c>
      <c r="X604" s="10">
        <v>114.47799999999989</v>
      </c>
      <c r="Y604" s="11">
        <v>8.2357799379571855E-2</v>
      </c>
      <c r="Z604" s="6">
        <v>-7</v>
      </c>
      <c r="AA604" t="s">
        <v>35</v>
      </c>
    </row>
    <row r="605" spans="1:27" x14ac:dyDescent="0.25">
      <c r="A605" t="s">
        <v>746</v>
      </c>
      <c r="B605">
        <v>111</v>
      </c>
      <c r="C605" s="9">
        <v>45953.609571759262</v>
      </c>
      <c r="D605" t="s">
        <v>198</v>
      </c>
      <c r="E605" t="s">
        <v>199</v>
      </c>
      <c r="F605" t="s">
        <v>116</v>
      </c>
      <c r="G605">
        <v>0</v>
      </c>
      <c r="H605" s="6">
        <v>1</v>
      </c>
      <c r="I605" s="10">
        <v>327.05</v>
      </c>
      <c r="J605" s="10">
        <v>757.05</v>
      </c>
      <c r="L605" s="3">
        <v>0</v>
      </c>
      <c r="M605" t="s">
        <v>61</v>
      </c>
      <c r="N605" s="10">
        <v>25.27</v>
      </c>
      <c r="O605" t="s">
        <v>32</v>
      </c>
      <c r="P605" s="5">
        <v>45954</v>
      </c>
      <c r="Q605" s="5">
        <v>45962</v>
      </c>
      <c r="S605" t="s">
        <v>161</v>
      </c>
      <c r="T605" s="6">
        <v>3</v>
      </c>
      <c r="U605" t="s">
        <v>55</v>
      </c>
      <c r="V605" s="10">
        <v>757.05</v>
      </c>
      <c r="W605" s="10">
        <v>327.05</v>
      </c>
      <c r="X605" s="10">
        <v>404.73</v>
      </c>
      <c r="Y605" s="11">
        <v>0.53461462254804837</v>
      </c>
      <c r="Z605" s="6"/>
      <c r="AA605" t="s">
        <v>56</v>
      </c>
    </row>
    <row r="606" spans="1:27" x14ac:dyDescent="0.25">
      <c r="A606" t="s">
        <v>747</v>
      </c>
      <c r="B606">
        <v>63</v>
      </c>
      <c r="C606" s="9">
        <v>45954.386319444442</v>
      </c>
      <c r="D606" t="s">
        <v>71</v>
      </c>
      <c r="E606" t="s">
        <v>72</v>
      </c>
      <c r="F606" t="s">
        <v>52</v>
      </c>
      <c r="G606">
        <v>254</v>
      </c>
      <c r="H606" s="6">
        <v>2</v>
      </c>
      <c r="I606" s="10">
        <v>33.86</v>
      </c>
      <c r="J606" s="10">
        <v>66.25</v>
      </c>
      <c r="L606" s="3">
        <v>0</v>
      </c>
      <c r="M606" t="s">
        <v>31</v>
      </c>
      <c r="N606" s="10">
        <v>33.74</v>
      </c>
      <c r="O606" t="s">
        <v>150</v>
      </c>
      <c r="P606" s="5">
        <v>45956</v>
      </c>
      <c r="Q606" s="5">
        <v>45965</v>
      </c>
      <c r="R606" s="5">
        <v>45960</v>
      </c>
      <c r="S606" t="s">
        <v>33</v>
      </c>
      <c r="T606" s="6">
        <v>4</v>
      </c>
      <c r="U606" t="s">
        <v>41</v>
      </c>
      <c r="V606" s="10">
        <v>132.5</v>
      </c>
      <c r="W606" s="10">
        <v>67.72</v>
      </c>
      <c r="X606" s="10">
        <v>31.04</v>
      </c>
      <c r="Y606" s="11">
        <v>0.2342641509433962</v>
      </c>
      <c r="Z606" s="6">
        <v>-5</v>
      </c>
      <c r="AA606" t="s">
        <v>35</v>
      </c>
    </row>
    <row r="607" spans="1:27" x14ac:dyDescent="0.25">
      <c r="A607" t="s">
        <v>748</v>
      </c>
      <c r="B607">
        <v>83</v>
      </c>
      <c r="C607" s="9">
        <v>45954.859803240739</v>
      </c>
      <c r="D607" t="s">
        <v>92</v>
      </c>
      <c r="E607" t="s">
        <v>93</v>
      </c>
      <c r="F607" t="s">
        <v>52</v>
      </c>
      <c r="G607">
        <v>231</v>
      </c>
      <c r="H607" s="6">
        <v>2</v>
      </c>
      <c r="I607" s="10">
        <v>47.44</v>
      </c>
      <c r="J607" s="10">
        <v>63.81</v>
      </c>
      <c r="L607" s="3">
        <v>0</v>
      </c>
      <c r="M607" t="s">
        <v>76</v>
      </c>
      <c r="N607" s="10">
        <v>20.78</v>
      </c>
      <c r="O607" t="s">
        <v>83</v>
      </c>
      <c r="P607" s="5">
        <v>45956</v>
      </c>
      <c r="Q607" s="5">
        <v>45963</v>
      </c>
      <c r="S607" t="s">
        <v>161</v>
      </c>
      <c r="T607" s="6">
        <v>1</v>
      </c>
      <c r="U607" t="s">
        <v>140</v>
      </c>
      <c r="V607" s="10">
        <v>127.62</v>
      </c>
      <c r="W607" s="10">
        <v>94.88</v>
      </c>
      <c r="X607" s="10">
        <v>11.96000000000001</v>
      </c>
      <c r="Y607" s="11">
        <v>9.3715718539413947E-2</v>
      </c>
      <c r="Z607" s="6"/>
      <c r="AA607" t="s">
        <v>56</v>
      </c>
    </row>
    <row r="608" spans="1:27" x14ac:dyDescent="0.25">
      <c r="A608" t="s">
        <v>749</v>
      </c>
      <c r="B608">
        <v>22</v>
      </c>
      <c r="C608" s="9">
        <v>45955.244745370372</v>
      </c>
      <c r="D608" t="s">
        <v>110</v>
      </c>
      <c r="E608" t="s">
        <v>111</v>
      </c>
      <c r="F608" t="s">
        <v>30</v>
      </c>
      <c r="G608">
        <v>2101</v>
      </c>
      <c r="H608" s="6">
        <v>2</v>
      </c>
      <c r="I608" s="10">
        <v>1446.75</v>
      </c>
      <c r="J608" s="10">
        <v>2354.1</v>
      </c>
      <c r="L608" s="3">
        <v>0</v>
      </c>
      <c r="M608" t="s">
        <v>31</v>
      </c>
      <c r="N608" s="10">
        <v>128.31</v>
      </c>
      <c r="O608" t="s">
        <v>68</v>
      </c>
      <c r="P608" s="5">
        <v>45956</v>
      </c>
      <c r="Q608" s="5">
        <v>45962</v>
      </c>
      <c r="R608" s="5">
        <v>45960</v>
      </c>
      <c r="S608" t="s">
        <v>33</v>
      </c>
      <c r="T608" s="6">
        <v>4</v>
      </c>
      <c r="U608" t="s">
        <v>211</v>
      </c>
      <c r="V608" s="10">
        <v>4708.2</v>
      </c>
      <c r="W608" s="10">
        <v>2893.5</v>
      </c>
      <c r="X608" s="10">
        <v>1686.39</v>
      </c>
      <c r="Y608" s="11">
        <v>0.35818147062571681</v>
      </c>
      <c r="Z608" s="6">
        <v>-2</v>
      </c>
      <c r="AA608" t="s">
        <v>35</v>
      </c>
    </row>
    <row r="609" spans="1:27" x14ac:dyDescent="0.25">
      <c r="A609" t="s">
        <v>750</v>
      </c>
      <c r="B609">
        <v>21</v>
      </c>
      <c r="C609" s="9">
        <v>45955.5858912037</v>
      </c>
      <c r="D609" t="s">
        <v>110</v>
      </c>
      <c r="E609" t="s">
        <v>111</v>
      </c>
      <c r="F609" t="s">
        <v>30</v>
      </c>
      <c r="G609">
        <v>2048</v>
      </c>
      <c r="H609" s="6">
        <v>2</v>
      </c>
      <c r="I609" s="10">
        <v>962.14</v>
      </c>
      <c r="J609" s="10">
        <v>2330.61</v>
      </c>
      <c r="L609" s="3">
        <v>0</v>
      </c>
      <c r="M609" t="s">
        <v>76</v>
      </c>
      <c r="N609" s="10">
        <v>70.66</v>
      </c>
      <c r="O609" t="s">
        <v>150</v>
      </c>
      <c r="P609" s="5">
        <v>45957</v>
      </c>
      <c r="Q609" s="5">
        <v>45962</v>
      </c>
      <c r="R609" s="5">
        <v>45963</v>
      </c>
      <c r="S609" t="s">
        <v>33</v>
      </c>
      <c r="T609" s="6">
        <v>1</v>
      </c>
      <c r="U609" t="s">
        <v>248</v>
      </c>
      <c r="V609" s="10">
        <v>4661.22</v>
      </c>
      <c r="W609" s="10">
        <v>1924.28</v>
      </c>
      <c r="X609" s="10">
        <v>2666.2800000000011</v>
      </c>
      <c r="Y609" s="11">
        <v>0.57201333556450895</v>
      </c>
      <c r="Z609" s="6">
        <v>1</v>
      </c>
      <c r="AA609" t="s">
        <v>103</v>
      </c>
    </row>
    <row r="610" spans="1:27" x14ac:dyDescent="0.25">
      <c r="A610" t="s">
        <v>751</v>
      </c>
      <c r="B610">
        <v>184</v>
      </c>
      <c r="C610" s="9">
        <v>45955.623379629629</v>
      </c>
      <c r="D610" t="s">
        <v>95</v>
      </c>
      <c r="E610" t="s">
        <v>96</v>
      </c>
      <c r="F610" t="s">
        <v>52</v>
      </c>
      <c r="G610">
        <v>591</v>
      </c>
      <c r="H610" s="6">
        <v>1</v>
      </c>
      <c r="I610" s="10">
        <v>42.49</v>
      </c>
      <c r="J610" s="10">
        <v>54.86</v>
      </c>
      <c r="K610" t="s">
        <v>46</v>
      </c>
      <c r="L610" s="3">
        <v>0.1</v>
      </c>
      <c r="M610" t="s">
        <v>31</v>
      </c>
      <c r="N610" s="10">
        <v>34.340000000000003</v>
      </c>
      <c r="O610" t="s">
        <v>32</v>
      </c>
      <c r="P610" s="5">
        <v>45956</v>
      </c>
      <c r="Q610" s="5">
        <v>45962</v>
      </c>
      <c r="R610" s="5">
        <v>45961</v>
      </c>
      <c r="S610" t="s">
        <v>33</v>
      </c>
      <c r="T610" s="6">
        <v>4</v>
      </c>
      <c r="U610" t="s">
        <v>119</v>
      </c>
      <c r="V610" s="10">
        <v>49.374000000000002</v>
      </c>
      <c r="W610" s="10">
        <v>42.49</v>
      </c>
      <c r="X610" s="10">
        <v>-27.456</v>
      </c>
      <c r="Y610" s="11">
        <v>-0.55608214849921012</v>
      </c>
      <c r="Z610" s="6">
        <v>-1</v>
      </c>
      <c r="AA610" t="s">
        <v>35</v>
      </c>
    </row>
    <row r="611" spans="1:27" x14ac:dyDescent="0.25">
      <c r="A611" t="s">
        <v>752</v>
      </c>
      <c r="B611">
        <v>118</v>
      </c>
      <c r="C611" s="9">
        <v>45955.638657407413</v>
      </c>
      <c r="D611" t="s">
        <v>28</v>
      </c>
      <c r="E611" t="s">
        <v>29</v>
      </c>
      <c r="F611" t="s">
        <v>30</v>
      </c>
      <c r="G611">
        <v>2114</v>
      </c>
      <c r="H611" s="6">
        <v>1</v>
      </c>
      <c r="I611" s="10">
        <v>2212.64</v>
      </c>
      <c r="J611" s="10">
        <v>3269.04</v>
      </c>
      <c r="K611" t="s">
        <v>60</v>
      </c>
      <c r="L611" s="3">
        <v>0.2</v>
      </c>
      <c r="M611" t="s">
        <v>39</v>
      </c>
      <c r="N611" s="10">
        <v>120.37</v>
      </c>
      <c r="O611" t="s">
        <v>264</v>
      </c>
      <c r="P611" s="5">
        <v>45956</v>
      </c>
      <c r="Q611" s="5">
        <v>45964</v>
      </c>
      <c r="R611" s="5">
        <v>45962</v>
      </c>
      <c r="S611" t="s">
        <v>33</v>
      </c>
      <c r="T611" s="6">
        <v>4</v>
      </c>
      <c r="U611" t="s">
        <v>77</v>
      </c>
      <c r="V611" s="10">
        <v>2615.232</v>
      </c>
      <c r="W611" s="10">
        <v>2212.64</v>
      </c>
      <c r="X611" s="10">
        <v>282.22200000000009</v>
      </c>
      <c r="Y611" s="11">
        <v>0.10791470890536679</v>
      </c>
      <c r="Z611" s="6">
        <v>-2</v>
      </c>
      <c r="AA611" t="s">
        <v>35</v>
      </c>
    </row>
    <row r="612" spans="1:27" x14ac:dyDescent="0.25">
      <c r="A612" t="s">
        <v>753</v>
      </c>
      <c r="B612">
        <v>107</v>
      </c>
      <c r="C612" s="9">
        <v>45955.813923611109</v>
      </c>
      <c r="D612" t="s">
        <v>92</v>
      </c>
      <c r="E612" t="s">
        <v>93</v>
      </c>
      <c r="F612" t="s">
        <v>52</v>
      </c>
      <c r="G612">
        <v>276</v>
      </c>
      <c r="H612" s="6">
        <v>1</v>
      </c>
      <c r="I612" s="10">
        <v>20.420000000000002</v>
      </c>
      <c r="J612" s="10">
        <v>81.709999999999994</v>
      </c>
      <c r="K612" t="s">
        <v>60</v>
      </c>
      <c r="L612" s="3">
        <v>0.2</v>
      </c>
      <c r="M612" t="s">
        <v>31</v>
      </c>
      <c r="N612" s="10">
        <v>54.64</v>
      </c>
      <c r="O612" t="s">
        <v>62</v>
      </c>
      <c r="P612" s="5">
        <v>45957</v>
      </c>
      <c r="Q612" s="5">
        <v>45962</v>
      </c>
      <c r="R612" s="5">
        <v>45961</v>
      </c>
      <c r="S612" t="s">
        <v>33</v>
      </c>
      <c r="T612" s="6">
        <v>5</v>
      </c>
      <c r="U612" t="s">
        <v>69</v>
      </c>
      <c r="V612" s="10">
        <v>65.367999999999995</v>
      </c>
      <c r="W612" s="10">
        <v>20.420000000000002</v>
      </c>
      <c r="X612" s="10">
        <v>-9.6920000000000073</v>
      </c>
      <c r="Y612" s="11">
        <v>-0.1482682658181374</v>
      </c>
      <c r="Z612" s="6">
        <v>-1</v>
      </c>
      <c r="AA612" t="s">
        <v>35</v>
      </c>
    </row>
    <row r="613" spans="1:27" x14ac:dyDescent="0.25">
      <c r="A613" t="s">
        <v>754</v>
      </c>
      <c r="B613">
        <v>99</v>
      </c>
      <c r="C613" s="9">
        <v>45956.397129629629</v>
      </c>
      <c r="D613" t="s">
        <v>95</v>
      </c>
      <c r="E613" t="s">
        <v>96</v>
      </c>
      <c r="F613" t="s">
        <v>52</v>
      </c>
      <c r="G613">
        <v>337</v>
      </c>
      <c r="H613" s="6">
        <v>3</v>
      </c>
      <c r="I613" s="10">
        <v>34.99</v>
      </c>
      <c r="J613" s="10">
        <v>97.9</v>
      </c>
      <c r="L613" s="3">
        <v>0</v>
      </c>
      <c r="M613" t="s">
        <v>76</v>
      </c>
      <c r="N613" s="10">
        <v>37.619999999999997</v>
      </c>
      <c r="O613" t="s">
        <v>133</v>
      </c>
      <c r="P613" s="5">
        <v>45958</v>
      </c>
      <c r="Q613" s="5">
        <v>45963</v>
      </c>
      <c r="R613" s="5">
        <v>45961</v>
      </c>
      <c r="S613" t="s">
        <v>33</v>
      </c>
      <c r="T613" s="6">
        <v>4</v>
      </c>
      <c r="U613" t="s">
        <v>41</v>
      </c>
      <c r="V613" s="10">
        <v>293.7</v>
      </c>
      <c r="W613" s="10">
        <v>104.97</v>
      </c>
      <c r="X613" s="10">
        <v>151.11000000000001</v>
      </c>
      <c r="Y613" s="11">
        <v>0.51450459652706848</v>
      </c>
      <c r="Z613" s="6">
        <v>-2</v>
      </c>
      <c r="AA613" t="s">
        <v>35</v>
      </c>
    </row>
    <row r="614" spans="1:27" x14ac:dyDescent="0.25">
      <c r="A614" t="s">
        <v>755</v>
      </c>
      <c r="B614">
        <v>123</v>
      </c>
      <c r="C614" s="9">
        <v>45956.422835648147</v>
      </c>
      <c r="D614" t="s">
        <v>74</v>
      </c>
      <c r="E614" t="s">
        <v>75</v>
      </c>
      <c r="F614" t="s">
        <v>30</v>
      </c>
      <c r="G614">
        <v>2236</v>
      </c>
      <c r="H614" s="6">
        <v>3</v>
      </c>
      <c r="I614" s="10">
        <v>2574.73</v>
      </c>
      <c r="J614" s="10">
        <v>4446.8599999999997</v>
      </c>
      <c r="L614" s="3">
        <v>0</v>
      </c>
      <c r="M614" t="s">
        <v>31</v>
      </c>
      <c r="N614" s="10">
        <v>124.99</v>
      </c>
      <c r="O614" t="s">
        <v>97</v>
      </c>
      <c r="P614" s="5">
        <v>45957</v>
      </c>
      <c r="Q614" s="5">
        <v>45964</v>
      </c>
      <c r="R614" s="5">
        <v>45959</v>
      </c>
      <c r="S614" t="s">
        <v>33</v>
      </c>
      <c r="T614" s="6">
        <v>4</v>
      </c>
      <c r="U614" t="s">
        <v>134</v>
      </c>
      <c r="V614" s="10">
        <v>13340.58</v>
      </c>
      <c r="W614" s="10">
        <v>7724.1900000000014</v>
      </c>
      <c r="X614" s="10">
        <v>5491.3999999999978</v>
      </c>
      <c r="Y614" s="11">
        <v>0.41163127840018943</v>
      </c>
      <c r="Z614" s="6">
        <v>-5</v>
      </c>
      <c r="AA614" t="s">
        <v>35</v>
      </c>
    </row>
    <row r="615" spans="1:27" x14ac:dyDescent="0.25">
      <c r="A615" t="s">
        <v>756</v>
      </c>
      <c r="B615">
        <v>99</v>
      </c>
      <c r="C615" s="9">
        <v>45956.528935185182</v>
      </c>
      <c r="D615" t="s">
        <v>114</v>
      </c>
      <c r="E615" t="s">
        <v>115</v>
      </c>
      <c r="F615" t="s">
        <v>116</v>
      </c>
      <c r="G615">
        <v>0</v>
      </c>
      <c r="H615" s="6">
        <v>1</v>
      </c>
      <c r="I615" s="10">
        <v>476.1</v>
      </c>
      <c r="J615" s="10">
        <v>600.04</v>
      </c>
      <c r="L615" s="3">
        <v>0</v>
      </c>
      <c r="M615" t="s">
        <v>76</v>
      </c>
      <c r="N615" s="10">
        <v>27.85</v>
      </c>
      <c r="O615" t="s">
        <v>99</v>
      </c>
      <c r="P615" s="5">
        <v>45957</v>
      </c>
      <c r="Q615" s="5">
        <v>45967</v>
      </c>
      <c r="S615" t="s">
        <v>161</v>
      </c>
      <c r="T615" s="6">
        <v>3</v>
      </c>
      <c r="U615" t="s">
        <v>146</v>
      </c>
      <c r="V615" s="10">
        <v>600.04</v>
      </c>
      <c r="W615" s="10">
        <v>476.1</v>
      </c>
      <c r="X615" s="10">
        <v>96.089999999999947</v>
      </c>
      <c r="Y615" s="11">
        <v>0.16013932404506359</v>
      </c>
      <c r="Z615" s="6"/>
      <c r="AA615" t="s">
        <v>56</v>
      </c>
    </row>
    <row r="616" spans="1:27" x14ac:dyDescent="0.25">
      <c r="A616" t="s">
        <v>757</v>
      </c>
      <c r="B616">
        <v>161</v>
      </c>
      <c r="C616" s="9">
        <v>45956.532384259262</v>
      </c>
      <c r="D616" t="s">
        <v>148</v>
      </c>
      <c r="E616" t="s">
        <v>149</v>
      </c>
      <c r="F616" t="s">
        <v>30</v>
      </c>
      <c r="G616">
        <v>3438</v>
      </c>
      <c r="H616" s="6">
        <v>3</v>
      </c>
      <c r="I616" s="10">
        <v>383.25</v>
      </c>
      <c r="J616" s="10">
        <v>835.7</v>
      </c>
      <c r="L616" s="3">
        <v>0</v>
      </c>
      <c r="M616" t="s">
        <v>31</v>
      </c>
      <c r="N616" s="10">
        <v>123.76</v>
      </c>
      <c r="O616" t="s">
        <v>97</v>
      </c>
      <c r="P616" s="5">
        <v>45958</v>
      </c>
      <c r="Q616" s="5">
        <v>45966</v>
      </c>
      <c r="R616" s="5">
        <v>45966</v>
      </c>
      <c r="S616" t="s">
        <v>33</v>
      </c>
      <c r="T616" s="6">
        <v>4</v>
      </c>
      <c r="U616" t="s">
        <v>79</v>
      </c>
      <c r="V616" s="10">
        <v>2507.1</v>
      </c>
      <c r="W616" s="10">
        <v>1149.75</v>
      </c>
      <c r="X616" s="10">
        <v>1233.5899999999999</v>
      </c>
      <c r="Y616" s="11">
        <v>0.49203861034661572</v>
      </c>
      <c r="Z616" s="6">
        <v>0</v>
      </c>
      <c r="AA616" t="s">
        <v>35</v>
      </c>
    </row>
    <row r="617" spans="1:27" x14ac:dyDescent="0.25">
      <c r="A617" t="s">
        <v>758</v>
      </c>
      <c r="B617">
        <v>75</v>
      </c>
      <c r="C617" s="9">
        <v>45956.780868055554</v>
      </c>
      <c r="D617" t="s">
        <v>105</v>
      </c>
      <c r="E617" t="s">
        <v>106</v>
      </c>
      <c r="F617" t="s">
        <v>30</v>
      </c>
      <c r="G617">
        <v>2055</v>
      </c>
      <c r="H617" s="6">
        <v>1</v>
      </c>
      <c r="I617" s="10">
        <v>370.77</v>
      </c>
      <c r="J617" s="10">
        <v>500.29</v>
      </c>
      <c r="K617" t="s">
        <v>46</v>
      </c>
      <c r="L617" s="3">
        <v>0.1</v>
      </c>
      <c r="M617" t="s">
        <v>31</v>
      </c>
      <c r="N617" s="10">
        <v>143.71</v>
      </c>
      <c r="O617" t="s">
        <v>157</v>
      </c>
      <c r="P617" s="5">
        <v>45958</v>
      </c>
      <c r="Q617" s="5">
        <v>45967</v>
      </c>
      <c r="R617" s="5">
        <v>45968</v>
      </c>
      <c r="S617" t="s">
        <v>33</v>
      </c>
      <c r="T617" s="6">
        <v>2</v>
      </c>
      <c r="U617" t="s">
        <v>180</v>
      </c>
      <c r="V617" s="10">
        <v>450.26100000000002</v>
      </c>
      <c r="W617" s="10">
        <v>370.77</v>
      </c>
      <c r="X617" s="10">
        <v>-64.218999999999966</v>
      </c>
      <c r="Y617" s="11">
        <v>-0.14262616571277539</v>
      </c>
      <c r="Z617" s="6">
        <v>1</v>
      </c>
      <c r="AA617" t="s">
        <v>103</v>
      </c>
    </row>
    <row r="618" spans="1:27" x14ac:dyDescent="0.25">
      <c r="A618" t="s">
        <v>759</v>
      </c>
      <c r="B618">
        <v>136</v>
      </c>
      <c r="C618" s="9">
        <v>45957.246666666673</v>
      </c>
      <c r="D618" t="s">
        <v>155</v>
      </c>
      <c r="E618" t="s">
        <v>156</v>
      </c>
      <c r="F618" t="s">
        <v>30</v>
      </c>
      <c r="G618">
        <v>4374</v>
      </c>
      <c r="H618" s="6">
        <v>1</v>
      </c>
      <c r="I618" s="10">
        <v>615.99</v>
      </c>
      <c r="J618" s="10">
        <v>1091.21</v>
      </c>
      <c r="L618" s="3">
        <v>0</v>
      </c>
      <c r="M618" t="s">
        <v>39</v>
      </c>
      <c r="N618" s="10">
        <v>96.82</v>
      </c>
      <c r="O618" t="s">
        <v>40</v>
      </c>
      <c r="P618" s="5">
        <v>45959</v>
      </c>
      <c r="Q618" s="5">
        <v>45968</v>
      </c>
      <c r="R618" s="5">
        <v>45966</v>
      </c>
      <c r="S618" t="s">
        <v>33</v>
      </c>
      <c r="T618" s="6">
        <v>5</v>
      </c>
      <c r="U618" t="s">
        <v>48</v>
      </c>
      <c r="V618" s="10">
        <v>1091.21</v>
      </c>
      <c r="W618" s="10">
        <v>615.99</v>
      </c>
      <c r="X618" s="10">
        <v>378.4</v>
      </c>
      <c r="Y618" s="11">
        <v>0.34677101566151342</v>
      </c>
      <c r="Z618" s="6">
        <v>-2</v>
      </c>
      <c r="AA618" t="s">
        <v>35</v>
      </c>
    </row>
    <row r="619" spans="1:27" x14ac:dyDescent="0.25">
      <c r="A619" t="s">
        <v>760</v>
      </c>
      <c r="B619">
        <v>1</v>
      </c>
      <c r="C619" s="9">
        <v>45957.445196759261</v>
      </c>
      <c r="D619" t="s">
        <v>137</v>
      </c>
      <c r="E619" t="s">
        <v>138</v>
      </c>
      <c r="F619" t="s">
        <v>52</v>
      </c>
      <c r="G619">
        <v>375</v>
      </c>
      <c r="H619" s="6">
        <v>2</v>
      </c>
      <c r="I619" s="10">
        <v>80.73</v>
      </c>
      <c r="J619" s="10">
        <v>268.57</v>
      </c>
      <c r="L619" s="3">
        <v>0</v>
      </c>
      <c r="M619" t="s">
        <v>39</v>
      </c>
      <c r="N619" s="10">
        <v>42.17</v>
      </c>
      <c r="O619" t="s">
        <v>47</v>
      </c>
      <c r="P619" s="5">
        <v>45958</v>
      </c>
      <c r="Q619" s="5">
        <v>45968</v>
      </c>
      <c r="R619" s="5">
        <v>45966</v>
      </c>
      <c r="S619" t="s">
        <v>33</v>
      </c>
      <c r="T619" s="6">
        <v>4</v>
      </c>
      <c r="U619" t="s">
        <v>117</v>
      </c>
      <c r="V619" s="10">
        <v>537.14</v>
      </c>
      <c r="W619" s="10">
        <v>161.46</v>
      </c>
      <c r="X619" s="10">
        <v>333.50999999999988</v>
      </c>
      <c r="Y619" s="11">
        <v>0.62089957925308104</v>
      </c>
      <c r="Z619" s="6">
        <v>-2</v>
      </c>
      <c r="AA619" t="s">
        <v>35</v>
      </c>
    </row>
    <row r="620" spans="1:27" x14ac:dyDescent="0.25">
      <c r="A620" t="s">
        <v>761</v>
      </c>
      <c r="B620">
        <v>85</v>
      </c>
      <c r="C620" s="9">
        <v>45957.662557870368</v>
      </c>
      <c r="D620" t="s">
        <v>105</v>
      </c>
      <c r="E620" t="s">
        <v>106</v>
      </c>
      <c r="F620" t="s">
        <v>30</v>
      </c>
      <c r="G620">
        <v>2074</v>
      </c>
      <c r="H620" s="6">
        <v>3</v>
      </c>
      <c r="I620" s="10">
        <v>231.77</v>
      </c>
      <c r="J620" s="10">
        <v>351.85</v>
      </c>
      <c r="L620" s="3">
        <v>0</v>
      </c>
      <c r="M620" t="s">
        <v>76</v>
      </c>
      <c r="N620" s="10">
        <v>136.02000000000001</v>
      </c>
      <c r="O620" t="s">
        <v>99</v>
      </c>
      <c r="P620" s="5">
        <v>45959</v>
      </c>
      <c r="Q620" s="5">
        <v>45969</v>
      </c>
      <c r="R620" s="5">
        <v>45966</v>
      </c>
      <c r="S620" t="s">
        <v>33</v>
      </c>
      <c r="T620" s="6">
        <v>4</v>
      </c>
      <c r="U620" t="s">
        <v>69</v>
      </c>
      <c r="V620" s="10">
        <v>1055.55</v>
      </c>
      <c r="W620" s="10">
        <v>695.31000000000006</v>
      </c>
      <c r="X620" s="10">
        <v>224.22000000000011</v>
      </c>
      <c r="Y620" s="11">
        <v>0.2124200653687652</v>
      </c>
      <c r="Z620" s="6">
        <v>-3</v>
      </c>
      <c r="AA620" t="s">
        <v>35</v>
      </c>
    </row>
    <row r="621" spans="1:27" x14ac:dyDescent="0.25">
      <c r="A621" t="s">
        <v>762</v>
      </c>
      <c r="B621">
        <v>22</v>
      </c>
      <c r="C621" s="9">
        <v>45958.003368055557</v>
      </c>
      <c r="D621" t="s">
        <v>28</v>
      </c>
      <c r="E621" t="s">
        <v>29</v>
      </c>
      <c r="F621" t="s">
        <v>30</v>
      </c>
      <c r="G621">
        <v>2790</v>
      </c>
      <c r="H621" s="6">
        <v>3</v>
      </c>
      <c r="I621" s="10">
        <v>2080.5100000000002</v>
      </c>
      <c r="J621" s="10">
        <v>3370.04</v>
      </c>
      <c r="K621" t="s">
        <v>46</v>
      </c>
      <c r="L621" s="3">
        <v>0.1</v>
      </c>
      <c r="M621" t="s">
        <v>39</v>
      </c>
      <c r="N621" s="10">
        <v>145.19</v>
      </c>
      <c r="O621" t="s">
        <v>62</v>
      </c>
      <c r="P621" s="5">
        <v>45959</v>
      </c>
      <c r="Q621" s="5">
        <v>45964</v>
      </c>
      <c r="S621" t="s">
        <v>54</v>
      </c>
      <c r="T621" s="6">
        <v>4</v>
      </c>
      <c r="U621" t="s">
        <v>172</v>
      </c>
      <c r="V621" s="10">
        <v>9099.1080000000002</v>
      </c>
      <c r="W621" s="10">
        <v>6241.5300000000007</v>
      </c>
      <c r="X621" s="10">
        <v>2712.387999999999</v>
      </c>
      <c r="Y621" s="11">
        <v>0.29809383513197107</v>
      </c>
      <c r="Z621" s="6"/>
      <c r="AA621" t="s">
        <v>56</v>
      </c>
    </row>
    <row r="622" spans="1:27" x14ac:dyDescent="0.25">
      <c r="A622" t="s">
        <v>763</v>
      </c>
      <c r="B622">
        <v>82</v>
      </c>
      <c r="C622" s="9">
        <v>45958.145937499998</v>
      </c>
      <c r="D622" t="s">
        <v>50</v>
      </c>
      <c r="E622" t="s">
        <v>51</v>
      </c>
      <c r="F622" t="s">
        <v>52</v>
      </c>
      <c r="G622">
        <v>722</v>
      </c>
      <c r="H622" s="6">
        <v>1</v>
      </c>
      <c r="I622" s="10">
        <v>174.44</v>
      </c>
      <c r="J622" s="10">
        <v>267.89999999999998</v>
      </c>
      <c r="L622" s="3">
        <v>0</v>
      </c>
      <c r="M622" t="s">
        <v>76</v>
      </c>
      <c r="N622" s="10">
        <v>46.4</v>
      </c>
      <c r="O622" t="s">
        <v>97</v>
      </c>
      <c r="P622" s="5">
        <v>45960</v>
      </c>
      <c r="Q622" s="5">
        <v>45967</v>
      </c>
      <c r="R622" s="5">
        <v>45963</v>
      </c>
      <c r="S622" t="s">
        <v>33</v>
      </c>
      <c r="T622" s="6">
        <v>4</v>
      </c>
      <c r="U622" t="s">
        <v>84</v>
      </c>
      <c r="V622" s="10">
        <v>267.89999999999998</v>
      </c>
      <c r="W622" s="10">
        <v>174.44</v>
      </c>
      <c r="X622" s="10">
        <v>47.059999999999981</v>
      </c>
      <c r="Y622" s="11">
        <v>0.17566256065696151</v>
      </c>
      <c r="Z622" s="6">
        <v>-4</v>
      </c>
      <c r="AA622" t="s">
        <v>35</v>
      </c>
    </row>
    <row r="623" spans="1:27" x14ac:dyDescent="0.25">
      <c r="A623" t="s">
        <v>764</v>
      </c>
      <c r="B623">
        <v>200</v>
      </c>
      <c r="C623" s="9">
        <v>45958.265914351847</v>
      </c>
      <c r="D623" t="s">
        <v>37</v>
      </c>
      <c r="E623" t="s">
        <v>38</v>
      </c>
      <c r="F623" t="s">
        <v>30</v>
      </c>
      <c r="G623">
        <v>2499</v>
      </c>
      <c r="H623" s="6">
        <v>3</v>
      </c>
      <c r="I623" s="10">
        <v>673.6</v>
      </c>
      <c r="J623" s="10">
        <v>887.94</v>
      </c>
      <c r="L623" s="3">
        <v>0</v>
      </c>
      <c r="M623" t="s">
        <v>39</v>
      </c>
      <c r="N623" s="10">
        <v>98.89</v>
      </c>
      <c r="O623" t="s">
        <v>40</v>
      </c>
      <c r="P623" s="5">
        <v>45960</v>
      </c>
      <c r="Q623" s="5">
        <v>45968</v>
      </c>
      <c r="R623" s="5">
        <v>45965</v>
      </c>
      <c r="S623" t="s">
        <v>33</v>
      </c>
      <c r="T623" s="6">
        <v>5</v>
      </c>
      <c r="U623" t="s">
        <v>127</v>
      </c>
      <c r="V623" s="10">
        <v>2663.82</v>
      </c>
      <c r="W623" s="10">
        <v>2020.8</v>
      </c>
      <c r="X623" s="10">
        <v>544.13</v>
      </c>
      <c r="Y623" s="11">
        <v>0.20426680481413911</v>
      </c>
      <c r="Z623" s="6">
        <v>-3</v>
      </c>
      <c r="AA623" t="s">
        <v>35</v>
      </c>
    </row>
    <row r="624" spans="1:27" x14ac:dyDescent="0.25">
      <c r="A624" t="s">
        <v>765</v>
      </c>
      <c r="B624">
        <v>11</v>
      </c>
      <c r="C624" s="9">
        <v>45959.562534722223</v>
      </c>
      <c r="D624" t="s">
        <v>92</v>
      </c>
      <c r="E624" t="s">
        <v>93</v>
      </c>
      <c r="F624" t="s">
        <v>52</v>
      </c>
      <c r="G624">
        <v>293</v>
      </c>
      <c r="H624" s="6">
        <v>1</v>
      </c>
      <c r="I624" s="10">
        <v>42.64</v>
      </c>
      <c r="J624" s="10">
        <v>83.56</v>
      </c>
      <c r="K624" t="s">
        <v>60</v>
      </c>
      <c r="L624" s="3">
        <v>0.2</v>
      </c>
      <c r="M624" t="s">
        <v>61</v>
      </c>
      <c r="N624" s="10">
        <v>28.86</v>
      </c>
      <c r="O624" t="s">
        <v>62</v>
      </c>
      <c r="P624" s="5">
        <v>45961</v>
      </c>
      <c r="Q624" s="5">
        <v>45970</v>
      </c>
      <c r="R624" s="5">
        <v>45968</v>
      </c>
      <c r="S624" t="s">
        <v>33</v>
      </c>
      <c r="T624" s="6">
        <v>5</v>
      </c>
      <c r="U624" t="s">
        <v>119</v>
      </c>
      <c r="V624" s="10">
        <v>66.847999999999999</v>
      </c>
      <c r="W624" s="10">
        <v>42.64</v>
      </c>
      <c r="X624" s="10">
        <v>-4.652000000000001</v>
      </c>
      <c r="Y624" s="11">
        <v>-6.9590713259933004E-2</v>
      </c>
      <c r="Z624" s="6">
        <v>-2</v>
      </c>
      <c r="AA624" t="s">
        <v>35</v>
      </c>
    </row>
    <row r="625" spans="1:27" x14ac:dyDescent="0.25">
      <c r="A625" t="s">
        <v>766</v>
      </c>
      <c r="B625">
        <v>131</v>
      </c>
      <c r="C625" s="9">
        <v>45959.952951388892</v>
      </c>
      <c r="D625" t="s">
        <v>71</v>
      </c>
      <c r="E625" t="s">
        <v>72</v>
      </c>
      <c r="F625" t="s">
        <v>52</v>
      </c>
      <c r="G625">
        <v>258</v>
      </c>
      <c r="H625" s="6">
        <v>1</v>
      </c>
      <c r="I625" s="10">
        <v>45.27</v>
      </c>
      <c r="J625" s="10">
        <v>148.65</v>
      </c>
      <c r="L625" s="3">
        <v>0</v>
      </c>
      <c r="M625" t="s">
        <v>31</v>
      </c>
      <c r="N625" s="10">
        <v>50.16</v>
      </c>
      <c r="O625" t="s">
        <v>40</v>
      </c>
      <c r="P625" s="5">
        <v>45960</v>
      </c>
      <c r="Q625" s="5">
        <v>45965</v>
      </c>
      <c r="R625" s="5">
        <v>45963</v>
      </c>
      <c r="S625" t="s">
        <v>33</v>
      </c>
      <c r="T625" s="6">
        <v>5</v>
      </c>
      <c r="U625" t="s">
        <v>119</v>
      </c>
      <c r="V625" s="10">
        <v>148.65</v>
      </c>
      <c r="W625" s="10">
        <v>45.27</v>
      </c>
      <c r="X625" s="10">
        <v>53.22</v>
      </c>
      <c r="Y625" s="11">
        <v>0.35802219979818362</v>
      </c>
      <c r="Z625" s="6">
        <v>-2</v>
      </c>
      <c r="AA625" t="s">
        <v>35</v>
      </c>
    </row>
    <row r="626" spans="1:27" x14ac:dyDescent="0.25">
      <c r="A626" t="s">
        <v>767</v>
      </c>
      <c r="B626">
        <v>14</v>
      </c>
      <c r="C626" s="9">
        <v>45961.315787037027</v>
      </c>
      <c r="D626" t="s">
        <v>28</v>
      </c>
      <c r="E626" t="s">
        <v>29</v>
      </c>
      <c r="F626" t="s">
        <v>30</v>
      </c>
      <c r="G626">
        <v>2664</v>
      </c>
      <c r="H626" s="6">
        <v>1</v>
      </c>
      <c r="I626" s="10">
        <v>2307.81</v>
      </c>
      <c r="J626" s="10">
        <v>3491.73</v>
      </c>
      <c r="L626" s="3">
        <v>0</v>
      </c>
      <c r="M626" t="s">
        <v>76</v>
      </c>
      <c r="N626" s="10">
        <v>132.41999999999999</v>
      </c>
      <c r="O626" t="s">
        <v>47</v>
      </c>
      <c r="P626" s="5">
        <v>45963</v>
      </c>
      <c r="Q626" s="5">
        <v>45969</v>
      </c>
      <c r="R626" s="5">
        <v>45973</v>
      </c>
      <c r="S626" t="s">
        <v>33</v>
      </c>
      <c r="T626" s="6">
        <v>1</v>
      </c>
      <c r="U626" t="s">
        <v>140</v>
      </c>
      <c r="V626" s="10">
        <v>3491.73</v>
      </c>
      <c r="W626" s="10">
        <v>2307.81</v>
      </c>
      <c r="X626" s="10">
        <v>1051.5</v>
      </c>
      <c r="Y626" s="11">
        <v>0.3011401225180641</v>
      </c>
      <c r="Z626" s="6">
        <v>4</v>
      </c>
      <c r="AA626" t="s">
        <v>103</v>
      </c>
    </row>
    <row r="627" spans="1:27" x14ac:dyDescent="0.25">
      <c r="A627" t="s">
        <v>768</v>
      </c>
      <c r="B627">
        <v>172</v>
      </c>
      <c r="C627" s="9">
        <v>45961.719421296293</v>
      </c>
      <c r="D627" t="s">
        <v>148</v>
      </c>
      <c r="E627" t="s">
        <v>149</v>
      </c>
      <c r="F627" t="s">
        <v>30</v>
      </c>
      <c r="G627">
        <v>3266</v>
      </c>
      <c r="H627" s="6">
        <v>3</v>
      </c>
      <c r="I627" s="10">
        <v>337.35</v>
      </c>
      <c r="J627" s="10">
        <v>510.53</v>
      </c>
      <c r="L627" s="3">
        <v>0</v>
      </c>
      <c r="M627" t="s">
        <v>31</v>
      </c>
      <c r="N627" s="10">
        <v>73.27</v>
      </c>
      <c r="O627" t="s">
        <v>68</v>
      </c>
      <c r="P627" s="5">
        <v>45962</v>
      </c>
      <c r="Q627" s="5">
        <v>45969</v>
      </c>
      <c r="S627" t="s">
        <v>63</v>
      </c>
      <c r="T627" s="6">
        <v>1</v>
      </c>
      <c r="U627" t="s">
        <v>258</v>
      </c>
      <c r="V627" s="10">
        <v>1531.59</v>
      </c>
      <c r="W627" s="10">
        <v>1012.05</v>
      </c>
      <c r="X627" s="10">
        <v>446.26999999999992</v>
      </c>
      <c r="Y627" s="11">
        <v>0.29137693508053708</v>
      </c>
      <c r="Z627" s="6"/>
      <c r="AA627" t="s">
        <v>56</v>
      </c>
    </row>
    <row r="628" spans="1:27" x14ac:dyDescent="0.25">
      <c r="A628" t="s">
        <v>769</v>
      </c>
      <c r="B628">
        <v>140</v>
      </c>
      <c r="C628" s="9">
        <v>45962.073634259257</v>
      </c>
      <c r="D628" t="s">
        <v>66</v>
      </c>
      <c r="E628" t="s">
        <v>67</v>
      </c>
      <c r="F628" t="s">
        <v>52</v>
      </c>
      <c r="G628">
        <v>262</v>
      </c>
      <c r="H628" s="6">
        <v>2</v>
      </c>
      <c r="I628" s="10">
        <v>75.86</v>
      </c>
      <c r="J628" s="10">
        <v>114.21</v>
      </c>
      <c r="K628" t="s">
        <v>46</v>
      </c>
      <c r="L628" s="3">
        <v>0.1</v>
      </c>
      <c r="M628" t="s">
        <v>31</v>
      </c>
      <c r="N628" s="10">
        <v>34.89</v>
      </c>
      <c r="O628" t="s">
        <v>47</v>
      </c>
      <c r="P628" s="5">
        <v>45963</v>
      </c>
      <c r="Q628" s="5">
        <v>45968</v>
      </c>
      <c r="R628" s="5">
        <v>45968</v>
      </c>
      <c r="S628" t="s">
        <v>33</v>
      </c>
      <c r="T628" s="6">
        <v>4</v>
      </c>
      <c r="U628" t="s">
        <v>84</v>
      </c>
      <c r="V628" s="10">
        <v>205.578</v>
      </c>
      <c r="W628" s="10">
        <v>151.72</v>
      </c>
      <c r="X628" s="10">
        <v>18.968</v>
      </c>
      <c r="Y628" s="11">
        <v>9.2266682232534619E-2</v>
      </c>
      <c r="Z628" s="6">
        <v>0</v>
      </c>
      <c r="AA628" t="s">
        <v>35</v>
      </c>
    </row>
    <row r="629" spans="1:27" x14ac:dyDescent="0.25">
      <c r="A629" t="s">
        <v>770</v>
      </c>
      <c r="B629">
        <v>92</v>
      </c>
      <c r="C629" s="9">
        <v>45962.123472222222</v>
      </c>
      <c r="D629" t="s">
        <v>58</v>
      </c>
      <c r="E629" t="s">
        <v>59</v>
      </c>
      <c r="F629" t="s">
        <v>30</v>
      </c>
      <c r="G629">
        <v>4231</v>
      </c>
      <c r="H629" s="6">
        <v>2</v>
      </c>
      <c r="I629" s="10">
        <v>355.1</v>
      </c>
      <c r="J629" s="10">
        <v>480.36</v>
      </c>
      <c r="K629" t="s">
        <v>60</v>
      </c>
      <c r="L629" s="3">
        <v>0.2</v>
      </c>
      <c r="M629" t="s">
        <v>31</v>
      </c>
      <c r="N629" s="10">
        <v>50.87</v>
      </c>
      <c r="O629" t="s">
        <v>62</v>
      </c>
      <c r="P629" s="5">
        <v>45963</v>
      </c>
      <c r="Q629" s="5">
        <v>45971</v>
      </c>
      <c r="R629" s="5">
        <v>45970</v>
      </c>
      <c r="S629" t="s">
        <v>33</v>
      </c>
      <c r="T629" s="6">
        <v>4</v>
      </c>
      <c r="U629" t="s">
        <v>48</v>
      </c>
      <c r="V629" s="10">
        <v>768.57600000000002</v>
      </c>
      <c r="W629" s="10">
        <v>710.2</v>
      </c>
      <c r="X629" s="10">
        <v>7.5059999999999789</v>
      </c>
      <c r="Y629" s="11">
        <v>9.7661129153134869E-3</v>
      </c>
      <c r="Z629" s="6">
        <v>-1</v>
      </c>
      <c r="AA629" t="s">
        <v>35</v>
      </c>
    </row>
    <row r="630" spans="1:27" x14ac:dyDescent="0.25">
      <c r="A630" t="s">
        <v>771</v>
      </c>
      <c r="B630">
        <v>169</v>
      </c>
      <c r="C630" s="9">
        <v>45962.382303240738</v>
      </c>
      <c r="D630" t="s">
        <v>58</v>
      </c>
      <c r="E630" t="s">
        <v>59</v>
      </c>
      <c r="F630" t="s">
        <v>30</v>
      </c>
      <c r="G630">
        <v>4090</v>
      </c>
      <c r="H630" s="6">
        <v>3</v>
      </c>
      <c r="I630" s="10">
        <v>349.35</v>
      </c>
      <c r="J630" s="10">
        <v>406.54</v>
      </c>
      <c r="L630" s="3">
        <v>0</v>
      </c>
      <c r="M630" t="s">
        <v>31</v>
      </c>
      <c r="N630" s="10">
        <v>74.97</v>
      </c>
      <c r="O630" t="s">
        <v>62</v>
      </c>
      <c r="P630" s="5">
        <v>45963</v>
      </c>
      <c r="Q630" s="5">
        <v>45969</v>
      </c>
      <c r="R630" s="5">
        <v>45965</v>
      </c>
      <c r="S630" t="s">
        <v>33</v>
      </c>
      <c r="T630" s="6">
        <v>5</v>
      </c>
      <c r="U630" t="s">
        <v>112</v>
      </c>
      <c r="V630" s="10">
        <v>1219.6199999999999</v>
      </c>
      <c r="W630" s="10">
        <v>1048.05</v>
      </c>
      <c r="X630" s="10">
        <v>96.599999999999937</v>
      </c>
      <c r="Y630" s="11">
        <v>7.9204998278152153E-2</v>
      </c>
      <c r="Z630" s="6">
        <v>-4</v>
      </c>
      <c r="AA630" t="s">
        <v>35</v>
      </c>
    </row>
    <row r="631" spans="1:27" x14ac:dyDescent="0.25">
      <c r="A631" t="s">
        <v>772</v>
      </c>
      <c r="B631">
        <v>89</v>
      </c>
      <c r="C631" s="9">
        <v>45963.599872685183</v>
      </c>
      <c r="D631" t="s">
        <v>155</v>
      </c>
      <c r="E631" t="s">
        <v>156</v>
      </c>
      <c r="F631" t="s">
        <v>30</v>
      </c>
      <c r="G631">
        <v>4550</v>
      </c>
      <c r="H631" s="6">
        <v>1</v>
      </c>
      <c r="I631" s="10">
        <v>1026.95</v>
      </c>
      <c r="J631" s="10">
        <v>1534.61</v>
      </c>
      <c r="K631" t="s">
        <v>60</v>
      </c>
      <c r="L631" s="3">
        <v>0.2</v>
      </c>
      <c r="M631" t="s">
        <v>31</v>
      </c>
      <c r="N631" s="10">
        <v>72.27</v>
      </c>
      <c r="O631" t="s">
        <v>264</v>
      </c>
      <c r="P631" s="5">
        <v>45964</v>
      </c>
      <c r="Q631" s="5">
        <v>45973</v>
      </c>
      <c r="R631" s="5">
        <v>45971</v>
      </c>
      <c r="S631" t="s">
        <v>33</v>
      </c>
      <c r="T631" s="6">
        <v>5</v>
      </c>
      <c r="U631" t="s">
        <v>41</v>
      </c>
      <c r="V631" s="10">
        <v>1227.6880000000001</v>
      </c>
      <c r="W631" s="10">
        <v>1026.95</v>
      </c>
      <c r="X631" s="10">
        <v>128.46799999999979</v>
      </c>
      <c r="Y631" s="11">
        <v>0.1046422218022819</v>
      </c>
      <c r="Z631" s="6">
        <v>-2</v>
      </c>
      <c r="AA631" t="s">
        <v>35</v>
      </c>
    </row>
    <row r="632" spans="1:27" x14ac:dyDescent="0.25">
      <c r="A632" t="s">
        <v>773</v>
      </c>
      <c r="B632">
        <v>3</v>
      </c>
      <c r="C632" s="9">
        <v>45963.816087962958</v>
      </c>
      <c r="D632" t="s">
        <v>50</v>
      </c>
      <c r="E632" t="s">
        <v>51</v>
      </c>
      <c r="F632" t="s">
        <v>52</v>
      </c>
      <c r="G632">
        <v>602</v>
      </c>
      <c r="H632" s="6">
        <v>2</v>
      </c>
      <c r="I632" s="10">
        <v>138.9</v>
      </c>
      <c r="J632" s="10">
        <v>182.17</v>
      </c>
      <c r="L632" s="3">
        <v>0</v>
      </c>
      <c r="M632" t="s">
        <v>76</v>
      </c>
      <c r="N632" s="10">
        <v>49.83</v>
      </c>
      <c r="O632" t="s">
        <v>97</v>
      </c>
      <c r="P632" s="5">
        <v>45964</v>
      </c>
      <c r="Q632" s="5">
        <v>45974</v>
      </c>
      <c r="S632" t="s">
        <v>63</v>
      </c>
      <c r="T632" s="6">
        <v>3</v>
      </c>
      <c r="U632" t="s">
        <v>55</v>
      </c>
      <c r="V632" s="10">
        <v>364.34</v>
      </c>
      <c r="W632" s="10">
        <v>277.8</v>
      </c>
      <c r="X632" s="10">
        <v>36.709999999999972</v>
      </c>
      <c r="Y632" s="11">
        <v>0.1007575341713783</v>
      </c>
      <c r="Z632" s="6"/>
      <c r="AA632" t="s">
        <v>56</v>
      </c>
    </row>
    <row r="633" spans="1:27" x14ac:dyDescent="0.25">
      <c r="A633" t="s">
        <v>774</v>
      </c>
      <c r="B633">
        <v>17</v>
      </c>
      <c r="C633" s="9">
        <v>45963.860694444447</v>
      </c>
      <c r="D633" t="s">
        <v>164</v>
      </c>
      <c r="E633" t="s">
        <v>165</v>
      </c>
      <c r="F633" t="s">
        <v>116</v>
      </c>
      <c r="G633">
        <v>0</v>
      </c>
      <c r="H633" s="6">
        <v>2</v>
      </c>
      <c r="I633" s="10">
        <v>183.42</v>
      </c>
      <c r="J633" s="10">
        <v>355.91</v>
      </c>
      <c r="L633" s="3">
        <v>0</v>
      </c>
      <c r="M633" t="s">
        <v>31</v>
      </c>
      <c r="N633" s="10">
        <v>20.79</v>
      </c>
      <c r="O633" t="s">
        <v>62</v>
      </c>
      <c r="P633" s="5">
        <v>45965</v>
      </c>
      <c r="Q633" s="5">
        <v>45973</v>
      </c>
      <c r="S633" t="s">
        <v>63</v>
      </c>
      <c r="T633" s="6">
        <v>3</v>
      </c>
      <c r="U633" t="s">
        <v>146</v>
      </c>
      <c r="V633" s="10">
        <v>711.82</v>
      </c>
      <c r="W633" s="10">
        <v>366.84</v>
      </c>
      <c r="X633" s="10">
        <v>324.19000000000011</v>
      </c>
      <c r="Y633" s="11">
        <v>0.45543817257171759</v>
      </c>
      <c r="Z633" s="6"/>
      <c r="AA633" t="s">
        <v>56</v>
      </c>
    </row>
    <row r="634" spans="1:27" x14ac:dyDescent="0.25">
      <c r="A634" t="s">
        <v>775</v>
      </c>
      <c r="B634">
        <v>73</v>
      </c>
      <c r="C634" s="9">
        <v>45963.904861111107</v>
      </c>
      <c r="D634" t="s">
        <v>114</v>
      </c>
      <c r="E634" t="s">
        <v>115</v>
      </c>
      <c r="F634" t="s">
        <v>116</v>
      </c>
      <c r="G634">
        <v>0</v>
      </c>
      <c r="H634" s="6">
        <v>3</v>
      </c>
      <c r="I634" s="10">
        <v>258.31</v>
      </c>
      <c r="J634" s="10">
        <v>739.03</v>
      </c>
      <c r="K634" t="s">
        <v>46</v>
      </c>
      <c r="L634" s="3">
        <v>0.1</v>
      </c>
      <c r="M634" t="s">
        <v>61</v>
      </c>
      <c r="N634" s="10">
        <v>17.5</v>
      </c>
      <c r="O634" t="s">
        <v>40</v>
      </c>
      <c r="P634" s="5">
        <v>45965</v>
      </c>
      <c r="Q634" s="5">
        <v>45973</v>
      </c>
      <c r="R634" s="5">
        <v>45970</v>
      </c>
      <c r="S634" t="s">
        <v>33</v>
      </c>
      <c r="T634" s="6">
        <v>5</v>
      </c>
      <c r="U634" t="s">
        <v>172</v>
      </c>
      <c r="V634" s="10">
        <v>1995.3810000000001</v>
      </c>
      <c r="W634" s="10">
        <v>774.93000000000006</v>
      </c>
      <c r="X634" s="10">
        <v>1202.951</v>
      </c>
      <c r="Y634" s="11">
        <v>0.60286782323776766</v>
      </c>
      <c r="Z634" s="6">
        <v>-3</v>
      </c>
      <c r="AA634" t="s">
        <v>35</v>
      </c>
    </row>
    <row r="635" spans="1:27" x14ac:dyDescent="0.25">
      <c r="A635" t="s">
        <v>776</v>
      </c>
      <c r="B635">
        <v>176</v>
      </c>
      <c r="C635" s="9">
        <v>45963.918530092589</v>
      </c>
      <c r="D635" t="s">
        <v>148</v>
      </c>
      <c r="E635" t="s">
        <v>149</v>
      </c>
      <c r="F635" t="s">
        <v>30</v>
      </c>
      <c r="G635">
        <v>3228</v>
      </c>
      <c r="H635" s="6">
        <v>1</v>
      </c>
      <c r="I635" s="10">
        <v>314.12</v>
      </c>
      <c r="J635" s="10">
        <v>598.61</v>
      </c>
      <c r="L635" s="3">
        <v>0</v>
      </c>
      <c r="M635" t="s">
        <v>76</v>
      </c>
      <c r="N635" s="10">
        <v>60.88</v>
      </c>
      <c r="O635" t="s">
        <v>62</v>
      </c>
      <c r="P635" s="5">
        <v>45965</v>
      </c>
      <c r="Q635" s="5">
        <v>45970</v>
      </c>
      <c r="R635" s="5">
        <v>45968</v>
      </c>
      <c r="S635" t="s">
        <v>33</v>
      </c>
      <c r="T635" s="6">
        <v>5</v>
      </c>
      <c r="U635" t="s">
        <v>211</v>
      </c>
      <c r="V635" s="10">
        <v>598.61</v>
      </c>
      <c r="W635" s="10">
        <v>314.12</v>
      </c>
      <c r="X635" s="10">
        <v>223.61</v>
      </c>
      <c r="Y635" s="11">
        <v>0.37354872120412291</v>
      </c>
      <c r="Z635" s="6">
        <v>-2</v>
      </c>
      <c r="AA635" t="s">
        <v>35</v>
      </c>
    </row>
    <row r="636" spans="1:27" x14ac:dyDescent="0.25">
      <c r="A636" t="s">
        <v>777</v>
      </c>
      <c r="B636">
        <v>164</v>
      </c>
      <c r="C636" s="9">
        <v>45964.378576388888</v>
      </c>
      <c r="D636" t="s">
        <v>95</v>
      </c>
      <c r="E636" t="s">
        <v>96</v>
      </c>
      <c r="F636" t="s">
        <v>52</v>
      </c>
      <c r="G636">
        <v>405</v>
      </c>
      <c r="H636" s="6">
        <v>1</v>
      </c>
      <c r="I636" s="10">
        <v>17.78</v>
      </c>
      <c r="J636" s="10">
        <v>81.849999999999994</v>
      </c>
      <c r="L636" s="3">
        <v>0</v>
      </c>
      <c r="M636" t="s">
        <v>76</v>
      </c>
      <c r="N636" s="10">
        <v>48.53</v>
      </c>
      <c r="O636" t="s">
        <v>47</v>
      </c>
      <c r="P636" s="5">
        <v>45966</v>
      </c>
      <c r="Q636" s="5">
        <v>45973</v>
      </c>
      <c r="R636" s="5">
        <v>45968</v>
      </c>
      <c r="S636" t="s">
        <v>33</v>
      </c>
      <c r="T636" s="6">
        <v>4</v>
      </c>
      <c r="U636" t="s">
        <v>119</v>
      </c>
      <c r="V636" s="10">
        <v>81.849999999999994</v>
      </c>
      <c r="W636" s="10">
        <v>17.78</v>
      </c>
      <c r="X636" s="10">
        <v>15.53999999999999</v>
      </c>
      <c r="Y636" s="11">
        <v>0.1898594990836896</v>
      </c>
      <c r="Z636" s="6">
        <v>-5</v>
      </c>
      <c r="AA636" t="s">
        <v>35</v>
      </c>
    </row>
    <row r="637" spans="1:27" x14ac:dyDescent="0.25">
      <c r="A637" t="s">
        <v>778</v>
      </c>
      <c r="B637">
        <v>36</v>
      </c>
      <c r="C637" s="9">
        <v>45964.442488425928</v>
      </c>
      <c r="D637" t="s">
        <v>71</v>
      </c>
      <c r="E637" t="s">
        <v>72</v>
      </c>
      <c r="F637" t="s">
        <v>52</v>
      </c>
      <c r="G637">
        <v>249</v>
      </c>
      <c r="H637" s="6">
        <v>1</v>
      </c>
      <c r="I637" s="10">
        <v>60.83</v>
      </c>
      <c r="J637" s="10">
        <v>107.71</v>
      </c>
      <c r="L637" s="3">
        <v>0</v>
      </c>
      <c r="M637" t="s">
        <v>39</v>
      </c>
      <c r="N637" s="10">
        <v>31.37</v>
      </c>
      <c r="O637" t="s">
        <v>99</v>
      </c>
      <c r="P637" s="5">
        <v>45965</v>
      </c>
      <c r="Q637" s="5">
        <v>45972</v>
      </c>
      <c r="S637" t="s">
        <v>54</v>
      </c>
      <c r="T637" s="6">
        <v>4</v>
      </c>
      <c r="U637" t="s">
        <v>172</v>
      </c>
      <c r="V637" s="10">
        <v>107.71</v>
      </c>
      <c r="W637" s="10">
        <v>60.83</v>
      </c>
      <c r="X637" s="10">
        <v>15.509999999999989</v>
      </c>
      <c r="Y637" s="11">
        <v>0.14399777179463369</v>
      </c>
      <c r="Z637" s="6"/>
      <c r="AA637" t="s">
        <v>56</v>
      </c>
    </row>
    <row r="638" spans="1:27" x14ac:dyDescent="0.25">
      <c r="A638" t="s">
        <v>779</v>
      </c>
      <c r="B638">
        <v>63</v>
      </c>
      <c r="C638" s="9">
        <v>45964.56590277778</v>
      </c>
      <c r="D638" t="s">
        <v>74</v>
      </c>
      <c r="E638" t="s">
        <v>75</v>
      </c>
      <c r="F638" t="s">
        <v>30</v>
      </c>
      <c r="G638">
        <v>2756</v>
      </c>
      <c r="H638" s="6">
        <v>3</v>
      </c>
      <c r="I638" s="10">
        <v>2992.7</v>
      </c>
      <c r="J638" s="10">
        <v>4398.9399999999996</v>
      </c>
      <c r="L638" s="3">
        <v>0</v>
      </c>
      <c r="M638" t="s">
        <v>39</v>
      </c>
      <c r="N638" s="10">
        <v>96.09</v>
      </c>
      <c r="O638" t="s">
        <v>47</v>
      </c>
      <c r="P638" s="5">
        <v>45965</v>
      </c>
      <c r="Q638" s="5">
        <v>45971</v>
      </c>
      <c r="R638" s="5">
        <v>45967</v>
      </c>
      <c r="S638" t="s">
        <v>33</v>
      </c>
      <c r="T638" s="6">
        <v>5</v>
      </c>
      <c r="U638" t="s">
        <v>127</v>
      </c>
      <c r="V638" s="10">
        <v>13196.82</v>
      </c>
      <c r="W638" s="10">
        <v>8978.0999999999985</v>
      </c>
      <c r="X638" s="10">
        <v>4122.630000000001</v>
      </c>
      <c r="Y638" s="11">
        <v>0.31239571351280088</v>
      </c>
      <c r="Z638" s="6">
        <v>-4</v>
      </c>
      <c r="AA638" t="s">
        <v>35</v>
      </c>
    </row>
    <row r="639" spans="1:27" x14ac:dyDescent="0.25">
      <c r="A639" t="s">
        <v>780</v>
      </c>
      <c r="B639">
        <v>22</v>
      </c>
      <c r="C639" s="9">
        <v>45964.632604166669</v>
      </c>
      <c r="D639" t="s">
        <v>74</v>
      </c>
      <c r="E639" t="s">
        <v>75</v>
      </c>
      <c r="F639" t="s">
        <v>30</v>
      </c>
      <c r="G639">
        <v>2512</v>
      </c>
      <c r="H639" s="6">
        <v>2</v>
      </c>
      <c r="I639" s="10">
        <v>2617.14</v>
      </c>
      <c r="J639" s="10">
        <v>4778.8500000000004</v>
      </c>
      <c r="L639" s="3">
        <v>0</v>
      </c>
      <c r="M639" t="s">
        <v>61</v>
      </c>
      <c r="N639" s="10">
        <v>76.599999999999994</v>
      </c>
      <c r="O639" t="s">
        <v>47</v>
      </c>
      <c r="P639" s="5">
        <v>45965</v>
      </c>
      <c r="Q639" s="5">
        <v>45970</v>
      </c>
      <c r="R639" s="5">
        <v>45969</v>
      </c>
      <c r="S639" t="s">
        <v>33</v>
      </c>
      <c r="T639" s="6">
        <v>4</v>
      </c>
      <c r="U639" t="s">
        <v>41</v>
      </c>
      <c r="V639" s="10">
        <v>9557.7000000000007</v>
      </c>
      <c r="W639" s="10">
        <v>5234.28</v>
      </c>
      <c r="X639" s="10">
        <v>4246.8200000000006</v>
      </c>
      <c r="Y639" s="11">
        <v>0.44433493413687403</v>
      </c>
      <c r="Z639" s="6">
        <v>-1</v>
      </c>
      <c r="AA639" t="s">
        <v>35</v>
      </c>
    </row>
    <row r="640" spans="1:27" x14ac:dyDescent="0.25">
      <c r="A640" t="s">
        <v>781</v>
      </c>
      <c r="B640">
        <v>61</v>
      </c>
      <c r="C640" s="9">
        <v>45965.176076388889</v>
      </c>
      <c r="D640" t="s">
        <v>92</v>
      </c>
      <c r="E640" t="s">
        <v>93</v>
      </c>
      <c r="F640" t="s">
        <v>52</v>
      </c>
      <c r="G640">
        <v>293</v>
      </c>
      <c r="H640" s="6">
        <v>3</v>
      </c>
      <c r="I640" s="10">
        <v>59.03</v>
      </c>
      <c r="J640" s="10">
        <v>115.59</v>
      </c>
      <c r="K640" t="s">
        <v>46</v>
      </c>
      <c r="L640" s="3">
        <v>0.1</v>
      </c>
      <c r="M640" t="s">
        <v>61</v>
      </c>
      <c r="N640" s="10">
        <v>48.24</v>
      </c>
      <c r="O640" t="s">
        <v>32</v>
      </c>
      <c r="P640" s="5">
        <v>45966</v>
      </c>
      <c r="Q640" s="5">
        <v>45976</v>
      </c>
      <c r="R640" s="5">
        <v>45970</v>
      </c>
      <c r="S640" t="s">
        <v>33</v>
      </c>
      <c r="T640" s="6">
        <v>4</v>
      </c>
      <c r="U640" t="s">
        <v>172</v>
      </c>
      <c r="V640" s="10">
        <v>312.09300000000002</v>
      </c>
      <c r="W640" s="10">
        <v>177.09</v>
      </c>
      <c r="X640" s="10">
        <v>86.763000000000005</v>
      </c>
      <c r="Y640" s="11">
        <v>0.27800367198238979</v>
      </c>
      <c r="Z640" s="6">
        <v>-6</v>
      </c>
      <c r="AA640" t="s">
        <v>35</v>
      </c>
    </row>
    <row r="641" spans="1:27" x14ac:dyDescent="0.25">
      <c r="A641" t="s">
        <v>782</v>
      </c>
      <c r="B641">
        <v>20</v>
      </c>
      <c r="C641" s="9">
        <v>45965.608252314807</v>
      </c>
      <c r="D641" t="s">
        <v>164</v>
      </c>
      <c r="E641" t="s">
        <v>165</v>
      </c>
      <c r="F641" t="s">
        <v>116</v>
      </c>
      <c r="G641">
        <v>0</v>
      </c>
      <c r="H641" s="6">
        <v>3</v>
      </c>
      <c r="I641" s="10">
        <v>386.77</v>
      </c>
      <c r="J641" s="10">
        <v>626.17999999999995</v>
      </c>
      <c r="L641" s="3">
        <v>0</v>
      </c>
      <c r="M641" t="s">
        <v>61</v>
      </c>
      <c r="N641" s="10">
        <v>20.72</v>
      </c>
      <c r="O641" t="s">
        <v>99</v>
      </c>
      <c r="P641" s="5">
        <v>45966</v>
      </c>
      <c r="Q641" s="5">
        <v>45971</v>
      </c>
      <c r="R641" s="5">
        <v>45970</v>
      </c>
      <c r="S641" t="s">
        <v>33</v>
      </c>
      <c r="T641" s="6">
        <v>4</v>
      </c>
      <c r="U641" t="s">
        <v>41</v>
      </c>
      <c r="V641" s="10">
        <v>1878.54</v>
      </c>
      <c r="W641" s="10">
        <v>1160.31</v>
      </c>
      <c r="X641" s="10">
        <v>697.51</v>
      </c>
      <c r="Y641" s="11">
        <v>0.37130431079455323</v>
      </c>
      <c r="Z641" s="6">
        <v>-1</v>
      </c>
      <c r="AA641" t="s">
        <v>35</v>
      </c>
    </row>
    <row r="642" spans="1:27" x14ac:dyDescent="0.25">
      <c r="A642" t="s">
        <v>783</v>
      </c>
      <c r="B642">
        <v>165</v>
      </c>
      <c r="C642" s="9">
        <v>45965.868333333332</v>
      </c>
      <c r="D642" t="s">
        <v>43</v>
      </c>
      <c r="E642" t="s">
        <v>44</v>
      </c>
      <c r="F642" t="s">
        <v>45</v>
      </c>
      <c r="G642">
        <v>0</v>
      </c>
      <c r="H642" s="6">
        <v>1</v>
      </c>
      <c r="I642" s="10">
        <v>41.93</v>
      </c>
      <c r="J642" s="10">
        <v>83.37</v>
      </c>
      <c r="K642" t="s">
        <v>60</v>
      </c>
      <c r="L642" s="3">
        <v>0.2</v>
      </c>
      <c r="M642" t="s">
        <v>39</v>
      </c>
      <c r="N642" s="10">
        <v>27.13</v>
      </c>
      <c r="O642" t="s">
        <v>133</v>
      </c>
      <c r="P642" s="5">
        <v>45967</v>
      </c>
      <c r="Q642" s="5">
        <v>45972</v>
      </c>
      <c r="R642" s="5">
        <v>45972</v>
      </c>
      <c r="S642" t="s">
        <v>33</v>
      </c>
      <c r="T642" s="6">
        <v>5</v>
      </c>
      <c r="U642" t="s">
        <v>84</v>
      </c>
      <c r="V642" s="10">
        <v>66.696000000000012</v>
      </c>
      <c r="W642" s="10">
        <v>41.93</v>
      </c>
      <c r="X642" s="10">
        <v>-2.363999999999987</v>
      </c>
      <c r="Y642" s="11">
        <v>-3.5444404462036498E-2</v>
      </c>
      <c r="Z642" s="6">
        <v>0</v>
      </c>
      <c r="AA642" t="s">
        <v>35</v>
      </c>
    </row>
    <row r="643" spans="1:27" x14ac:dyDescent="0.25">
      <c r="A643" t="s">
        <v>784</v>
      </c>
      <c r="B643">
        <v>148</v>
      </c>
      <c r="C643" s="9">
        <v>45967.637962962966</v>
      </c>
      <c r="D643" t="s">
        <v>86</v>
      </c>
      <c r="E643" t="s">
        <v>87</v>
      </c>
      <c r="F643" t="s">
        <v>45</v>
      </c>
      <c r="G643">
        <v>0</v>
      </c>
      <c r="H643" s="6">
        <v>1</v>
      </c>
      <c r="I643" s="10">
        <v>90</v>
      </c>
      <c r="J643" s="10">
        <v>143.82</v>
      </c>
      <c r="K643" t="s">
        <v>46</v>
      </c>
      <c r="L643" s="3">
        <v>0.1</v>
      </c>
      <c r="M643" t="s">
        <v>76</v>
      </c>
      <c r="N643" s="10">
        <v>29.76</v>
      </c>
      <c r="O643" t="s">
        <v>99</v>
      </c>
      <c r="P643" s="5">
        <v>45968</v>
      </c>
      <c r="Q643" s="5">
        <v>45976</v>
      </c>
      <c r="R643" s="5">
        <v>45970</v>
      </c>
      <c r="S643" t="s">
        <v>33</v>
      </c>
      <c r="T643" s="6">
        <v>4</v>
      </c>
      <c r="U643" t="s">
        <v>127</v>
      </c>
      <c r="V643" s="10">
        <v>129.43799999999999</v>
      </c>
      <c r="W643" s="10">
        <v>90</v>
      </c>
      <c r="X643" s="10">
        <v>9.6779999999999866</v>
      </c>
      <c r="Y643" s="11">
        <v>7.4769387660501452E-2</v>
      </c>
      <c r="Z643" s="6">
        <v>-6</v>
      </c>
      <c r="AA643" t="s">
        <v>35</v>
      </c>
    </row>
    <row r="644" spans="1:27" x14ac:dyDescent="0.25">
      <c r="A644" t="s">
        <v>785</v>
      </c>
      <c r="B644">
        <v>40</v>
      </c>
      <c r="C644" s="9">
        <v>45969.505729166667</v>
      </c>
      <c r="D644" t="s">
        <v>58</v>
      </c>
      <c r="E644" t="s">
        <v>59</v>
      </c>
      <c r="F644" t="s">
        <v>30</v>
      </c>
      <c r="G644">
        <v>4087</v>
      </c>
      <c r="H644" s="6">
        <v>3</v>
      </c>
      <c r="I644" s="10">
        <v>467.76</v>
      </c>
      <c r="J644" s="10">
        <v>582.14</v>
      </c>
      <c r="L644" s="3">
        <v>0</v>
      </c>
      <c r="M644" t="s">
        <v>39</v>
      </c>
      <c r="N644" s="10">
        <v>63.58</v>
      </c>
      <c r="O644" t="s">
        <v>40</v>
      </c>
      <c r="P644" s="5">
        <v>45970</v>
      </c>
      <c r="Q644" s="5">
        <v>45979</v>
      </c>
      <c r="R644" s="5">
        <v>45976</v>
      </c>
      <c r="S644" t="s">
        <v>33</v>
      </c>
      <c r="T644" s="6">
        <v>5</v>
      </c>
      <c r="U644" t="s">
        <v>112</v>
      </c>
      <c r="V644" s="10">
        <v>1746.42</v>
      </c>
      <c r="W644" s="10">
        <v>1403.28</v>
      </c>
      <c r="X644" s="10">
        <v>279.56000000000012</v>
      </c>
      <c r="Y644" s="11">
        <v>0.16007604127300429</v>
      </c>
      <c r="Z644" s="6">
        <v>-3</v>
      </c>
      <c r="AA644" t="s">
        <v>35</v>
      </c>
    </row>
    <row r="645" spans="1:27" x14ac:dyDescent="0.25">
      <c r="A645" t="s">
        <v>786</v>
      </c>
      <c r="B645">
        <v>49</v>
      </c>
      <c r="C645" s="9">
        <v>45969.600023148138</v>
      </c>
      <c r="D645" t="s">
        <v>28</v>
      </c>
      <c r="E645" t="s">
        <v>29</v>
      </c>
      <c r="F645" t="s">
        <v>30</v>
      </c>
      <c r="G645">
        <v>2458</v>
      </c>
      <c r="H645" s="6">
        <v>2</v>
      </c>
      <c r="I645" s="10">
        <v>1870.52</v>
      </c>
      <c r="J645" s="10">
        <v>3189.15</v>
      </c>
      <c r="K645" t="s">
        <v>60</v>
      </c>
      <c r="L645" s="3">
        <v>0.2</v>
      </c>
      <c r="M645" t="s">
        <v>76</v>
      </c>
      <c r="N645" s="10">
        <v>62.1</v>
      </c>
      <c r="O645" t="s">
        <v>47</v>
      </c>
      <c r="P645" s="5">
        <v>45971</v>
      </c>
      <c r="Q645" s="5">
        <v>45976</v>
      </c>
      <c r="R645" s="5">
        <v>45974</v>
      </c>
      <c r="S645" t="s">
        <v>33</v>
      </c>
      <c r="T645" s="6">
        <v>5</v>
      </c>
      <c r="U645" t="s">
        <v>134</v>
      </c>
      <c r="V645" s="10">
        <v>5102.6400000000003</v>
      </c>
      <c r="W645" s="10">
        <v>3741.04</v>
      </c>
      <c r="X645" s="10">
        <v>1299.5</v>
      </c>
      <c r="Y645" s="11">
        <v>0.25467209130959673</v>
      </c>
      <c r="Z645" s="6">
        <v>-2</v>
      </c>
      <c r="AA645" t="s">
        <v>35</v>
      </c>
    </row>
    <row r="646" spans="1:27" x14ac:dyDescent="0.25">
      <c r="A646" t="s">
        <v>787</v>
      </c>
      <c r="B646">
        <v>182</v>
      </c>
      <c r="C646" s="9">
        <v>45969.646979166668</v>
      </c>
      <c r="D646" t="s">
        <v>74</v>
      </c>
      <c r="E646" t="s">
        <v>75</v>
      </c>
      <c r="F646" t="s">
        <v>30</v>
      </c>
      <c r="G646">
        <v>2217</v>
      </c>
      <c r="H646" s="6">
        <v>3</v>
      </c>
      <c r="I646" s="10">
        <v>2410.7399999999998</v>
      </c>
      <c r="J646" s="10">
        <v>3529.37</v>
      </c>
      <c r="K646" t="s">
        <v>46</v>
      </c>
      <c r="L646" s="3">
        <v>0.1</v>
      </c>
      <c r="M646" t="s">
        <v>61</v>
      </c>
      <c r="N646" s="10">
        <v>56.6</v>
      </c>
      <c r="O646" t="s">
        <v>47</v>
      </c>
      <c r="P646" s="5">
        <v>45970</v>
      </c>
      <c r="Q646" s="5">
        <v>45980</v>
      </c>
      <c r="R646" s="5">
        <v>45977</v>
      </c>
      <c r="S646" t="s">
        <v>33</v>
      </c>
      <c r="T646" s="6">
        <v>4</v>
      </c>
      <c r="U646" t="s">
        <v>117</v>
      </c>
      <c r="V646" s="10">
        <v>9529.2990000000009</v>
      </c>
      <c r="W646" s="10">
        <v>7232.2199999999993</v>
      </c>
      <c r="X646" s="10">
        <v>2240.4790000000021</v>
      </c>
      <c r="Y646" s="11">
        <v>0.23511477601867689</v>
      </c>
      <c r="Z646" s="6">
        <v>-3</v>
      </c>
      <c r="AA646" t="s">
        <v>35</v>
      </c>
    </row>
    <row r="647" spans="1:27" x14ac:dyDescent="0.25">
      <c r="A647" t="s">
        <v>788</v>
      </c>
      <c r="B647">
        <v>106</v>
      </c>
      <c r="C647" s="9">
        <v>45970.428043981483</v>
      </c>
      <c r="D647" t="s">
        <v>37</v>
      </c>
      <c r="E647" t="s">
        <v>38</v>
      </c>
      <c r="F647" t="s">
        <v>30</v>
      </c>
      <c r="G647">
        <v>2697</v>
      </c>
      <c r="H647" s="6">
        <v>3</v>
      </c>
      <c r="I647" s="10">
        <v>773.54</v>
      </c>
      <c r="J647" s="10">
        <v>1238.31</v>
      </c>
      <c r="L647" s="3">
        <v>0</v>
      </c>
      <c r="M647" t="s">
        <v>61</v>
      </c>
      <c r="N647" s="10">
        <v>85.53</v>
      </c>
      <c r="O647" t="s">
        <v>47</v>
      </c>
      <c r="P647" s="5">
        <v>45971</v>
      </c>
      <c r="Q647" s="5">
        <v>45978</v>
      </c>
      <c r="R647" s="5">
        <v>45981</v>
      </c>
      <c r="S647" t="s">
        <v>33</v>
      </c>
      <c r="T647" s="6">
        <v>2</v>
      </c>
      <c r="U647" t="s">
        <v>131</v>
      </c>
      <c r="V647" s="10">
        <v>3714.93</v>
      </c>
      <c r="W647" s="10">
        <v>2320.62</v>
      </c>
      <c r="X647" s="10">
        <v>1308.78</v>
      </c>
      <c r="Y647" s="11">
        <v>0.35230273517939781</v>
      </c>
      <c r="Z647" s="6">
        <v>3</v>
      </c>
      <c r="AA647" t="s">
        <v>103</v>
      </c>
    </row>
    <row r="648" spans="1:27" x14ac:dyDescent="0.25">
      <c r="A648" t="s">
        <v>789</v>
      </c>
      <c r="B648">
        <v>95</v>
      </c>
      <c r="C648" s="9">
        <v>45970.608078703714</v>
      </c>
      <c r="D648" t="s">
        <v>92</v>
      </c>
      <c r="E648" t="s">
        <v>93</v>
      </c>
      <c r="F648" t="s">
        <v>52</v>
      </c>
      <c r="G648">
        <v>292</v>
      </c>
      <c r="H648" s="6">
        <v>2</v>
      </c>
      <c r="I648" s="10">
        <v>31.26</v>
      </c>
      <c r="J648" s="10">
        <v>117.87</v>
      </c>
      <c r="L648" s="3">
        <v>0</v>
      </c>
      <c r="M648" t="s">
        <v>39</v>
      </c>
      <c r="N648" s="10">
        <v>47.1</v>
      </c>
      <c r="O648" t="s">
        <v>99</v>
      </c>
      <c r="P648" s="5">
        <v>45971</v>
      </c>
      <c r="Q648" s="5">
        <v>45981</v>
      </c>
      <c r="R648" s="5">
        <v>45978</v>
      </c>
      <c r="S648" t="s">
        <v>33</v>
      </c>
      <c r="T648" s="6">
        <v>4</v>
      </c>
      <c r="U648" t="s">
        <v>127</v>
      </c>
      <c r="V648" s="10">
        <v>235.74</v>
      </c>
      <c r="W648" s="10">
        <v>62.52</v>
      </c>
      <c r="X648" s="10">
        <v>126.12</v>
      </c>
      <c r="Y648" s="11">
        <v>0.53499618223466527</v>
      </c>
      <c r="Z648" s="6">
        <v>-3</v>
      </c>
      <c r="AA648" t="s">
        <v>35</v>
      </c>
    </row>
    <row r="649" spans="1:27" x14ac:dyDescent="0.25">
      <c r="A649" t="s">
        <v>790</v>
      </c>
      <c r="B649">
        <v>98</v>
      </c>
      <c r="C649" s="9">
        <v>45970.730555555558</v>
      </c>
      <c r="D649" t="s">
        <v>28</v>
      </c>
      <c r="E649" t="s">
        <v>29</v>
      </c>
      <c r="F649" t="s">
        <v>30</v>
      </c>
      <c r="G649">
        <v>2095</v>
      </c>
      <c r="H649" s="6">
        <v>3</v>
      </c>
      <c r="I649" s="10">
        <v>1711.4</v>
      </c>
      <c r="J649" s="10">
        <v>2736.94</v>
      </c>
      <c r="L649" s="3">
        <v>0</v>
      </c>
      <c r="M649" t="s">
        <v>31</v>
      </c>
      <c r="N649" s="10">
        <v>113.96</v>
      </c>
      <c r="O649" t="s">
        <v>157</v>
      </c>
      <c r="P649" s="5">
        <v>45972</v>
      </c>
      <c r="Q649" s="5">
        <v>45979</v>
      </c>
      <c r="S649" t="s">
        <v>63</v>
      </c>
      <c r="T649" s="6">
        <v>1</v>
      </c>
      <c r="U649" t="s">
        <v>170</v>
      </c>
      <c r="V649" s="10">
        <v>8210.82</v>
      </c>
      <c r="W649" s="10">
        <v>5134.2000000000007</v>
      </c>
      <c r="X649" s="10">
        <v>2962.6599999999989</v>
      </c>
      <c r="Y649" s="11">
        <v>0.36082388847886071</v>
      </c>
      <c r="Z649" s="6"/>
      <c r="AA649" t="s">
        <v>56</v>
      </c>
    </row>
    <row r="650" spans="1:27" x14ac:dyDescent="0.25">
      <c r="A650" t="s">
        <v>791</v>
      </c>
      <c r="B650">
        <v>124</v>
      </c>
      <c r="C650" s="9">
        <v>45970.892708333333</v>
      </c>
      <c r="D650" t="s">
        <v>71</v>
      </c>
      <c r="E650" t="s">
        <v>72</v>
      </c>
      <c r="F650" t="s">
        <v>52</v>
      </c>
      <c r="G650">
        <v>296</v>
      </c>
      <c r="H650" s="6">
        <v>1</v>
      </c>
      <c r="I650" s="10">
        <v>69.33</v>
      </c>
      <c r="J650" s="10">
        <v>105.48</v>
      </c>
      <c r="K650" t="s">
        <v>60</v>
      </c>
      <c r="L650" s="3">
        <v>0.2</v>
      </c>
      <c r="M650" t="s">
        <v>39</v>
      </c>
      <c r="N650" s="10">
        <v>48.84</v>
      </c>
      <c r="O650" t="s">
        <v>264</v>
      </c>
      <c r="P650" s="5">
        <v>45971</v>
      </c>
      <c r="Q650" s="5">
        <v>45976</v>
      </c>
      <c r="R650" s="5">
        <v>45973</v>
      </c>
      <c r="S650" t="s">
        <v>33</v>
      </c>
      <c r="T650" s="6">
        <v>5</v>
      </c>
      <c r="U650" t="s">
        <v>127</v>
      </c>
      <c r="V650" s="10">
        <v>84.384000000000015</v>
      </c>
      <c r="W650" s="10">
        <v>69.33</v>
      </c>
      <c r="X650" s="10">
        <v>-33.785999999999987</v>
      </c>
      <c r="Y650" s="11">
        <v>-0.40038395904436841</v>
      </c>
      <c r="Z650" s="6">
        <v>-3</v>
      </c>
      <c r="AA650" t="s">
        <v>35</v>
      </c>
    </row>
    <row r="651" spans="1:27" x14ac:dyDescent="0.25">
      <c r="A651" t="s">
        <v>792</v>
      </c>
      <c r="B651">
        <v>123</v>
      </c>
      <c r="C651" s="9">
        <v>45970.969456018523</v>
      </c>
      <c r="D651" t="s">
        <v>71</v>
      </c>
      <c r="E651" t="s">
        <v>72</v>
      </c>
      <c r="F651" t="s">
        <v>52</v>
      </c>
      <c r="G651">
        <v>207</v>
      </c>
      <c r="H651" s="6">
        <v>1</v>
      </c>
      <c r="I651" s="10">
        <v>74.33</v>
      </c>
      <c r="J651" s="10">
        <v>106.24</v>
      </c>
      <c r="L651" s="3">
        <v>0</v>
      </c>
      <c r="M651" t="s">
        <v>61</v>
      </c>
      <c r="N651" s="10">
        <v>49.56</v>
      </c>
      <c r="O651" t="s">
        <v>99</v>
      </c>
      <c r="P651" s="5">
        <v>45971</v>
      </c>
      <c r="Q651" s="5">
        <v>45981</v>
      </c>
      <c r="R651" s="5">
        <v>45974</v>
      </c>
      <c r="S651" t="s">
        <v>33</v>
      </c>
      <c r="T651" s="6">
        <v>4</v>
      </c>
      <c r="U651" t="s">
        <v>127</v>
      </c>
      <c r="V651" s="10">
        <v>106.24</v>
      </c>
      <c r="W651" s="10">
        <v>74.33</v>
      </c>
      <c r="X651" s="10">
        <v>-17.650000000000009</v>
      </c>
      <c r="Y651" s="11">
        <v>-0.1661332831325302</v>
      </c>
      <c r="Z651" s="6">
        <v>-7</v>
      </c>
      <c r="AA651" t="s">
        <v>35</v>
      </c>
    </row>
    <row r="652" spans="1:27" x14ac:dyDescent="0.25">
      <c r="A652" t="s">
        <v>793</v>
      </c>
      <c r="B652">
        <v>50</v>
      </c>
      <c r="C652" s="9">
        <v>45971.300439814811</v>
      </c>
      <c r="D652" t="s">
        <v>155</v>
      </c>
      <c r="E652" t="s">
        <v>156</v>
      </c>
      <c r="F652" t="s">
        <v>30</v>
      </c>
      <c r="G652">
        <v>4951</v>
      </c>
      <c r="H652" s="6">
        <v>3</v>
      </c>
      <c r="I652" s="10">
        <v>709.93</v>
      </c>
      <c r="J652" s="10">
        <v>1415.7</v>
      </c>
      <c r="L652" s="3">
        <v>0</v>
      </c>
      <c r="M652" t="s">
        <v>61</v>
      </c>
      <c r="N652" s="10">
        <v>100.66</v>
      </c>
      <c r="O652" t="s">
        <v>62</v>
      </c>
      <c r="P652" s="5">
        <v>45972</v>
      </c>
      <c r="Q652" s="5">
        <v>45982</v>
      </c>
      <c r="R652" s="5">
        <v>45982</v>
      </c>
      <c r="S652" t="s">
        <v>33</v>
      </c>
      <c r="T652" s="6">
        <v>5</v>
      </c>
      <c r="U652" t="s">
        <v>69</v>
      </c>
      <c r="V652" s="10">
        <v>4247.1000000000004</v>
      </c>
      <c r="W652" s="10">
        <v>2129.79</v>
      </c>
      <c r="X652" s="10">
        <v>2016.65</v>
      </c>
      <c r="Y652" s="11">
        <v>0.47482988392079312</v>
      </c>
      <c r="Z652" s="6">
        <v>0</v>
      </c>
      <c r="AA652" t="s">
        <v>35</v>
      </c>
    </row>
    <row r="653" spans="1:27" x14ac:dyDescent="0.25">
      <c r="A653" t="s">
        <v>794</v>
      </c>
      <c r="B653">
        <v>98</v>
      </c>
      <c r="C653" s="9">
        <v>45971.529490740737</v>
      </c>
      <c r="D653" t="s">
        <v>110</v>
      </c>
      <c r="E653" t="s">
        <v>111</v>
      </c>
      <c r="F653" t="s">
        <v>30</v>
      </c>
      <c r="G653">
        <v>2049</v>
      </c>
      <c r="H653" s="6">
        <v>3</v>
      </c>
      <c r="I653" s="10">
        <v>904.87</v>
      </c>
      <c r="J653" s="10">
        <v>2484.48</v>
      </c>
      <c r="L653" s="3">
        <v>0</v>
      </c>
      <c r="M653" t="s">
        <v>31</v>
      </c>
      <c r="N653" s="10">
        <v>147.78</v>
      </c>
      <c r="O653" t="s">
        <v>101</v>
      </c>
      <c r="P653" s="5">
        <v>45973</v>
      </c>
      <c r="Q653" s="5">
        <v>45982</v>
      </c>
      <c r="R653" s="5">
        <v>45978</v>
      </c>
      <c r="S653" t="s">
        <v>33</v>
      </c>
      <c r="T653" s="6">
        <v>5</v>
      </c>
      <c r="U653" t="s">
        <v>134</v>
      </c>
      <c r="V653" s="10">
        <v>7453.4400000000014</v>
      </c>
      <c r="W653" s="10">
        <v>2714.61</v>
      </c>
      <c r="X653" s="10">
        <v>4591.05</v>
      </c>
      <c r="Y653" s="11">
        <v>0.61596390391550748</v>
      </c>
      <c r="Z653" s="6">
        <v>-4</v>
      </c>
      <c r="AA653" t="s">
        <v>35</v>
      </c>
    </row>
    <row r="654" spans="1:27" x14ac:dyDescent="0.25">
      <c r="A654" t="s">
        <v>795</v>
      </c>
      <c r="B654">
        <v>111</v>
      </c>
      <c r="C654" s="9">
        <v>45971.585277777784</v>
      </c>
      <c r="D654" t="s">
        <v>28</v>
      </c>
      <c r="E654" t="s">
        <v>29</v>
      </c>
      <c r="F654" t="s">
        <v>30</v>
      </c>
      <c r="G654">
        <v>2156</v>
      </c>
      <c r="H654" s="6">
        <v>3</v>
      </c>
      <c r="I654" s="10">
        <v>1870.26</v>
      </c>
      <c r="J654" s="10">
        <v>3031.28</v>
      </c>
      <c r="K654" t="s">
        <v>46</v>
      </c>
      <c r="L654" s="3">
        <v>0.1</v>
      </c>
      <c r="M654" t="s">
        <v>76</v>
      </c>
      <c r="N654" s="10">
        <v>109.65</v>
      </c>
      <c r="O654" t="s">
        <v>32</v>
      </c>
      <c r="P654" s="5">
        <v>45973</v>
      </c>
      <c r="Q654" s="5">
        <v>45978</v>
      </c>
      <c r="R654" s="5">
        <v>45976</v>
      </c>
      <c r="S654" t="s">
        <v>33</v>
      </c>
      <c r="T654" s="6">
        <v>5</v>
      </c>
      <c r="U654" t="s">
        <v>172</v>
      </c>
      <c r="V654" s="10">
        <v>8184.4560000000001</v>
      </c>
      <c r="W654" s="10">
        <v>5610.78</v>
      </c>
      <c r="X654" s="10">
        <v>2464.0259999999998</v>
      </c>
      <c r="Y654" s="11">
        <v>0.30106167105058668</v>
      </c>
      <c r="Z654" s="6">
        <v>-2</v>
      </c>
      <c r="AA654" t="s">
        <v>35</v>
      </c>
    </row>
    <row r="655" spans="1:27" x14ac:dyDescent="0.25">
      <c r="A655" t="s">
        <v>796</v>
      </c>
      <c r="B655">
        <v>86</v>
      </c>
      <c r="C655" s="9">
        <v>45971.604259259257</v>
      </c>
      <c r="D655" t="s">
        <v>95</v>
      </c>
      <c r="E655" t="s">
        <v>96</v>
      </c>
      <c r="F655" t="s">
        <v>52</v>
      </c>
      <c r="G655">
        <v>542</v>
      </c>
      <c r="H655" s="6">
        <v>3</v>
      </c>
      <c r="I655" s="10">
        <v>18.37</v>
      </c>
      <c r="J655" s="10">
        <v>87.29</v>
      </c>
      <c r="K655" t="s">
        <v>46</v>
      </c>
      <c r="L655" s="3">
        <v>0.1</v>
      </c>
      <c r="M655" t="s">
        <v>31</v>
      </c>
      <c r="N655" s="10">
        <v>51.84</v>
      </c>
      <c r="O655" t="s">
        <v>99</v>
      </c>
      <c r="P655" s="5">
        <v>45973</v>
      </c>
      <c r="Q655" s="5">
        <v>45983</v>
      </c>
      <c r="R655" s="5">
        <v>45978</v>
      </c>
      <c r="S655" t="s">
        <v>33</v>
      </c>
      <c r="T655" s="6">
        <v>5</v>
      </c>
      <c r="U655" t="s">
        <v>112</v>
      </c>
      <c r="V655" s="10">
        <v>235.68299999999999</v>
      </c>
      <c r="W655" s="10">
        <v>55.11</v>
      </c>
      <c r="X655" s="10">
        <v>128.733</v>
      </c>
      <c r="Y655" s="11">
        <v>0.54621249729509558</v>
      </c>
      <c r="Z655" s="6">
        <v>-5</v>
      </c>
      <c r="AA655" t="s">
        <v>35</v>
      </c>
    </row>
    <row r="656" spans="1:27" x14ac:dyDescent="0.25">
      <c r="A656" t="s">
        <v>797</v>
      </c>
      <c r="B656">
        <v>24</v>
      </c>
      <c r="C656" s="9">
        <v>45971.606412037043</v>
      </c>
      <c r="D656" t="s">
        <v>89</v>
      </c>
      <c r="E656" t="s">
        <v>90</v>
      </c>
      <c r="F656" t="s">
        <v>52</v>
      </c>
      <c r="G656">
        <v>333</v>
      </c>
      <c r="H656" s="6">
        <v>2</v>
      </c>
      <c r="I656" s="10">
        <v>55.58</v>
      </c>
      <c r="J656" s="10">
        <v>72.05</v>
      </c>
      <c r="L656" s="3">
        <v>0</v>
      </c>
      <c r="M656" t="s">
        <v>61</v>
      </c>
      <c r="N656" s="10">
        <v>36.86</v>
      </c>
      <c r="O656" t="s">
        <v>40</v>
      </c>
      <c r="P656" s="5">
        <v>45973</v>
      </c>
      <c r="Q656" s="5">
        <v>45979</v>
      </c>
      <c r="R656" s="5">
        <v>45977</v>
      </c>
      <c r="S656" t="s">
        <v>33</v>
      </c>
      <c r="T656" s="6">
        <v>4</v>
      </c>
      <c r="U656" t="s">
        <v>166</v>
      </c>
      <c r="V656" s="10">
        <v>144.1</v>
      </c>
      <c r="W656" s="10">
        <v>111.16</v>
      </c>
      <c r="X656" s="10">
        <v>-3.9200000000000021</v>
      </c>
      <c r="Y656" s="11">
        <v>-2.720333102012493E-2</v>
      </c>
      <c r="Z656" s="6">
        <v>-2</v>
      </c>
      <c r="AA656" t="s">
        <v>35</v>
      </c>
    </row>
    <row r="657" spans="1:27" x14ac:dyDescent="0.25">
      <c r="A657" t="s">
        <v>798</v>
      </c>
      <c r="B657">
        <v>1</v>
      </c>
      <c r="C657" s="9">
        <v>45971.626805555563</v>
      </c>
      <c r="D657" t="s">
        <v>137</v>
      </c>
      <c r="E657" t="s">
        <v>138</v>
      </c>
      <c r="F657" t="s">
        <v>52</v>
      </c>
      <c r="G657">
        <v>464</v>
      </c>
      <c r="H657" s="6">
        <v>2</v>
      </c>
      <c r="I657" s="10">
        <v>104.39</v>
      </c>
      <c r="J657" s="10">
        <v>162.85</v>
      </c>
      <c r="K657" t="s">
        <v>60</v>
      </c>
      <c r="L657" s="3">
        <v>0.2</v>
      </c>
      <c r="M657" t="s">
        <v>31</v>
      </c>
      <c r="N657" s="10">
        <v>51.13</v>
      </c>
      <c r="O657" t="s">
        <v>62</v>
      </c>
      <c r="P657" s="5">
        <v>45972</v>
      </c>
      <c r="Q657" s="5">
        <v>45981</v>
      </c>
      <c r="R657" s="5">
        <v>45977</v>
      </c>
      <c r="S657" t="s">
        <v>33</v>
      </c>
      <c r="T657" s="6">
        <v>5</v>
      </c>
      <c r="U657" t="s">
        <v>77</v>
      </c>
      <c r="V657" s="10">
        <v>260.56</v>
      </c>
      <c r="W657" s="10">
        <v>208.78</v>
      </c>
      <c r="X657" s="10">
        <v>0.64999999999999858</v>
      </c>
      <c r="Y657" s="11">
        <v>2.494626957322684E-3</v>
      </c>
      <c r="Z657" s="6">
        <v>-4</v>
      </c>
      <c r="AA657" t="s">
        <v>35</v>
      </c>
    </row>
    <row r="658" spans="1:27" x14ac:dyDescent="0.25">
      <c r="A658" t="s">
        <v>799</v>
      </c>
      <c r="B658">
        <v>169</v>
      </c>
      <c r="C658" s="9">
        <v>45971.86377314815</v>
      </c>
      <c r="D658" t="s">
        <v>71</v>
      </c>
      <c r="E658" t="s">
        <v>72</v>
      </c>
      <c r="F658" t="s">
        <v>52</v>
      </c>
      <c r="G658">
        <v>216</v>
      </c>
      <c r="H658" s="6">
        <v>2</v>
      </c>
      <c r="I658" s="10">
        <v>52</v>
      </c>
      <c r="J658" s="10">
        <v>83.72</v>
      </c>
      <c r="L658" s="3">
        <v>0</v>
      </c>
      <c r="M658" t="s">
        <v>76</v>
      </c>
      <c r="N658" s="10">
        <v>45.29</v>
      </c>
      <c r="O658" t="s">
        <v>47</v>
      </c>
      <c r="P658" s="5">
        <v>45972</v>
      </c>
      <c r="Q658" s="5">
        <v>45981</v>
      </c>
      <c r="S658" t="s">
        <v>54</v>
      </c>
      <c r="T658" s="6">
        <v>4</v>
      </c>
      <c r="U658" t="s">
        <v>77</v>
      </c>
      <c r="V658" s="10">
        <v>167.44</v>
      </c>
      <c r="W658" s="10">
        <v>104</v>
      </c>
      <c r="X658" s="10">
        <v>18.149999999999999</v>
      </c>
      <c r="Y658" s="11">
        <v>0.1083970377448638</v>
      </c>
      <c r="Z658" s="6"/>
      <c r="AA658" t="s">
        <v>56</v>
      </c>
    </row>
    <row r="659" spans="1:27" x14ac:dyDescent="0.25">
      <c r="A659" t="s">
        <v>800</v>
      </c>
      <c r="B659">
        <v>2</v>
      </c>
      <c r="C659" s="9">
        <v>45972.958275462966</v>
      </c>
      <c r="D659" t="s">
        <v>86</v>
      </c>
      <c r="E659" t="s">
        <v>87</v>
      </c>
      <c r="F659" t="s">
        <v>45</v>
      </c>
      <c r="G659">
        <v>0</v>
      </c>
      <c r="H659" s="6">
        <v>1</v>
      </c>
      <c r="I659" s="10">
        <v>56.25</v>
      </c>
      <c r="J659" s="10">
        <v>131.66999999999999</v>
      </c>
      <c r="L659" s="3">
        <v>0</v>
      </c>
      <c r="M659" t="s">
        <v>39</v>
      </c>
      <c r="N659" s="10">
        <v>18.73</v>
      </c>
      <c r="O659" t="s">
        <v>40</v>
      </c>
      <c r="P659" s="5">
        <v>45974</v>
      </c>
      <c r="Q659" s="5">
        <v>45979</v>
      </c>
      <c r="R659" s="5">
        <v>45980</v>
      </c>
      <c r="S659" t="s">
        <v>33</v>
      </c>
      <c r="T659" s="6">
        <v>3</v>
      </c>
      <c r="U659" t="s">
        <v>352</v>
      </c>
      <c r="V659" s="10">
        <v>131.66999999999999</v>
      </c>
      <c r="W659" s="10">
        <v>56.25</v>
      </c>
      <c r="X659" s="10">
        <v>56.689999999999984</v>
      </c>
      <c r="Y659" s="11">
        <v>0.4305460621250094</v>
      </c>
      <c r="Z659" s="6">
        <v>1</v>
      </c>
      <c r="AA659" t="s">
        <v>103</v>
      </c>
    </row>
    <row r="660" spans="1:27" x14ac:dyDescent="0.25">
      <c r="A660" t="s">
        <v>801</v>
      </c>
      <c r="B660">
        <v>122</v>
      </c>
      <c r="C660" s="9">
        <v>45973.2575462963</v>
      </c>
      <c r="D660" t="s">
        <v>58</v>
      </c>
      <c r="E660" t="s">
        <v>59</v>
      </c>
      <c r="F660" t="s">
        <v>30</v>
      </c>
      <c r="G660">
        <v>4828</v>
      </c>
      <c r="H660" s="6">
        <v>3</v>
      </c>
      <c r="I660" s="10">
        <v>230.92</v>
      </c>
      <c r="J660" s="10">
        <v>379.87</v>
      </c>
      <c r="K660" t="s">
        <v>60</v>
      </c>
      <c r="L660" s="3">
        <v>0.2</v>
      </c>
      <c r="M660" t="s">
        <v>61</v>
      </c>
      <c r="N660" s="10">
        <v>54.46</v>
      </c>
      <c r="O660" t="s">
        <v>40</v>
      </c>
      <c r="P660" s="5">
        <v>45974</v>
      </c>
      <c r="Q660" s="5">
        <v>45979</v>
      </c>
      <c r="R660" s="5">
        <v>45976</v>
      </c>
      <c r="S660" t="s">
        <v>33</v>
      </c>
      <c r="T660" s="6">
        <v>4</v>
      </c>
      <c r="U660" t="s">
        <v>134</v>
      </c>
      <c r="V660" s="10">
        <v>911.6880000000001</v>
      </c>
      <c r="W660" s="10">
        <v>692.76</v>
      </c>
      <c r="X660" s="10">
        <v>164.4680000000001</v>
      </c>
      <c r="Y660" s="11">
        <v>0.18039943489439381</v>
      </c>
      <c r="Z660" s="6">
        <v>-3</v>
      </c>
      <c r="AA660" t="s">
        <v>35</v>
      </c>
    </row>
    <row r="661" spans="1:27" x14ac:dyDescent="0.25">
      <c r="A661" t="s">
        <v>802</v>
      </c>
      <c r="B661">
        <v>155</v>
      </c>
      <c r="C661" s="9">
        <v>45974.337407407409</v>
      </c>
      <c r="D661" t="s">
        <v>66</v>
      </c>
      <c r="E661" t="s">
        <v>67</v>
      </c>
      <c r="F661" t="s">
        <v>52</v>
      </c>
      <c r="G661">
        <v>298</v>
      </c>
      <c r="H661" s="6">
        <v>1</v>
      </c>
      <c r="I661" s="10">
        <v>67.150000000000006</v>
      </c>
      <c r="J661" s="10">
        <v>84.89</v>
      </c>
      <c r="L661" s="3">
        <v>0</v>
      </c>
      <c r="M661" t="s">
        <v>39</v>
      </c>
      <c r="N661" s="10">
        <v>56.32</v>
      </c>
      <c r="O661" t="s">
        <v>150</v>
      </c>
      <c r="P661" s="5">
        <v>45976</v>
      </c>
      <c r="Q661" s="5">
        <v>45982</v>
      </c>
      <c r="R661" s="5">
        <v>45984</v>
      </c>
      <c r="S661" t="s">
        <v>33</v>
      </c>
      <c r="T661" s="6">
        <v>3</v>
      </c>
      <c r="U661" t="s">
        <v>121</v>
      </c>
      <c r="V661" s="10">
        <v>84.89</v>
      </c>
      <c r="W661" s="10">
        <v>67.150000000000006</v>
      </c>
      <c r="X661" s="10">
        <v>-38.580000000000013</v>
      </c>
      <c r="Y661" s="11">
        <v>-0.4544704912239369</v>
      </c>
      <c r="Z661" s="6">
        <v>2</v>
      </c>
      <c r="AA661" t="s">
        <v>103</v>
      </c>
    </row>
    <row r="662" spans="1:27" x14ac:dyDescent="0.25">
      <c r="A662" t="s">
        <v>803</v>
      </c>
      <c r="B662">
        <v>142</v>
      </c>
      <c r="C662" s="9">
        <v>45975.809664351851</v>
      </c>
      <c r="D662" t="s">
        <v>137</v>
      </c>
      <c r="E662" t="s">
        <v>138</v>
      </c>
      <c r="F662" t="s">
        <v>52</v>
      </c>
      <c r="G662">
        <v>489</v>
      </c>
      <c r="H662" s="6">
        <v>3</v>
      </c>
      <c r="I662" s="10">
        <v>127.19</v>
      </c>
      <c r="J662" s="10">
        <v>222.43</v>
      </c>
      <c r="L662" s="3">
        <v>0</v>
      </c>
      <c r="M662" t="s">
        <v>39</v>
      </c>
      <c r="N662" s="10">
        <v>20.48</v>
      </c>
      <c r="O662" t="s">
        <v>150</v>
      </c>
      <c r="P662" s="5">
        <v>45977</v>
      </c>
      <c r="Q662" s="5">
        <v>45986</v>
      </c>
      <c r="R662" s="5">
        <v>45983</v>
      </c>
      <c r="S662" t="s">
        <v>33</v>
      </c>
      <c r="T662" s="6">
        <v>4</v>
      </c>
      <c r="U662" t="s">
        <v>34</v>
      </c>
      <c r="V662" s="10">
        <v>667.29</v>
      </c>
      <c r="W662" s="10">
        <v>381.57</v>
      </c>
      <c r="X662" s="10">
        <v>265.24</v>
      </c>
      <c r="Y662" s="11">
        <v>0.39748834839425129</v>
      </c>
      <c r="Z662" s="6">
        <v>-3</v>
      </c>
      <c r="AA662" t="s">
        <v>35</v>
      </c>
    </row>
    <row r="663" spans="1:27" x14ac:dyDescent="0.25">
      <c r="A663" t="s">
        <v>804</v>
      </c>
      <c r="B663">
        <v>108</v>
      </c>
      <c r="C663" s="9">
        <v>45976.346863425933</v>
      </c>
      <c r="D663" t="s">
        <v>148</v>
      </c>
      <c r="E663" t="s">
        <v>149</v>
      </c>
      <c r="F663" t="s">
        <v>30</v>
      </c>
      <c r="G663">
        <v>2872</v>
      </c>
      <c r="H663" s="6">
        <v>2</v>
      </c>
      <c r="I663" s="10">
        <v>503.69</v>
      </c>
      <c r="J663" s="10">
        <v>954.43</v>
      </c>
      <c r="K663" t="s">
        <v>46</v>
      </c>
      <c r="L663" s="3">
        <v>0.1</v>
      </c>
      <c r="M663" t="s">
        <v>39</v>
      </c>
      <c r="N663" s="10">
        <v>122.71</v>
      </c>
      <c r="O663" t="s">
        <v>62</v>
      </c>
      <c r="P663" s="5">
        <v>45978</v>
      </c>
      <c r="Q663" s="5">
        <v>45986</v>
      </c>
      <c r="R663" s="5">
        <v>45986</v>
      </c>
      <c r="S663" t="s">
        <v>33</v>
      </c>
      <c r="T663" s="6">
        <v>5</v>
      </c>
      <c r="U663" t="s">
        <v>34</v>
      </c>
      <c r="V663" s="10">
        <v>1717.9739999999999</v>
      </c>
      <c r="W663" s="10">
        <v>1007.38</v>
      </c>
      <c r="X663" s="10">
        <v>587.8839999999999</v>
      </c>
      <c r="Y663" s="11">
        <v>0.34219609842756638</v>
      </c>
      <c r="Z663" s="6">
        <v>0</v>
      </c>
      <c r="AA663" t="s">
        <v>35</v>
      </c>
    </row>
    <row r="664" spans="1:27" x14ac:dyDescent="0.25">
      <c r="A664" t="s">
        <v>805</v>
      </c>
      <c r="B664">
        <v>106</v>
      </c>
      <c r="C664" s="9">
        <v>45976.382245370369</v>
      </c>
      <c r="D664" t="s">
        <v>58</v>
      </c>
      <c r="E664" t="s">
        <v>59</v>
      </c>
      <c r="F664" t="s">
        <v>30</v>
      </c>
      <c r="G664">
        <v>4091</v>
      </c>
      <c r="H664" s="6">
        <v>2</v>
      </c>
      <c r="I664" s="10">
        <v>457.22</v>
      </c>
      <c r="J664" s="10">
        <v>563.64</v>
      </c>
      <c r="K664" t="s">
        <v>60</v>
      </c>
      <c r="L664" s="3">
        <v>0.2</v>
      </c>
      <c r="M664" t="s">
        <v>31</v>
      </c>
      <c r="N664" s="10">
        <v>133.06</v>
      </c>
      <c r="O664" t="s">
        <v>53</v>
      </c>
      <c r="P664" s="5">
        <v>45978</v>
      </c>
      <c r="Q664" s="5">
        <v>45984</v>
      </c>
      <c r="R664" s="5">
        <v>45989</v>
      </c>
      <c r="S664" t="s">
        <v>33</v>
      </c>
      <c r="T664" s="6">
        <v>3</v>
      </c>
      <c r="U664" t="s">
        <v>352</v>
      </c>
      <c r="V664" s="10">
        <v>901.82400000000007</v>
      </c>
      <c r="W664" s="10">
        <v>914.44</v>
      </c>
      <c r="X664" s="10">
        <v>-145.67599999999999</v>
      </c>
      <c r="Y664" s="11">
        <v>-0.16153484493648429</v>
      </c>
      <c r="Z664" s="6">
        <v>5</v>
      </c>
      <c r="AA664" t="s">
        <v>103</v>
      </c>
    </row>
    <row r="665" spans="1:27" x14ac:dyDescent="0.25">
      <c r="A665" t="s">
        <v>806</v>
      </c>
      <c r="B665">
        <v>128</v>
      </c>
      <c r="C665" s="9">
        <v>45976.462465277778</v>
      </c>
      <c r="D665" t="s">
        <v>74</v>
      </c>
      <c r="E665" t="s">
        <v>75</v>
      </c>
      <c r="F665" t="s">
        <v>30</v>
      </c>
      <c r="G665">
        <v>2227</v>
      </c>
      <c r="H665" s="6">
        <v>1</v>
      </c>
      <c r="I665" s="10">
        <v>2554.94</v>
      </c>
      <c r="J665" s="10">
        <v>4562.58</v>
      </c>
      <c r="L665" s="3">
        <v>0</v>
      </c>
      <c r="M665" t="s">
        <v>76</v>
      </c>
      <c r="N665" s="10">
        <v>52.15</v>
      </c>
      <c r="O665" t="s">
        <v>99</v>
      </c>
      <c r="P665" s="5">
        <v>45978</v>
      </c>
      <c r="Q665" s="5">
        <v>45987</v>
      </c>
      <c r="R665" s="5">
        <v>45984</v>
      </c>
      <c r="S665" t="s">
        <v>33</v>
      </c>
      <c r="T665" s="6">
        <v>4</v>
      </c>
      <c r="U665" t="s">
        <v>172</v>
      </c>
      <c r="V665" s="10">
        <v>4562.58</v>
      </c>
      <c r="W665" s="10">
        <v>2554.94</v>
      </c>
      <c r="X665" s="10">
        <v>1955.49</v>
      </c>
      <c r="Y665" s="11">
        <v>0.4285930328892863</v>
      </c>
      <c r="Z665" s="6">
        <v>-3</v>
      </c>
      <c r="AA665" t="s">
        <v>35</v>
      </c>
    </row>
    <row r="666" spans="1:27" x14ac:dyDescent="0.25">
      <c r="A666" t="s">
        <v>807</v>
      </c>
      <c r="B666">
        <v>135</v>
      </c>
      <c r="C666" s="9">
        <v>45976.565335648149</v>
      </c>
      <c r="D666" t="s">
        <v>123</v>
      </c>
      <c r="E666" t="s">
        <v>124</v>
      </c>
      <c r="F666" t="s">
        <v>45</v>
      </c>
      <c r="G666">
        <v>0</v>
      </c>
      <c r="H666" s="6">
        <v>1</v>
      </c>
      <c r="I666" s="10">
        <v>71.849999999999994</v>
      </c>
      <c r="J666" s="10">
        <v>138.99</v>
      </c>
      <c r="K666" t="s">
        <v>60</v>
      </c>
      <c r="L666" s="3">
        <v>0.2</v>
      </c>
      <c r="M666" t="s">
        <v>31</v>
      </c>
      <c r="N666" s="10">
        <v>15.69</v>
      </c>
      <c r="O666" t="s">
        <v>62</v>
      </c>
      <c r="P666" s="5">
        <v>45978</v>
      </c>
      <c r="Q666" s="5">
        <v>45984</v>
      </c>
      <c r="R666" s="5">
        <v>45980</v>
      </c>
      <c r="S666" t="s">
        <v>33</v>
      </c>
      <c r="T666" s="6">
        <v>4</v>
      </c>
      <c r="U666" t="s">
        <v>48</v>
      </c>
      <c r="V666" s="10">
        <v>111.19199999999999</v>
      </c>
      <c r="W666" s="10">
        <v>71.849999999999994</v>
      </c>
      <c r="X666" s="10">
        <v>23.652000000000019</v>
      </c>
      <c r="Y666" s="11">
        <v>0.2127131448305635</v>
      </c>
      <c r="Z666" s="6">
        <v>-4</v>
      </c>
      <c r="AA666" t="s">
        <v>35</v>
      </c>
    </row>
    <row r="667" spans="1:27" x14ac:dyDescent="0.25">
      <c r="A667" t="s">
        <v>808</v>
      </c>
      <c r="B667">
        <v>116</v>
      </c>
      <c r="C667" s="9">
        <v>45976.995694444442</v>
      </c>
      <c r="D667" t="s">
        <v>148</v>
      </c>
      <c r="E667" t="s">
        <v>149</v>
      </c>
      <c r="F667" t="s">
        <v>30</v>
      </c>
      <c r="G667">
        <v>3332</v>
      </c>
      <c r="H667" s="6">
        <v>3</v>
      </c>
      <c r="I667" s="10">
        <v>486.94</v>
      </c>
      <c r="J667" s="10">
        <v>895.33</v>
      </c>
      <c r="L667" s="3">
        <v>0</v>
      </c>
      <c r="M667" t="s">
        <v>61</v>
      </c>
      <c r="N667" s="10">
        <v>69.72</v>
      </c>
      <c r="O667" t="s">
        <v>99</v>
      </c>
      <c r="P667" s="5">
        <v>45978</v>
      </c>
      <c r="Q667" s="5">
        <v>45983</v>
      </c>
      <c r="R667" s="5">
        <v>45983</v>
      </c>
      <c r="S667" t="s">
        <v>33</v>
      </c>
      <c r="T667" s="6">
        <v>5</v>
      </c>
      <c r="U667" t="s">
        <v>134</v>
      </c>
      <c r="V667" s="10">
        <v>2685.99</v>
      </c>
      <c r="W667" s="10">
        <v>1460.82</v>
      </c>
      <c r="X667" s="10">
        <v>1155.45</v>
      </c>
      <c r="Y667" s="11">
        <v>0.43017658293590078</v>
      </c>
      <c r="Z667" s="6">
        <v>0</v>
      </c>
      <c r="AA667" t="s">
        <v>35</v>
      </c>
    </row>
    <row r="668" spans="1:27" x14ac:dyDescent="0.25">
      <c r="A668" t="s">
        <v>809</v>
      </c>
      <c r="B668">
        <v>140</v>
      </c>
      <c r="C668" s="9">
        <v>45978.26599537037</v>
      </c>
      <c r="D668" t="s">
        <v>66</v>
      </c>
      <c r="E668" t="s">
        <v>67</v>
      </c>
      <c r="F668" t="s">
        <v>52</v>
      </c>
      <c r="G668">
        <v>272</v>
      </c>
      <c r="H668" s="6">
        <v>3</v>
      </c>
      <c r="I668" s="10">
        <v>47.67</v>
      </c>
      <c r="J668" s="10">
        <v>115.52</v>
      </c>
      <c r="L668" s="3">
        <v>0</v>
      </c>
      <c r="M668" t="s">
        <v>76</v>
      </c>
      <c r="N668" s="10">
        <v>47.88</v>
      </c>
      <c r="O668" t="s">
        <v>99</v>
      </c>
      <c r="P668" s="5">
        <v>45980</v>
      </c>
      <c r="Q668" s="5">
        <v>45989</v>
      </c>
      <c r="R668" s="5">
        <v>45987</v>
      </c>
      <c r="S668" t="s">
        <v>33</v>
      </c>
      <c r="T668" s="6">
        <v>5</v>
      </c>
      <c r="U668" t="s">
        <v>34</v>
      </c>
      <c r="V668" s="10">
        <v>346.56</v>
      </c>
      <c r="W668" s="10">
        <v>143.01</v>
      </c>
      <c r="X668" s="10">
        <v>155.66999999999999</v>
      </c>
      <c r="Y668" s="11">
        <v>0.44918628808864269</v>
      </c>
      <c r="Z668" s="6">
        <v>-2</v>
      </c>
      <c r="AA668" t="s">
        <v>35</v>
      </c>
    </row>
    <row r="669" spans="1:27" x14ac:dyDescent="0.25">
      <c r="A669" t="s">
        <v>810</v>
      </c>
      <c r="B669">
        <v>151</v>
      </c>
      <c r="C669" s="9">
        <v>45978.346226851849</v>
      </c>
      <c r="D669" t="s">
        <v>43</v>
      </c>
      <c r="E669" t="s">
        <v>44</v>
      </c>
      <c r="F669" t="s">
        <v>45</v>
      </c>
      <c r="G669">
        <v>0</v>
      </c>
      <c r="H669" s="6">
        <v>2</v>
      </c>
      <c r="I669" s="10">
        <v>68.23</v>
      </c>
      <c r="J669" s="10">
        <v>122.57</v>
      </c>
      <c r="K669" t="s">
        <v>60</v>
      </c>
      <c r="L669" s="3">
        <v>0.2</v>
      </c>
      <c r="M669" t="s">
        <v>61</v>
      </c>
      <c r="N669" s="10">
        <v>17.809999999999999</v>
      </c>
      <c r="O669" t="s">
        <v>47</v>
      </c>
      <c r="P669" s="5">
        <v>45979</v>
      </c>
      <c r="Q669" s="5">
        <v>45984</v>
      </c>
      <c r="R669" s="5">
        <v>45983</v>
      </c>
      <c r="S669" t="s">
        <v>33</v>
      </c>
      <c r="T669" s="6">
        <v>4</v>
      </c>
      <c r="U669" t="s">
        <v>134</v>
      </c>
      <c r="V669" s="10">
        <v>196.11199999999999</v>
      </c>
      <c r="W669" s="10">
        <v>136.46</v>
      </c>
      <c r="X669" s="10">
        <v>41.841999999999977</v>
      </c>
      <c r="Y669" s="11">
        <v>0.21335767316635379</v>
      </c>
      <c r="Z669" s="6">
        <v>-1</v>
      </c>
      <c r="AA669" t="s">
        <v>35</v>
      </c>
    </row>
    <row r="670" spans="1:27" x14ac:dyDescent="0.25">
      <c r="A670" t="s">
        <v>811</v>
      </c>
      <c r="B670">
        <v>134</v>
      </c>
      <c r="C670" s="9">
        <v>45978.465960648151</v>
      </c>
      <c r="D670" t="s">
        <v>50</v>
      </c>
      <c r="E670" t="s">
        <v>51</v>
      </c>
      <c r="F670" t="s">
        <v>52</v>
      </c>
      <c r="G670">
        <v>685</v>
      </c>
      <c r="H670" s="6">
        <v>1</v>
      </c>
      <c r="I670" s="10">
        <v>168.61</v>
      </c>
      <c r="J670" s="10">
        <v>293.83</v>
      </c>
      <c r="L670" s="3">
        <v>0</v>
      </c>
      <c r="M670" t="s">
        <v>76</v>
      </c>
      <c r="N670" s="10">
        <v>46.63</v>
      </c>
      <c r="O670" t="s">
        <v>47</v>
      </c>
      <c r="P670" s="5">
        <v>45979</v>
      </c>
      <c r="Q670" s="5">
        <v>45988</v>
      </c>
      <c r="R670" s="5">
        <v>45983</v>
      </c>
      <c r="S670" t="s">
        <v>33</v>
      </c>
      <c r="T670" s="6">
        <v>5</v>
      </c>
      <c r="U670" t="s">
        <v>127</v>
      </c>
      <c r="V670" s="10">
        <v>293.83</v>
      </c>
      <c r="W670" s="10">
        <v>168.61</v>
      </c>
      <c r="X670" s="10">
        <v>78.589999999999975</v>
      </c>
      <c r="Y670" s="11">
        <v>0.26746758329646392</v>
      </c>
      <c r="Z670" s="6">
        <v>-5</v>
      </c>
      <c r="AA670" t="s">
        <v>35</v>
      </c>
    </row>
    <row r="671" spans="1:27" x14ac:dyDescent="0.25">
      <c r="A671" t="s">
        <v>812</v>
      </c>
      <c r="B671">
        <v>40</v>
      </c>
      <c r="C671" s="9">
        <v>45978.657523148147</v>
      </c>
      <c r="D671" t="s">
        <v>43</v>
      </c>
      <c r="E671" t="s">
        <v>44</v>
      </c>
      <c r="F671" t="s">
        <v>45</v>
      </c>
      <c r="G671">
        <v>0</v>
      </c>
      <c r="H671" s="6">
        <v>3</v>
      </c>
      <c r="I671" s="10">
        <v>29.63</v>
      </c>
      <c r="J671" s="10">
        <v>141.36000000000001</v>
      </c>
      <c r="L671" s="3">
        <v>0</v>
      </c>
      <c r="M671" t="s">
        <v>61</v>
      </c>
      <c r="N671" s="10">
        <v>21.88</v>
      </c>
      <c r="O671" t="s">
        <v>53</v>
      </c>
      <c r="P671" s="5">
        <v>45979</v>
      </c>
      <c r="Q671" s="5">
        <v>45985</v>
      </c>
      <c r="R671" s="5">
        <v>45981</v>
      </c>
      <c r="S671" t="s">
        <v>33</v>
      </c>
      <c r="T671" s="6">
        <v>4</v>
      </c>
      <c r="U671" t="s">
        <v>166</v>
      </c>
      <c r="V671" s="10">
        <v>424.08</v>
      </c>
      <c r="W671" s="10">
        <v>88.89</v>
      </c>
      <c r="X671" s="10">
        <v>313.31000000000012</v>
      </c>
      <c r="Y671" s="11">
        <v>0.73879928315412191</v>
      </c>
      <c r="Z671" s="6">
        <v>-4</v>
      </c>
      <c r="AA671" t="s">
        <v>35</v>
      </c>
    </row>
    <row r="672" spans="1:27" x14ac:dyDescent="0.25">
      <c r="A672" t="s">
        <v>813</v>
      </c>
      <c r="B672">
        <v>145</v>
      </c>
      <c r="C672" s="9">
        <v>45978.975578703707</v>
      </c>
      <c r="D672" t="s">
        <v>71</v>
      </c>
      <c r="E672" t="s">
        <v>72</v>
      </c>
      <c r="F672" t="s">
        <v>52</v>
      </c>
      <c r="G672">
        <v>269</v>
      </c>
      <c r="H672" s="6">
        <v>3</v>
      </c>
      <c r="I672" s="10">
        <v>46.59</v>
      </c>
      <c r="J672" s="10">
        <v>131.66</v>
      </c>
      <c r="L672" s="3">
        <v>0</v>
      </c>
      <c r="M672" t="s">
        <v>39</v>
      </c>
      <c r="N672" s="10">
        <v>27.99</v>
      </c>
      <c r="O672" t="s">
        <v>157</v>
      </c>
      <c r="P672" s="5">
        <v>45980</v>
      </c>
      <c r="Q672" s="5">
        <v>45986</v>
      </c>
      <c r="R672" s="5">
        <v>45985</v>
      </c>
      <c r="S672" t="s">
        <v>33</v>
      </c>
      <c r="T672" s="6">
        <v>4</v>
      </c>
      <c r="U672" t="s">
        <v>41</v>
      </c>
      <c r="V672" s="10">
        <v>394.98</v>
      </c>
      <c r="W672" s="10">
        <v>139.77000000000001</v>
      </c>
      <c r="X672" s="10">
        <v>227.22</v>
      </c>
      <c r="Y672" s="11">
        <v>0.57526963390551422</v>
      </c>
      <c r="Z672" s="6">
        <v>-1</v>
      </c>
      <c r="AA672" t="s">
        <v>35</v>
      </c>
    </row>
    <row r="673" spans="1:27" x14ac:dyDescent="0.25">
      <c r="A673" t="s">
        <v>814</v>
      </c>
      <c r="B673">
        <v>8</v>
      </c>
      <c r="C673" s="9">
        <v>45979.892245370371</v>
      </c>
      <c r="D673" t="s">
        <v>155</v>
      </c>
      <c r="E673" t="s">
        <v>156</v>
      </c>
      <c r="F673" t="s">
        <v>30</v>
      </c>
      <c r="G673">
        <v>3703</v>
      </c>
      <c r="H673" s="6">
        <v>2</v>
      </c>
      <c r="I673" s="10">
        <v>839.26</v>
      </c>
      <c r="J673" s="10">
        <v>1591.35</v>
      </c>
      <c r="L673" s="3">
        <v>0</v>
      </c>
      <c r="M673" t="s">
        <v>61</v>
      </c>
      <c r="N673" s="10">
        <v>80.09</v>
      </c>
      <c r="O673" t="s">
        <v>150</v>
      </c>
      <c r="P673" s="5">
        <v>45981</v>
      </c>
      <c r="Q673" s="5">
        <v>45986</v>
      </c>
      <c r="R673" s="5">
        <v>45984</v>
      </c>
      <c r="S673" t="s">
        <v>33</v>
      </c>
      <c r="T673" s="6">
        <v>4</v>
      </c>
      <c r="U673" t="s">
        <v>41</v>
      </c>
      <c r="V673" s="10">
        <v>3182.7</v>
      </c>
      <c r="W673" s="10">
        <v>1678.52</v>
      </c>
      <c r="X673" s="10">
        <v>1424.09</v>
      </c>
      <c r="Y673" s="11">
        <v>0.44744713607942938</v>
      </c>
      <c r="Z673" s="6">
        <v>-2</v>
      </c>
      <c r="AA673" t="s">
        <v>35</v>
      </c>
    </row>
    <row r="674" spans="1:27" x14ac:dyDescent="0.25">
      <c r="A674" t="s">
        <v>815</v>
      </c>
      <c r="B674">
        <v>154</v>
      </c>
      <c r="C674" s="9">
        <v>45980.06722222222</v>
      </c>
      <c r="D674" t="s">
        <v>155</v>
      </c>
      <c r="E674" t="s">
        <v>156</v>
      </c>
      <c r="F674" t="s">
        <v>30</v>
      </c>
      <c r="G674">
        <v>4130</v>
      </c>
      <c r="H674" s="6">
        <v>2</v>
      </c>
      <c r="I674" s="10">
        <v>899.21</v>
      </c>
      <c r="J674" s="10">
        <v>1813.51</v>
      </c>
      <c r="K674" t="s">
        <v>60</v>
      </c>
      <c r="L674" s="3">
        <v>0.2</v>
      </c>
      <c r="M674" t="s">
        <v>61</v>
      </c>
      <c r="N674" s="10">
        <v>136.35</v>
      </c>
      <c r="O674" t="s">
        <v>32</v>
      </c>
      <c r="P674" s="5">
        <v>45981</v>
      </c>
      <c r="Q674" s="5">
        <v>45988</v>
      </c>
      <c r="R674" s="5">
        <v>45984</v>
      </c>
      <c r="S674" t="s">
        <v>33</v>
      </c>
      <c r="T674" s="6">
        <v>5</v>
      </c>
      <c r="U674" t="s">
        <v>211</v>
      </c>
      <c r="V674" s="10">
        <v>2901.616</v>
      </c>
      <c r="W674" s="10">
        <v>1798.42</v>
      </c>
      <c r="X674" s="10">
        <v>966.84599999999989</v>
      </c>
      <c r="Y674" s="11">
        <v>0.33320949429559249</v>
      </c>
      <c r="Z674" s="6">
        <v>-4</v>
      </c>
      <c r="AA674" t="s">
        <v>35</v>
      </c>
    </row>
    <row r="675" spans="1:27" x14ac:dyDescent="0.25">
      <c r="A675" t="s">
        <v>816</v>
      </c>
      <c r="B675">
        <v>61</v>
      </c>
      <c r="C675" s="9">
        <v>45980.7184375</v>
      </c>
      <c r="D675" t="s">
        <v>89</v>
      </c>
      <c r="E675" t="s">
        <v>90</v>
      </c>
      <c r="F675" t="s">
        <v>52</v>
      </c>
      <c r="G675">
        <v>300</v>
      </c>
      <c r="H675" s="6">
        <v>2</v>
      </c>
      <c r="I675" s="10">
        <v>58.22</v>
      </c>
      <c r="J675" s="10">
        <v>202.93</v>
      </c>
      <c r="L675" s="3">
        <v>0</v>
      </c>
      <c r="M675" t="s">
        <v>31</v>
      </c>
      <c r="N675" s="10">
        <v>53.37</v>
      </c>
      <c r="O675" t="s">
        <v>62</v>
      </c>
      <c r="P675" s="5">
        <v>45981</v>
      </c>
      <c r="Q675" s="5">
        <v>45987</v>
      </c>
      <c r="R675" s="5">
        <v>45983</v>
      </c>
      <c r="S675" t="s">
        <v>33</v>
      </c>
      <c r="T675" s="6">
        <v>4</v>
      </c>
      <c r="U675" t="s">
        <v>69</v>
      </c>
      <c r="V675" s="10">
        <v>405.86</v>
      </c>
      <c r="W675" s="10">
        <v>116.44</v>
      </c>
      <c r="X675" s="10">
        <v>236.05</v>
      </c>
      <c r="Y675" s="11">
        <v>0.58160449416054794</v>
      </c>
      <c r="Z675" s="6">
        <v>-4</v>
      </c>
      <c r="AA675" t="s">
        <v>35</v>
      </c>
    </row>
    <row r="676" spans="1:27" x14ac:dyDescent="0.25">
      <c r="A676" t="s">
        <v>817</v>
      </c>
      <c r="B676">
        <v>104</v>
      </c>
      <c r="C676" s="9">
        <v>45981.034166666657</v>
      </c>
      <c r="D676" t="s">
        <v>37</v>
      </c>
      <c r="E676" t="s">
        <v>38</v>
      </c>
      <c r="F676" t="s">
        <v>30</v>
      </c>
      <c r="G676">
        <v>2222</v>
      </c>
      <c r="H676" s="6">
        <v>1</v>
      </c>
      <c r="I676" s="10">
        <v>589.20000000000005</v>
      </c>
      <c r="J676" s="10">
        <v>934.61</v>
      </c>
      <c r="L676" s="3">
        <v>0</v>
      </c>
      <c r="M676" t="s">
        <v>31</v>
      </c>
      <c r="N676" s="10">
        <v>107.65</v>
      </c>
      <c r="O676" t="s">
        <v>47</v>
      </c>
      <c r="P676" s="5">
        <v>45983</v>
      </c>
      <c r="Q676" s="5">
        <v>45990</v>
      </c>
      <c r="R676" s="5">
        <v>45994</v>
      </c>
      <c r="S676" t="s">
        <v>33</v>
      </c>
      <c r="T676" s="6">
        <v>3</v>
      </c>
      <c r="U676" t="s">
        <v>352</v>
      </c>
      <c r="V676" s="10">
        <v>934.61</v>
      </c>
      <c r="W676" s="10">
        <v>589.20000000000005</v>
      </c>
      <c r="X676" s="10">
        <v>237.76</v>
      </c>
      <c r="Y676" s="11">
        <v>0.25439488128738191</v>
      </c>
      <c r="Z676" s="6">
        <v>4</v>
      </c>
      <c r="AA676" t="s">
        <v>103</v>
      </c>
    </row>
    <row r="677" spans="1:27" x14ac:dyDescent="0.25">
      <c r="A677" t="s">
        <v>818</v>
      </c>
      <c r="B677">
        <v>9</v>
      </c>
      <c r="C677" s="9">
        <v>45981.673078703701</v>
      </c>
      <c r="D677" t="s">
        <v>110</v>
      </c>
      <c r="E677" t="s">
        <v>111</v>
      </c>
      <c r="F677" t="s">
        <v>30</v>
      </c>
      <c r="G677">
        <v>2123</v>
      </c>
      <c r="H677" s="6">
        <v>1</v>
      </c>
      <c r="I677" s="10">
        <v>1196.26</v>
      </c>
      <c r="J677" s="10">
        <v>2077.3000000000002</v>
      </c>
      <c r="L677" s="3">
        <v>0</v>
      </c>
      <c r="M677" t="s">
        <v>31</v>
      </c>
      <c r="N677" s="10">
        <v>106.05</v>
      </c>
      <c r="O677" t="s">
        <v>157</v>
      </c>
      <c r="P677" s="5">
        <v>45983</v>
      </c>
      <c r="Q677" s="5">
        <v>45988</v>
      </c>
      <c r="R677" s="5">
        <v>45986</v>
      </c>
      <c r="S677" t="s">
        <v>33</v>
      </c>
      <c r="T677" s="6">
        <v>5</v>
      </c>
      <c r="U677" t="s">
        <v>172</v>
      </c>
      <c r="V677" s="10">
        <v>2077.3000000000002</v>
      </c>
      <c r="W677" s="10">
        <v>1196.26</v>
      </c>
      <c r="X677" s="10">
        <v>774.99000000000024</v>
      </c>
      <c r="Y677" s="11">
        <v>0.37307562701583802</v>
      </c>
      <c r="Z677" s="6">
        <v>-2</v>
      </c>
      <c r="AA677" t="s">
        <v>35</v>
      </c>
    </row>
    <row r="678" spans="1:27" x14ac:dyDescent="0.25">
      <c r="A678" t="s">
        <v>819</v>
      </c>
      <c r="B678">
        <v>195</v>
      </c>
      <c r="C678" s="9">
        <v>45982.120983796303</v>
      </c>
      <c r="D678" t="s">
        <v>137</v>
      </c>
      <c r="E678" t="s">
        <v>138</v>
      </c>
      <c r="F678" t="s">
        <v>52</v>
      </c>
      <c r="G678">
        <v>468</v>
      </c>
      <c r="H678" s="6">
        <v>2</v>
      </c>
      <c r="I678" s="10">
        <v>92.03</v>
      </c>
      <c r="J678" s="10">
        <v>147.26</v>
      </c>
      <c r="K678" t="s">
        <v>46</v>
      </c>
      <c r="L678" s="3">
        <v>0.1</v>
      </c>
      <c r="M678" t="s">
        <v>39</v>
      </c>
      <c r="N678" s="10">
        <v>26.14</v>
      </c>
      <c r="O678" t="s">
        <v>40</v>
      </c>
      <c r="P678" s="5">
        <v>45984</v>
      </c>
      <c r="Q678" s="5">
        <v>45990</v>
      </c>
      <c r="S678" t="s">
        <v>63</v>
      </c>
      <c r="T678" s="6">
        <v>3</v>
      </c>
      <c r="U678" t="s">
        <v>230</v>
      </c>
      <c r="V678" s="10">
        <v>265.06799999999998</v>
      </c>
      <c r="W678" s="10">
        <v>184.06</v>
      </c>
      <c r="X678" s="10">
        <v>54.867999999999981</v>
      </c>
      <c r="Y678" s="11">
        <v>0.20699594066428231</v>
      </c>
      <c r="Z678" s="6"/>
      <c r="AA678" t="s">
        <v>56</v>
      </c>
    </row>
    <row r="679" spans="1:27" x14ac:dyDescent="0.25">
      <c r="A679" t="s">
        <v>820</v>
      </c>
      <c r="B679">
        <v>95</v>
      </c>
      <c r="C679" s="9">
        <v>45983.400092592587</v>
      </c>
      <c r="D679" t="s">
        <v>66</v>
      </c>
      <c r="E679" t="s">
        <v>67</v>
      </c>
      <c r="F679" t="s">
        <v>52</v>
      </c>
      <c r="G679">
        <v>286</v>
      </c>
      <c r="H679" s="6">
        <v>1</v>
      </c>
      <c r="I679" s="10">
        <v>65.3</v>
      </c>
      <c r="J679" s="10">
        <v>111.35</v>
      </c>
      <c r="K679" t="s">
        <v>46</v>
      </c>
      <c r="L679" s="3">
        <v>0.1</v>
      </c>
      <c r="M679" t="s">
        <v>76</v>
      </c>
      <c r="N679" s="10">
        <v>22.54</v>
      </c>
      <c r="O679" t="s">
        <v>47</v>
      </c>
      <c r="P679" s="5">
        <v>45984</v>
      </c>
      <c r="Q679" s="5">
        <v>45989</v>
      </c>
      <c r="R679" s="5">
        <v>45989</v>
      </c>
      <c r="S679" t="s">
        <v>33</v>
      </c>
      <c r="T679" s="6">
        <v>5</v>
      </c>
      <c r="U679" t="s">
        <v>127</v>
      </c>
      <c r="V679" s="10">
        <v>100.215</v>
      </c>
      <c r="W679" s="10">
        <v>65.3</v>
      </c>
      <c r="X679" s="10">
        <v>12.375000000000011</v>
      </c>
      <c r="Y679" s="11">
        <v>0.1234845083071397</v>
      </c>
      <c r="Z679" s="6">
        <v>0</v>
      </c>
      <c r="AA679" t="s">
        <v>35</v>
      </c>
    </row>
    <row r="680" spans="1:27" x14ac:dyDescent="0.25">
      <c r="A680" t="s">
        <v>821</v>
      </c>
      <c r="B680">
        <v>125</v>
      </c>
      <c r="C680" s="9">
        <v>45983.590787037043</v>
      </c>
      <c r="D680" t="s">
        <v>81</v>
      </c>
      <c r="E680" t="s">
        <v>82</v>
      </c>
      <c r="F680" t="s">
        <v>45</v>
      </c>
      <c r="G680">
        <v>0</v>
      </c>
      <c r="H680" s="6">
        <v>2</v>
      </c>
      <c r="I680" s="10">
        <v>72.34</v>
      </c>
      <c r="J680" s="10">
        <v>240.85</v>
      </c>
      <c r="L680" s="3">
        <v>0</v>
      </c>
      <c r="M680" t="s">
        <v>31</v>
      </c>
      <c r="N680" s="10">
        <v>28.21</v>
      </c>
      <c r="O680" t="s">
        <v>62</v>
      </c>
      <c r="P680" s="5">
        <v>45984</v>
      </c>
      <c r="Q680" s="5">
        <v>45989</v>
      </c>
      <c r="R680" s="5">
        <v>45986</v>
      </c>
      <c r="S680" t="s">
        <v>33</v>
      </c>
      <c r="T680" s="6">
        <v>5</v>
      </c>
      <c r="U680" t="s">
        <v>34</v>
      </c>
      <c r="V680" s="10">
        <v>481.7</v>
      </c>
      <c r="W680" s="10">
        <v>144.68</v>
      </c>
      <c r="X680" s="10">
        <v>308.81</v>
      </c>
      <c r="Y680" s="11">
        <v>0.64108366203030931</v>
      </c>
      <c r="Z680" s="6">
        <v>-3</v>
      </c>
      <c r="AA680" t="s">
        <v>35</v>
      </c>
    </row>
    <row r="681" spans="1:27" x14ac:dyDescent="0.25">
      <c r="A681" t="s">
        <v>822</v>
      </c>
      <c r="B681">
        <v>18</v>
      </c>
      <c r="C681" s="9">
        <v>45983.810208333343</v>
      </c>
      <c r="D681" t="s">
        <v>50</v>
      </c>
      <c r="E681" t="s">
        <v>51</v>
      </c>
      <c r="F681" t="s">
        <v>52</v>
      </c>
      <c r="G681">
        <v>632</v>
      </c>
      <c r="H681" s="6">
        <v>1</v>
      </c>
      <c r="I681" s="10">
        <v>91.3</v>
      </c>
      <c r="J681" s="10">
        <v>275.31</v>
      </c>
      <c r="L681" s="3">
        <v>0</v>
      </c>
      <c r="M681" t="s">
        <v>76</v>
      </c>
      <c r="N681" s="10">
        <v>59.77</v>
      </c>
      <c r="O681" t="s">
        <v>40</v>
      </c>
      <c r="P681" s="5">
        <v>45985</v>
      </c>
      <c r="Q681" s="5">
        <v>45994</v>
      </c>
      <c r="R681" s="5">
        <v>45990</v>
      </c>
      <c r="S681" t="s">
        <v>33</v>
      </c>
      <c r="T681" s="6">
        <v>4</v>
      </c>
      <c r="U681" t="s">
        <v>77</v>
      </c>
      <c r="V681" s="10">
        <v>275.31</v>
      </c>
      <c r="W681" s="10">
        <v>91.3</v>
      </c>
      <c r="X681" s="10">
        <v>124.24</v>
      </c>
      <c r="Y681" s="11">
        <v>0.45127311031201178</v>
      </c>
      <c r="Z681" s="6">
        <v>-4</v>
      </c>
      <c r="AA681" t="s">
        <v>35</v>
      </c>
    </row>
    <row r="682" spans="1:27" x14ac:dyDescent="0.25">
      <c r="A682" t="s">
        <v>823</v>
      </c>
      <c r="B682">
        <v>41</v>
      </c>
      <c r="C682" s="9">
        <v>45984.416145833333</v>
      </c>
      <c r="D682" t="s">
        <v>71</v>
      </c>
      <c r="E682" t="s">
        <v>72</v>
      </c>
      <c r="F682" t="s">
        <v>52</v>
      </c>
      <c r="G682">
        <v>219</v>
      </c>
      <c r="H682" s="6">
        <v>2</v>
      </c>
      <c r="I682" s="10">
        <v>64.69</v>
      </c>
      <c r="J682" s="10">
        <v>80.930000000000007</v>
      </c>
      <c r="L682" s="3">
        <v>0</v>
      </c>
      <c r="M682" t="s">
        <v>76</v>
      </c>
      <c r="N682" s="10">
        <v>49.27</v>
      </c>
      <c r="O682" t="s">
        <v>62</v>
      </c>
      <c r="P682" s="5">
        <v>45985</v>
      </c>
      <c r="Q682" s="5">
        <v>45991</v>
      </c>
      <c r="R682" s="5">
        <v>45991</v>
      </c>
      <c r="S682" t="s">
        <v>33</v>
      </c>
      <c r="T682" s="6">
        <v>5</v>
      </c>
      <c r="U682" t="s">
        <v>172</v>
      </c>
      <c r="V682" s="10">
        <v>161.86000000000001</v>
      </c>
      <c r="W682" s="10">
        <v>129.38</v>
      </c>
      <c r="X682" s="10">
        <v>-16.789999999999981</v>
      </c>
      <c r="Y682" s="11">
        <v>-0.1037316199184479</v>
      </c>
      <c r="Z682" s="6">
        <v>0</v>
      </c>
      <c r="AA682" t="s">
        <v>35</v>
      </c>
    </row>
    <row r="683" spans="1:27" x14ac:dyDescent="0.25">
      <c r="A683" t="s">
        <v>824</v>
      </c>
      <c r="B683">
        <v>90</v>
      </c>
      <c r="C683" s="9">
        <v>45985.13585648148</v>
      </c>
      <c r="D683" t="s">
        <v>123</v>
      </c>
      <c r="E683" t="s">
        <v>124</v>
      </c>
      <c r="F683" t="s">
        <v>45</v>
      </c>
      <c r="G683">
        <v>0</v>
      </c>
      <c r="H683" s="6">
        <v>3</v>
      </c>
      <c r="I683" s="10">
        <v>268.43</v>
      </c>
      <c r="J683" s="10">
        <v>327.52</v>
      </c>
      <c r="L683" s="3">
        <v>0</v>
      </c>
      <c r="M683" t="s">
        <v>31</v>
      </c>
      <c r="N683" s="10">
        <v>22.43</v>
      </c>
      <c r="O683" t="s">
        <v>97</v>
      </c>
      <c r="P683" s="5">
        <v>45986</v>
      </c>
      <c r="Q683" s="5">
        <v>45992</v>
      </c>
      <c r="R683" s="5">
        <v>45989</v>
      </c>
      <c r="S683" t="s">
        <v>33</v>
      </c>
      <c r="T683" s="6">
        <v>4</v>
      </c>
      <c r="U683" t="s">
        <v>34</v>
      </c>
      <c r="V683" s="10">
        <v>982.56</v>
      </c>
      <c r="W683" s="10">
        <v>805.29</v>
      </c>
      <c r="X683" s="10">
        <v>154.84</v>
      </c>
      <c r="Y683" s="11">
        <v>0.15758834066113009</v>
      </c>
      <c r="Z683" s="6">
        <v>-3</v>
      </c>
      <c r="AA683" t="s">
        <v>35</v>
      </c>
    </row>
    <row r="684" spans="1:27" x14ac:dyDescent="0.25">
      <c r="A684" t="s">
        <v>825</v>
      </c>
      <c r="B684">
        <v>148</v>
      </c>
      <c r="C684" s="9">
        <v>45985.2497337963</v>
      </c>
      <c r="D684" t="s">
        <v>28</v>
      </c>
      <c r="E684" t="s">
        <v>29</v>
      </c>
      <c r="F684" t="s">
        <v>30</v>
      </c>
      <c r="G684">
        <v>2260</v>
      </c>
      <c r="H684" s="6">
        <v>2</v>
      </c>
      <c r="I684" s="10">
        <v>1878.86</v>
      </c>
      <c r="J684" s="10">
        <v>3975.53</v>
      </c>
      <c r="L684" s="3">
        <v>0</v>
      </c>
      <c r="M684" t="s">
        <v>61</v>
      </c>
      <c r="N684" s="10">
        <v>52.84</v>
      </c>
      <c r="O684" t="s">
        <v>101</v>
      </c>
      <c r="P684" s="5">
        <v>45986</v>
      </c>
      <c r="Q684" s="5">
        <v>45995</v>
      </c>
      <c r="R684" s="5">
        <v>45991</v>
      </c>
      <c r="S684" t="s">
        <v>33</v>
      </c>
      <c r="T684" s="6">
        <v>5</v>
      </c>
      <c r="U684" t="s">
        <v>119</v>
      </c>
      <c r="V684" s="10">
        <v>7951.06</v>
      </c>
      <c r="W684" s="10">
        <v>3757.72</v>
      </c>
      <c r="X684" s="10">
        <v>4140.5</v>
      </c>
      <c r="Y684" s="11">
        <v>0.52074817697262998</v>
      </c>
      <c r="Z684" s="6">
        <v>-4</v>
      </c>
      <c r="AA684" t="s">
        <v>35</v>
      </c>
    </row>
    <row r="685" spans="1:27" x14ac:dyDescent="0.25">
      <c r="A685" t="s">
        <v>826</v>
      </c>
      <c r="B685">
        <v>11</v>
      </c>
      <c r="C685" s="9">
        <v>45985.665173611109</v>
      </c>
      <c r="D685" t="s">
        <v>66</v>
      </c>
      <c r="E685" t="s">
        <v>67</v>
      </c>
      <c r="F685" t="s">
        <v>52</v>
      </c>
      <c r="G685">
        <v>265</v>
      </c>
      <c r="H685" s="6">
        <v>1</v>
      </c>
      <c r="I685" s="10">
        <v>57.34</v>
      </c>
      <c r="J685" s="10">
        <v>70.34</v>
      </c>
      <c r="L685" s="3">
        <v>0</v>
      </c>
      <c r="M685" t="s">
        <v>31</v>
      </c>
      <c r="N685" s="10">
        <v>52.88</v>
      </c>
      <c r="O685" t="s">
        <v>97</v>
      </c>
      <c r="P685" s="5">
        <v>45987</v>
      </c>
      <c r="Q685" s="5">
        <v>45996</v>
      </c>
      <c r="S685" t="s">
        <v>54</v>
      </c>
      <c r="T685" s="6">
        <v>2</v>
      </c>
      <c r="U685" t="s">
        <v>461</v>
      </c>
      <c r="V685" s="10">
        <v>70.34</v>
      </c>
      <c r="W685" s="10">
        <v>57.34</v>
      </c>
      <c r="X685" s="10">
        <v>-39.880000000000003</v>
      </c>
      <c r="Y685" s="11">
        <v>-0.56696047767984081</v>
      </c>
      <c r="Z685" s="6"/>
      <c r="AA685" t="s">
        <v>56</v>
      </c>
    </row>
    <row r="686" spans="1:27" x14ac:dyDescent="0.25">
      <c r="A686" t="s">
        <v>827</v>
      </c>
      <c r="B686">
        <v>10</v>
      </c>
      <c r="C686" s="9">
        <v>45985.719583333332</v>
      </c>
      <c r="D686" t="s">
        <v>155</v>
      </c>
      <c r="E686" t="s">
        <v>156</v>
      </c>
      <c r="F686" t="s">
        <v>30</v>
      </c>
      <c r="G686">
        <v>4965</v>
      </c>
      <c r="H686" s="6">
        <v>2</v>
      </c>
      <c r="I686" s="10">
        <v>936.36</v>
      </c>
      <c r="J686" s="10">
        <v>1379.55</v>
      </c>
      <c r="L686" s="3">
        <v>0</v>
      </c>
      <c r="M686" t="s">
        <v>31</v>
      </c>
      <c r="N686" s="10">
        <v>137.32</v>
      </c>
      <c r="O686" t="s">
        <v>264</v>
      </c>
      <c r="P686" s="5">
        <v>45986</v>
      </c>
      <c r="Q686" s="5">
        <v>45994</v>
      </c>
      <c r="R686" s="5">
        <v>45992</v>
      </c>
      <c r="S686" t="s">
        <v>33</v>
      </c>
      <c r="T686" s="6">
        <v>5</v>
      </c>
      <c r="U686" t="s">
        <v>134</v>
      </c>
      <c r="V686" s="10">
        <v>2759.1</v>
      </c>
      <c r="W686" s="10">
        <v>1872.72</v>
      </c>
      <c r="X686" s="10">
        <v>749.06</v>
      </c>
      <c r="Y686" s="11">
        <v>0.27148707912000292</v>
      </c>
      <c r="Z686" s="6">
        <v>-2</v>
      </c>
      <c r="AA686" t="s">
        <v>35</v>
      </c>
    </row>
    <row r="687" spans="1:27" x14ac:dyDescent="0.25">
      <c r="A687" t="s">
        <v>828</v>
      </c>
      <c r="B687">
        <v>54</v>
      </c>
      <c r="C687" s="9">
        <v>45986.424432870372</v>
      </c>
      <c r="D687" t="s">
        <v>110</v>
      </c>
      <c r="E687" t="s">
        <v>111</v>
      </c>
      <c r="F687" t="s">
        <v>30</v>
      </c>
      <c r="G687">
        <v>2075</v>
      </c>
      <c r="H687" s="6">
        <v>1</v>
      </c>
      <c r="I687" s="10">
        <v>1165.06</v>
      </c>
      <c r="J687" s="10">
        <v>2067.44</v>
      </c>
      <c r="L687" s="3">
        <v>0</v>
      </c>
      <c r="M687" t="s">
        <v>31</v>
      </c>
      <c r="N687" s="10">
        <v>61.23</v>
      </c>
      <c r="O687" t="s">
        <v>62</v>
      </c>
      <c r="P687" s="5">
        <v>45988</v>
      </c>
      <c r="Q687" s="5">
        <v>45998</v>
      </c>
      <c r="R687" s="5">
        <v>45990</v>
      </c>
      <c r="S687" t="s">
        <v>33</v>
      </c>
      <c r="T687" s="6">
        <v>4</v>
      </c>
      <c r="U687" t="s">
        <v>119</v>
      </c>
      <c r="V687" s="10">
        <v>2067.44</v>
      </c>
      <c r="W687" s="10">
        <v>1165.06</v>
      </c>
      <c r="X687" s="10">
        <v>841.15000000000009</v>
      </c>
      <c r="Y687" s="11">
        <v>0.40685582169252799</v>
      </c>
      <c r="Z687" s="6">
        <v>-8</v>
      </c>
      <c r="AA687" t="s">
        <v>35</v>
      </c>
    </row>
    <row r="688" spans="1:27" x14ac:dyDescent="0.25">
      <c r="A688" t="s">
        <v>829</v>
      </c>
      <c r="B688">
        <v>29</v>
      </c>
      <c r="C688" s="9">
        <v>45986.471817129634</v>
      </c>
      <c r="D688" t="s">
        <v>198</v>
      </c>
      <c r="E688" t="s">
        <v>199</v>
      </c>
      <c r="F688" t="s">
        <v>116</v>
      </c>
      <c r="G688">
        <v>0</v>
      </c>
      <c r="H688" s="6">
        <v>2</v>
      </c>
      <c r="I688" s="10">
        <v>442.51</v>
      </c>
      <c r="J688" s="10">
        <v>662.02</v>
      </c>
      <c r="L688" s="3">
        <v>0</v>
      </c>
      <c r="M688" t="s">
        <v>31</v>
      </c>
      <c r="N688" s="10">
        <v>18.53</v>
      </c>
      <c r="O688" t="s">
        <v>97</v>
      </c>
      <c r="P688" s="5">
        <v>45987</v>
      </c>
      <c r="Q688" s="5">
        <v>45995</v>
      </c>
      <c r="S688" t="s">
        <v>54</v>
      </c>
      <c r="T688" s="6">
        <v>3</v>
      </c>
      <c r="U688" t="s">
        <v>146</v>
      </c>
      <c r="V688" s="10">
        <v>1324.04</v>
      </c>
      <c r="W688" s="10">
        <v>885.02</v>
      </c>
      <c r="X688" s="10">
        <v>420.49</v>
      </c>
      <c r="Y688" s="11">
        <v>0.31758103984773878</v>
      </c>
      <c r="Z688" s="6"/>
      <c r="AA688" t="s">
        <v>56</v>
      </c>
    </row>
    <row r="689" spans="1:27" x14ac:dyDescent="0.25">
      <c r="A689" t="s">
        <v>830</v>
      </c>
      <c r="B689">
        <v>173</v>
      </c>
      <c r="C689" s="9">
        <v>45987.941331018519</v>
      </c>
      <c r="D689" t="s">
        <v>123</v>
      </c>
      <c r="E689" t="s">
        <v>124</v>
      </c>
      <c r="F689" t="s">
        <v>45</v>
      </c>
      <c r="G689">
        <v>0</v>
      </c>
      <c r="H689" s="6">
        <v>3</v>
      </c>
      <c r="I689" s="10">
        <v>111.89</v>
      </c>
      <c r="J689" s="10">
        <v>322.04000000000002</v>
      </c>
      <c r="K689" t="s">
        <v>60</v>
      </c>
      <c r="L689" s="3">
        <v>0.2</v>
      </c>
      <c r="M689" t="s">
        <v>61</v>
      </c>
      <c r="N689" s="10">
        <v>17.350000000000001</v>
      </c>
      <c r="O689" t="s">
        <v>101</v>
      </c>
      <c r="P689" s="5">
        <v>45988</v>
      </c>
      <c r="Q689" s="5">
        <v>45996</v>
      </c>
      <c r="S689" t="s">
        <v>54</v>
      </c>
      <c r="T689" s="6">
        <v>3</v>
      </c>
      <c r="U689" t="s">
        <v>405</v>
      </c>
      <c r="V689" s="10">
        <v>772.89600000000019</v>
      </c>
      <c r="W689" s="10">
        <v>335.67</v>
      </c>
      <c r="X689" s="10">
        <v>419.87600000000009</v>
      </c>
      <c r="Y689" s="11">
        <v>0.54325032087111336</v>
      </c>
      <c r="Z689" s="6"/>
      <c r="AA689" t="s">
        <v>56</v>
      </c>
    </row>
    <row r="690" spans="1:27" x14ac:dyDescent="0.25">
      <c r="A690" t="s">
        <v>831</v>
      </c>
      <c r="B690">
        <v>157</v>
      </c>
      <c r="C690" s="9">
        <v>45988.425451388888</v>
      </c>
      <c r="D690" t="s">
        <v>155</v>
      </c>
      <c r="E690" t="s">
        <v>156</v>
      </c>
      <c r="F690" t="s">
        <v>30</v>
      </c>
      <c r="G690">
        <v>4689</v>
      </c>
      <c r="H690" s="6">
        <v>3</v>
      </c>
      <c r="I690" s="10">
        <v>802.61</v>
      </c>
      <c r="J690" s="10">
        <v>1586.23</v>
      </c>
      <c r="L690" s="3">
        <v>0</v>
      </c>
      <c r="M690" t="s">
        <v>31</v>
      </c>
      <c r="N690" s="10">
        <v>136.69999999999999</v>
      </c>
      <c r="O690" t="s">
        <v>47</v>
      </c>
      <c r="P690" s="5">
        <v>45989</v>
      </c>
      <c r="Q690" s="5">
        <v>45995</v>
      </c>
      <c r="S690" t="s">
        <v>161</v>
      </c>
      <c r="T690" s="6">
        <v>2</v>
      </c>
      <c r="U690" t="s">
        <v>185</v>
      </c>
      <c r="V690" s="10">
        <v>4758.6900000000014</v>
      </c>
      <c r="W690" s="10">
        <v>2407.83</v>
      </c>
      <c r="X690" s="10">
        <v>2214.1600000000012</v>
      </c>
      <c r="Y690" s="11">
        <v>0.46528771573689409</v>
      </c>
      <c r="Z690" s="6"/>
      <c r="AA690" t="s">
        <v>56</v>
      </c>
    </row>
    <row r="691" spans="1:27" x14ac:dyDescent="0.25">
      <c r="A691" t="s">
        <v>832</v>
      </c>
      <c r="B691">
        <v>135</v>
      </c>
      <c r="C691" s="9">
        <v>45988.467800925922</v>
      </c>
      <c r="D691" t="s">
        <v>86</v>
      </c>
      <c r="E691" t="s">
        <v>87</v>
      </c>
      <c r="F691" t="s">
        <v>45</v>
      </c>
      <c r="G691">
        <v>0</v>
      </c>
      <c r="H691" s="6">
        <v>3</v>
      </c>
      <c r="I691" s="10">
        <v>52.25</v>
      </c>
      <c r="J691" s="10">
        <v>192.92</v>
      </c>
      <c r="L691" s="3">
        <v>0</v>
      </c>
      <c r="M691" t="s">
        <v>31</v>
      </c>
      <c r="N691" s="10">
        <v>25.94</v>
      </c>
      <c r="O691" t="s">
        <v>40</v>
      </c>
      <c r="P691" s="5">
        <v>45990</v>
      </c>
      <c r="Q691" s="5">
        <v>45999</v>
      </c>
      <c r="R691" s="5">
        <v>45993</v>
      </c>
      <c r="S691" t="s">
        <v>33</v>
      </c>
      <c r="T691" s="6">
        <v>4</v>
      </c>
      <c r="U691" t="s">
        <v>48</v>
      </c>
      <c r="V691" s="10">
        <v>578.76</v>
      </c>
      <c r="W691" s="10">
        <v>156.75</v>
      </c>
      <c r="X691" s="10">
        <v>396.07</v>
      </c>
      <c r="Y691" s="11">
        <v>0.68434238717257589</v>
      </c>
      <c r="Z691" s="6">
        <v>-6</v>
      </c>
      <c r="AA691" t="s">
        <v>35</v>
      </c>
    </row>
    <row r="692" spans="1:27" x14ac:dyDescent="0.25">
      <c r="A692" t="s">
        <v>833</v>
      </c>
      <c r="B692">
        <v>179</v>
      </c>
      <c r="C692" s="9">
        <v>45988.995879629627</v>
      </c>
      <c r="D692" t="s">
        <v>148</v>
      </c>
      <c r="E692" t="s">
        <v>149</v>
      </c>
      <c r="F692" t="s">
        <v>30</v>
      </c>
      <c r="G692">
        <v>2567</v>
      </c>
      <c r="H692" s="6">
        <v>1</v>
      </c>
      <c r="I692" s="10">
        <v>572.79</v>
      </c>
      <c r="J692" s="10">
        <v>762.61</v>
      </c>
      <c r="L692" s="3">
        <v>0</v>
      </c>
      <c r="M692" t="s">
        <v>39</v>
      </c>
      <c r="N692" s="10">
        <v>144.87</v>
      </c>
      <c r="O692" t="s">
        <v>32</v>
      </c>
      <c r="P692" s="5">
        <v>45989</v>
      </c>
      <c r="Q692" s="5">
        <v>45994</v>
      </c>
      <c r="R692" s="5">
        <v>45993</v>
      </c>
      <c r="S692" t="s">
        <v>33</v>
      </c>
      <c r="T692" s="6">
        <v>4</v>
      </c>
      <c r="U692" t="s">
        <v>112</v>
      </c>
      <c r="V692" s="10">
        <v>762.61</v>
      </c>
      <c r="W692" s="10">
        <v>572.79</v>
      </c>
      <c r="X692" s="10">
        <v>44.950000000000053</v>
      </c>
      <c r="Y692" s="11">
        <v>5.8942316518272829E-2</v>
      </c>
      <c r="Z692" s="6">
        <v>-1</v>
      </c>
      <c r="AA692" t="s">
        <v>35</v>
      </c>
    </row>
    <row r="693" spans="1:27" x14ac:dyDescent="0.25">
      <c r="A693" t="s">
        <v>834</v>
      </c>
      <c r="B693">
        <v>139</v>
      </c>
      <c r="C693" s="9">
        <v>45989.213449074072</v>
      </c>
      <c r="D693" t="s">
        <v>74</v>
      </c>
      <c r="E693" t="s">
        <v>75</v>
      </c>
      <c r="F693" t="s">
        <v>30</v>
      </c>
      <c r="G693">
        <v>2634</v>
      </c>
      <c r="H693" s="6">
        <v>1</v>
      </c>
      <c r="I693" s="10">
        <v>2316.11</v>
      </c>
      <c r="J693" s="10">
        <v>3592.29</v>
      </c>
      <c r="L693" s="3">
        <v>0</v>
      </c>
      <c r="M693" t="s">
        <v>31</v>
      </c>
      <c r="N693" s="10">
        <v>134.85</v>
      </c>
      <c r="O693" t="s">
        <v>62</v>
      </c>
      <c r="P693" s="5">
        <v>45991</v>
      </c>
      <c r="Q693" s="5">
        <v>45998</v>
      </c>
      <c r="R693" s="5">
        <v>45997</v>
      </c>
      <c r="S693" t="s">
        <v>33</v>
      </c>
      <c r="T693" s="6">
        <v>4</v>
      </c>
      <c r="U693" t="s">
        <v>211</v>
      </c>
      <c r="V693" s="10">
        <v>3592.29</v>
      </c>
      <c r="W693" s="10">
        <v>2316.11</v>
      </c>
      <c r="X693" s="10">
        <v>1141.33</v>
      </c>
      <c r="Y693" s="11">
        <v>0.31771655406439903</v>
      </c>
      <c r="Z693" s="6">
        <v>-1</v>
      </c>
      <c r="AA693" t="s">
        <v>35</v>
      </c>
    </row>
    <row r="694" spans="1:27" x14ac:dyDescent="0.25">
      <c r="A694" t="s">
        <v>835</v>
      </c>
      <c r="B694">
        <v>199</v>
      </c>
      <c r="C694" s="9">
        <v>45989.237557870372</v>
      </c>
      <c r="D694" t="s">
        <v>148</v>
      </c>
      <c r="E694" t="s">
        <v>149</v>
      </c>
      <c r="F694" t="s">
        <v>30</v>
      </c>
      <c r="G694">
        <v>3362</v>
      </c>
      <c r="H694" s="6">
        <v>2</v>
      </c>
      <c r="I694" s="10">
        <v>403.35</v>
      </c>
      <c r="J694" s="10">
        <v>603.41999999999996</v>
      </c>
      <c r="L694" s="3">
        <v>0</v>
      </c>
      <c r="M694" t="s">
        <v>76</v>
      </c>
      <c r="N694" s="10">
        <v>146.4</v>
      </c>
      <c r="O694" t="s">
        <v>47</v>
      </c>
      <c r="P694" s="5">
        <v>45991</v>
      </c>
      <c r="Q694" s="5">
        <v>45997</v>
      </c>
      <c r="R694" s="5">
        <v>45994</v>
      </c>
      <c r="S694" t="s">
        <v>33</v>
      </c>
      <c r="T694" s="6">
        <v>4</v>
      </c>
      <c r="U694" t="s">
        <v>79</v>
      </c>
      <c r="V694" s="10">
        <v>1206.8399999999999</v>
      </c>
      <c r="W694" s="10">
        <v>806.7</v>
      </c>
      <c r="X694" s="10">
        <v>253.7399999999999</v>
      </c>
      <c r="Y694" s="11">
        <v>0.21025156607338161</v>
      </c>
      <c r="Z694" s="6">
        <v>-3</v>
      </c>
      <c r="AA694" t="s">
        <v>35</v>
      </c>
    </row>
    <row r="695" spans="1:27" x14ac:dyDescent="0.25">
      <c r="A695" t="s">
        <v>836</v>
      </c>
      <c r="B695">
        <v>98</v>
      </c>
      <c r="C695" s="9">
        <v>45989.720706018517</v>
      </c>
      <c r="D695" t="s">
        <v>123</v>
      </c>
      <c r="E695" t="s">
        <v>124</v>
      </c>
      <c r="F695" t="s">
        <v>45</v>
      </c>
      <c r="G695">
        <v>0</v>
      </c>
      <c r="H695" s="6">
        <v>1</v>
      </c>
      <c r="I695" s="10">
        <v>250.23</v>
      </c>
      <c r="J695" s="10">
        <v>394.97</v>
      </c>
      <c r="L695" s="3">
        <v>0</v>
      </c>
      <c r="M695" t="s">
        <v>31</v>
      </c>
      <c r="N695" s="10">
        <v>15.21</v>
      </c>
      <c r="O695" t="s">
        <v>264</v>
      </c>
      <c r="P695" s="5">
        <v>45991</v>
      </c>
      <c r="Q695" s="5">
        <v>46001</v>
      </c>
      <c r="S695" t="s">
        <v>54</v>
      </c>
      <c r="T695" s="6">
        <v>2</v>
      </c>
      <c r="U695" t="s">
        <v>461</v>
      </c>
      <c r="V695" s="10">
        <v>394.97</v>
      </c>
      <c r="W695" s="10">
        <v>250.23</v>
      </c>
      <c r="X695" s="10">
        <v>129.53</v>
      </c>
      <c r="Y695" s="11">
        <v>0.32794895814872022</v>
      </c>
      <c r="Z695" s="6"/>
      <c r="AA695" t="s">
        <v>56</v>
      </c>
    </row>
    <row r="696" spans="1:27" x14ac:dyDescent="0.25">
      <c r="A696" t="s">
        <v>837</v>
      </c>
      <c r="B696">
        <v>80</v>
      </c>
      <c r="C696" s="9">
        <v>45990.669305555559</v>
      </c>
      <c r="D696" t="s">
        <v>37</v>
      </c>
      <c r="E696" t="s">
        <v>38</v>
      </c>
      <c r="F696" t="s">
        <v>30</v>
      </c>
      <c r="G696">
        <v>2585</v>
      </c>
      <c r="H696" s="6">
        <v>2</v>
      </c>
      <c r="I696" s="10">
        <v>890.35</v>
      </c>
      <c r="J696" s="10">
        <v>1120.44</v>
      </c>
      <c r="K696" t="s">
        <v>46</v>
      </c>
      <c r="L696" s="3">
        <v>0.1</v>
      </c>
      <c r="M696" t="s">
        <v>76</v>
      </c>
      <c r="N696" s="10">
        <v>146.83000000000001</v>
      </c>
      <c r="O696" t="s">
        <v>97</v>
      </c>
      <c r="P696" s="5">
        <v>45992</v>
      </c>
      <c r="Q696" s="5">
        <v>46001</v>
      </c>
      <c r="R696" s="5">
        <v>45997</v>
      </c>
      <c r="S696" t="s">
        <v>33</v>
      </c>
      <c r="T696" s="6">
        <v>5</v>
      </c>
      <c r="U696" t="s">
        <v>112</v>
      </c>
      <c r="V696" s="10">
        <v>2016.7919999999999</v>
      </c>
      <c r="W696" s="10">
        <v>1780.7</v>
      </c>
      <c r="X696" s="10">
        <v>89.262000000000086</v>
      </c>
      <c r="Y696" s="11">
        <v>4.4259398093606121E-2</v>
      </c>
      <c r="Z696" s="6">
        <v>-4</v>
      </c>
      <c r="AA696" t="s">
        <v>35</v>
      </c>
    </row>
    <row r="697" spans="1:27" x14ac:dyDescent="0.25">
      <c r="A697" t="s">
        <v>838</v>
      </c>
      <c r="B697">
        <v>31</v>
      </c>
      <c r="C697" s="9">
        <v>45990.819328703707</v>
      </c>
      <c r="D697" t="s">
        <v>148</v>
      </c>
      <c r="E697" t="s">
        <v>149</v>
      </c>
      <c r="F697" t="s">
        <v>30</v>
      </c>
      <c r="G697">
        <v>2670</v>
      </c>
      <c r="H697" s="6">
        <v>1</v>
      </c>
      <c r="I697" s="10">
        <v>510.9</v>
      </c>
      <c r="J697" s="10">
        <v>915.29</v>
      </c>
      <c r="K697" t="s">
        <v>46</v>
      </c>
      <c r="L697" s="3">
        <v>0.1</v>
      </c>
      <c r="M697" t="s">
        <v>61</v>
      </c>
      <c r="N697" s="10">
        <v>126.44</v>
      </c>
      <c r="O697" t="s">
        <v>40</v>
      </c>
      <c r="P697" s="5">
        <v>45992</v>
      </c>
      <c r="Q697" s="5">
        <v>45998</v>
      </c>
      <c r="R697" s="5">
        <v>45994</v>
      </c>
      <c r="S697" t="s">
        <v>33</v>
      </c>
      <c r="T697" s="6">
        <v>5</v>
      </c>
      <c r="U697" t="s">
        <v>211</v>
      </c>
      <c r="V697" s="10">
        <v>823.76099999999997</v>
      </c>
      <c r="W697" s="10">
        <v>510.9</v>
      </c>
      <c r="X697" s="10">
        <v>186.42099999999999</v>
      </c>
      <c r="Y697" s="11">
        <v>0.2263047170235056</v>
      </c>
      <c r="Z697" s="6">
        <v>-4</v>
      </c>
      <c r="AA697" t="s">
        <v>35</v>
      </c>
    </row>
    <row r="698" spans="1:27" x14ac:dyDescent="0.25">
      <c r="A698" t="s">
        <v>839</v>
      </c>
      <c r="B698">
        <v>68</v>
      </c>
      <c r="C698" s="9">
        <v>45991.273587962962</v>
      </c>
      <c r="D698" t="s">
        <v>95</v>
      </c>
      <c r="E698" t="s">
        <v>96</v>
      </c>
      <c r="F698" t="s">
        <v>52</v>
      </c>
      <c r="G698">
        <v>301</v>
      </c>
      <c r="H698" s="6">
        <v>1</v>
      </c>
      <c r="I698" s="10">
        <v>26.81</v>
      </c>
      <c r="J698" s="10">
        <v>33.19</v>
      </c>
      <c r="L698" s="3">
        <v>0</v>
      </c>
      <c r="M698" t="s">
        <v>61</v>
      </c>
      <c r="N698" s="10">
        <v>26.02</v>
      </c>
      <c r="O698" t="s">
        <v>101</v>
      </c>
      <c r="P698" s="5">
        <v>45993</v>
      </c>
      <c r="Q698" s="5">
        <v>46002</v>
      </c>
      <c r="R698" s="5">
        <v>46003</v>
      </c>
      <c r="S698" t="s">
        <v>33</v>
      </c>
      <c r="T698" s="6">
        <v>3</v>
      </c>
      <c r="U698" t="s">
        <v>405</v>
      </c>
      <c r="V698" s="10">
        <v>33.19</v>
      </c>
      <c r="W698" s="10">
        <v>26.81</v>
      </c>
      <c r="X698" s="10">
        <v>-19.64</v>
      </c>
      <c r="Y698" s="11">
        <v>-0.59174450135583012</v>
      </c>
      <c r="Z698" s="6">
        <v>1</v>
      </c>
      <c r="AA698" t="s">
        <v>103</v>
      </c>
    </row>
    <row r="699" spans="1:27" x14ac:dyDescent="0.25">
      <c r="A699" t="s">
        <v>840</v>
      </c>
      <c r="B699">
        <v>55</v>
      </c>
      <c r="C699" s="9">
        <v>45991.785752314812</v>
      </c>
      <c r="D699" t="s">
        <v>123</v>
      </c>
      <c r="E699" t="s">
        <v>124</v>
      </c>
      <c r="F699" t="s">
        <v>45</v>
      </c>
      <c r="G699">
        <v>0</v>
      </c>
      <c r="H699" s="6">
        <v>1</v>
      </c>
      <c r="I699" s="10">
        <v>88.5</v>
      </c>
      <c r="J699" s="10">
        <v>178.54</v>
      </c>
      <c r="L699" s="3">
        <v>0</v>
      </c>
      <c r="M699" t="s">
        <v>76</v>
      </c>
      <c r="N699" s="10">
        <v>26.02</v>
      </c>
      <c r="O699" t="s">
        <v>47</v>
      </c>
      <c r="P699" s="5">
        <v>45992</v>
      </c>
      <c r="Q699" s="5">
        <v>46001</v>
      </c>
      <c r="S699" t="s">
        <v>54</v>
      </c>
      <c r="T699" s="6">
        <v>3</v>
      </c>
      <c r="U699" t="s">
        <v>352</v>
      </c>
      <c r="V699" s="10">
        <v>178.54</v>
      </c>
      <c r="W699" s="10">
        <v>88.5</v>
      </c>
      <c r="X699" s="10">
        <v>64.02</v>
      </c>
      <c r="Y699" s="11">
        <v>0.35857510921922259</v>
      </c>
      <c r="Z699" s="6"/>
      <c r="AA699" t="s">
        <v>56</v>
      </c>
    </row>
    <row r="700" spans="1:27" x14ac:dyDescent="0.25">
      <c r="A700" t="s">
        <v>841</v>
      </c>
      <c r="B700">
        <v>176</v>
      </c>
      <c r="C700" s="9">
        <v>45991.802141203712</v>
      </c>
      <c r="D700" t="s">
        <v>37</v>
      </c>
      <c r="E700" t="s">
        <v>38</v>
      </c>
      <c r="F700" t="s">
        <v>30</v>
      </c>
      <c r="G700">
        <v>2703</v>
      </c>
      <c r="H700" s="6">
        <v>3</v>
      </c>
      <c r="I700" s="10">
        <v>825.54</v>
      </c>
      <c r="J700" s="10">
        <v>1408.93</v>
      </c>
      <c r="K700" t="s">
        <v>60</v>
      </c>
      <c r="L700" s="3">
        <v>0.2</v>
      </c>
      <c r="M700" t="s">
        <v>61</v>
      </c>
      <c r="N700" s="10">
        <v>137.71</v>
      </c>
      <c r="O700" t="s">
        <v>97</v>
      </c>
      <c r="P700" s="5">
        <v>45992</v>
      </c>
      <c r="Q700" s="5">
        <v>46000</v>
      </c>
      <c r="S700" t="s">
        <v>161</v>
      </c>
      <c r="T700" s="6">
        <v>1</v>
      </c>
      <c r="U700" t="s">
        <v>185</v>
      </c>
      <c r="V700" s="10">
        <v>3381.4319999999998</v>
      </c>
      <c r="W700" s="10">
        <v>2476.62</v>
      </c>
      <c r="X700" s="10">
        <v>767.10200000000032</v>
      </c>
      <c r="Y700" s="11">
        <v>0.2268571421811825</v>
      </c>
      <c r="Z700" s="6"/>
      <c r="AA700" t="s">
        <v>56</v>
      </c>
    </row>
    <row r="701" spans="1:27" x14ac:dyDescent="0.25">
      <c r="A701" t="s">
        <v>842</v>
      </c>
      <c r="B701">
        <v>130</v>
      </c>
      <c r="C701" s="9">
        <v>45991.941921296297</v>
      </c>
      <c r="D701" t="s">
        <v>155</v>
      </c>
      <c r="E701" t="s">
        <v>156</v>
      </c>
      <c r="F701" t="s">
        <v>30</v>
      </c>
      <c r="G701">
        <v>3947</v>
      </c>
      <c r="H701" s="6">
        <v>1</v>
      </c>
      <c r="I701" s="10">
        <v>756.67</v>
      </c>
      <c r="J701" s="10">
        <v>1875.62</v>
      </c>
      <c r="L701" s="3">
        <v>0</v>
      </c>
      <c r="M701" t="s">
        <v>76</v>
      </c>
      <c r="N701" s="10">
        <v>99.86</v>
      </c>
      <c r="O701" t="s">
        <v>99</v>
      </c>
      <c r="P701" s="5">
        <v>45992</v>
      </c>
      <c r="Q701" s="5">
        <v>46000</v>
      </c>
      <c r="R701" s="5">
        <v>45998</v>
      </c>
      <c r="S701" t="s">
        <v>33</v>
      </c>
      <c r="T701" s="6">
        <v>5</v>
      </c>
      <c r="U701" t="s">
        <v>112</v>
      </c>
      <c r="V701" s="10">
        <v>1875.62</v>
      </c>
      <c r="W701" s="10">
        <v>756.67</v>
      </c>
      <c r="X701" s="10">
        <v>1019.09</v>
      </c>
      <c r="Y701" s="11">
        <v>0.54333500389204625</v>
      </c>
      <c r="Z701" s="6">
        <v>-2</v>
      </c>
      <c r="AA701" t="s">
        <v>35</v>
      </c>
    </row>
    <row r="702" spans="1:27" x14ac:dyDescent="0.25">
      <c r="A702" t="s">
        <v>843</v>
      </c>
      <c r="B702">
        <v>67</v>
      </c>
      <c r="C702" s="9">
        <v>45992.029004629629</v>
      </c>
      <c r="D702" t="s">
        <v>28</v>
      </c>
      <c r="E702" t="s">
        <v>29</v>
      </c>
      <c r="F702" t="s">
        <v>30</v>
      </c>
      <c r="G702">
        <v>2616</v>
      </c>
      <c r="H702" s="6">
        <v>1</v>
      </c>
      <c r="I702" s="10">
        <v>1756.48</v>
      </c>
      <c r="J702" s="10">
        <v>2316.87</v>
      </c>
      <c r="L702" s="3">
        <v>0</v>
      </c>
      <c r="M702" t="s">
        <v>76</v>
      </c>
      <c r="N702" s="10">
        <v>105.04</v>
      </c>
      <c r="O702" t="s">
        <v>126</v>
      </c>
      <c r="P702" s="5">
        <v>45993</v>
      </c>
      <c r="Q702" s="5">
        <v>46003</v>
      </c>
      <c r="R702" s="5">
        <v>45995</v>
      </c>
      <c r="S702" t="s">
        <v>33</v>
      </c>
      <c r="T702" s="6">
        <v>4</v>
      </c>
      <c r="U702" t="s">
        <v>48</v>
      </c>
      <c r="V702" s="10">
        <v>2316.87</v>
      </c>
      <c r="W702" s="10">
        <v>1756.48</v>
      </c>
      <c r="X702" s="10">
        <v>455.34999999999991</v>
      </c>
      <c r="Y702" s="11">
        <v>0.19653670685019009</v>
      </c>
      <c r="Z702" s="6">
        <v>-8</v>
      </c>
      <c r="AA702" t="s">
        <v>35</v>
      </c>
    </row>
    <row r="703" spans="1:27" x14ac:dyDescent="0.25">
      <c r="A703" t="s">
        <v>844</v>
      </c>
      <c r="B703">
        <v>116</v>
      </c>
      <c r="C703" s="9">
        <v>45992.233749999999</v>
      </c>
      <c r="D703" t="s">
        <v>81</v>
      </c>
      <c r="E703" t="s">
        <v>82</v>
      </c>
      <c r="F703" t="s">
        <v>45</v>
      </c>
      <c r="G703">
        <v>0</v>
      </c>
      <c r="H703" s="6">
        <v>3</v>
      </c>
      <c r="I703" s="10">
        <v>53.57</v>
      </c>
      <c r="J703" s="10">
        <v>230.86</v>
      </c>
      <c r="K703" t="s">
        <v>46</v>
      </c>
      <c r="L703" s="3">
        <v>0.1</v>
      </c>
      <c r="M703" t="s">
        <v>76</v>
      </c>
      <c r="N703" s="10">
        <v>23.95</v>
      </c>
      <c r="O703" t="s">
        <v>264</v>
      </c>
      <c r="P703" s="5">
        <v>45993</v>
      </c>
      <c r="Q703" s="5">
        <v>46002</v>
      </c>
      <c r="S703" t="s">
        <v>54</v>
      </c>
      <c r="T703" s="6">
        <v>3</v>
      </c>
      <c r="U703" t="s">
        <v>230</v>
      </c>
      <c r="V703" s="10">
        <v>623.322</v>
      </c>
      <c r="W703" s="10">
        <v>160.71</v>
      </c>
      <c r="X703" s="10">
        <v>438.66199999999998</v>
      </c>
      <c r="Y703" s="11">
        <v>0.70374862430653817</v>
      </c>
      <c r="Z703" s="6"/>
      <c r="AA703" t="s">
        <v>56</v>
      </c>
    </row>
    <row r="704" spans="1:27" x14ac:dyDescent="0.25">
      <c r="A704" t="s">
        <v>845</v>
      </c>
      <c r="B704">
        <v>116</v>
      </c>
      <c r="C704" s="9">
        <v>45992.774212962962</v>
      </c>
      <c r="D704" t="s">
        <v>198</v>
      </c>
      <c r="E704" t="s">
        <v>199</v>
      </c>
      <c r="F704" t="s">
        <v>116</v>
      </c>
      <c r="G704">
        <v>0</v>
      </c>
      <c r="H704" s="6">
        <v>2</v>
      </c>
      <c r="I704" s="10">
        <v>456</v>
      </c>
      <c r="J704" s="10">
        <v>592.04</v>
      </c>
      <c r="K704" t="s">
        <v>60</v>
      </c>
      <c r="L704" s="3">
        <v>0.2</v>
      </c>
      <c r="M704" t="s">
        <v>39</v>
      </c>
      <c r="N704" s="10">
        <v>24.21</v>
      </c>
      <c r="O704" t="s">
        <v>157</v>
      </c>
      <c r="P704" s="5">
        <v>45994</v>
      </c>
      <c r="Q704" s="5">
        <v>45999</v>
      </c>
      <c r="R704" s="5">
        <v>45996</v>
      </c>
      <c r="S704" t="s">
        <v>33</v>
      </c>
      <c r="T704" s="6">
        <v>5</v>
      </c>
      <c r="U704" t="s">
        <v>127</v>
      </c>
      <c r="V704" s="10">
        <v>947.26400000000001</v>
      </c>
      <c r="W704" s="10">
        <v>912</v>
      </c>
      <c r="X704" s="10">
        <v>11.054000000000009</v>
      </c>
      <c r="Y704" s="11">
        <v>1.1669397338017711E-2</v>
      </c>
      <c r="Z704" s="6">
        <v>-3</v>
      </c>
      <c r="AA704" t="s">
        <v>35</v>
      </c>
    </row>
    <row r="705" spans="1:27" x14ac:dyDescent="0.25">
      <c r="A705" t="s">
        <v>846</v>
      </c>
      <c r="B705">
        <v>10</v>
      </c>
      <c r="C705" s="9">
        <v>45993.363912037043</v>
      </c>
      <c r="D705" t="s">
        <v>89</v>
      </c>
      <c r="E705" t="s">
        <v>90</v>
      </c>
      <c r="F705" t="s">
        <v>52</v>
      </c>
      <c r="G705">
        <v>323</v>
      </c>
      <c r="H705" s="6">
        <v>2</v>
      </c>
      <c r="I705" s="10">
        <v>93.74</v>
      </c>
      <c r="J705" s="10">
        <v>160.47999999999999</v>
      </c>
      <c r="K705" t="s">
        <v>60</v>
      </c>
      <c r="L705" s="3">
        <v>0.2</v>
      </c>
      <c r="M705" t="s">
        <v>61</v>
      </c>
      <c r="N705" s="10">
        <v>29.71</v>
      </c>
      <c r="O705" t="s">
        <v>40</v>
      </c>
      <c r="P705" s="5">
        <v>45994</v>
      </c>
      <c r="Q705" s="5">
        <v>45999</v>
      </c>
      <c r="R705" s="5">
        <v>45998</v>
      </c>
      <c r="S705" t="s">
        <v>33</v>
      </c>
      <c r="T705" s="6">
        <v>4</v>
      </c>
      <c r="U705" t="s">
        <v>127</v>
      </c>
      <c r="V705" s="10">
        <v>256.76799999999997</v>
      </c>
      <c r="W705" s="10">
        <v>187.48</v>
      </c>
      <c r="X705" s="10">
        <v>39.577999999999982</v>
      </c>
      <c r="Y705" s="11">
        <v>0.1541391450648055</v>
      </c>
      <c r="Z705" s="6">
        <v>-1</v>
      </c>
      <c r="AA705" t="s">
        <v>35</v>
      </c>
    </row>
    <row r="706" spans="1:27" x14ac:dyDescent="0.25">
      <c r="A706" t="s">
        <v>847</v>
      </c>
      <c r="B706">
        <v>6</v>
      </c>
      <c r="C706" s="9">
        <v>45993.720636574071</v>
      </c>
      <c r="D706" t="s">
        <v>110</v>
      </c>
      <c r="E706" t="s">
        <v>111</v>
      </c>
      <c r="F706" t="s">
        <v>30</v>
      </c>
      <c r="G706">
        <v>2162</v>
      </c>
      <c r="H706" s="6">
        <v>3</v>
      </c>
      <c r="I706" s="10">
        <v>1486.06</v>
      </c>
      <c r="J706" s="10">
        <v>2184.65</v>
      </c>
      <c r="L706" s="3">
        <v>0</v>
      </c>
      <c r="M706" t="s">
        <v>31</v>
      </c>
      <c r="N706" s="10">
        <v>112.79</v>
      </c>
      <c r="O706" t="s">
        <v>97</v>
      </c>
      <c r="P706" s="5">
        <v>45994</v>
      </c>
      <c r="Q706" s="5">
        <v>45999</v>
      </c>
      <c r="R706" s="5">
        <v>45999</v>
      </c>
      <c r="S706" t="s">
        <v>33</v>
      </c>
      <c r="T706" s="6">
        <v>4</v>
      </c>
      <c r="U706" t="s">
        <v>79</v>
      </c>
      <c r="V706" s="10">
        <v>6553.9500000000007</v>
      </c>
      <c r="W706" s="10">
        <v>4458.18</v>
      </c>
      <c r="X706" s="10">
        <v>1982.98</v>
      </c>
      <c r="Y706" s="11">
        <v>0.30256257676668269</v>
      </c>
      <c r="Z706" s="6">
        <v>0</v>
      </c>
      <c r="AA706" t="s">
        <v>35</v>
      </c>
    </row>
    <row r="707" spans="1:27" x14ac:dyDescent="0.25">
      <c r="A707" t="s">
        <v>848</v>
      </c>
      <c r="B707">
        <v>17</v>
      </c>
      <c r="C707" s="9">
        <v>45993.764062499999</v>
      </c>
      <c r="D707" t="s">
        <v>74</v>
      </c>
      <c r="E707" t="s">
        <v>75</v>
      </c>
      <c r="F707" t="s">
        <v>30</v>
      </c>
      <c r="G707">
        <v>2243</v>
      </c>
      <c r="H707" s="6">
        <v>1</v>
      </c>
      <c r="I707" s="10">
        <v>2095.29</v>
      </c>
      <c r="J707" s="10">
        <v>3402.33</v>
      </c>
      <c r="L707" s="3">
        <v>0</v>
      </c>
      <c r="M707" t="s">
        <v>31</v>
      </c>
      <c r="N707" s="10">
        <v>91.68</v>
      </c>
      <c r="O707" t="s">
        <v>62</v>
      </c>
      <c r="P707" s="5">
        <v>45994</v>
      </c>
      <c r="Q707" s="5">
        <v>46004</v>
      </c>
      <c r="S707" t="s">
        <v>54</v>
      </c>
      <c r="T707" s="6">
        <v>2</v>
      </c>
      <c r="U707" t="s">
        <v>180</v>
      </c>
      <c r="V707" s="10">
        <v>3402.33</v>
      </c>
      <c r="W707" s="10">
        <v>2095.29</v>
      </c>
      <c r="X707" s="10">
        <v>1215.3599999999999</v>
      </c>
      <c r="Y707" s="11">
        <v>0.35721402685806491</v>
      </c>
      <c r="Z707" s="6"/>
      <c r="AA707" t="s">
        <v>56</v>
      </c>
    </row>
    <row r="708" spans="1:27" x14ac:dyDescent="0.25">
      <c r="A708" t="s">
        <v>849</v>
      </c>
      <c r="B708">
        <v>23</v>
      </c>
      <c r="C708" s="9">
        <v>45993.869884259257</v>
      </c>
      <c r="D708" t="s">
        <v>81</v>
      </c>
      <c r="E708" t="s">
        <v>82</v>
      </c>
      <c r="F708" t="s">
        <v>45</v>
      </c>
      <c r="G708">
        <v>0</v>
      </c>
      <c r="H708" s="6">
        <v>3</v>
      </c>
      <c r="I708" s="10">
        <v>50.33</v>
      </c>
      <c r="J708" s="10">
        <v>66.540000000000006</v>
      </c>
      <c r="L708" s="3">
        <v>0</v>
      </c>
      <c r="M708" t="s">
        <v>61</v>
      </c>
      <c r="N708" s="10">
        <v>18.54</v>
      </c>
      <c r="O708" t="s">
        <v>101</v>
      </c>
      <c r="P708" s="5">
        <v>45994</v>
      </c>
      <c r="Q708" s="5">
        <v>46003</v>
      </c>
      <c r="R708" s="5">
        <v>45996</v>
      </c>
      <c r="S708" t="s">
        <v>33</v>
      </c>
      <c r="T708" s="6">
        <v>5</v>
      </c>
      <c r="U708" t="s">
        <v>41</v>
      </c>
      <c r="V708" s="10">
        <v>199.62</v>
      </c>
      <c r="W708" s="10">
        <v>150.99</v>
      </c>
      <c r="X708" s="10">
        <v>30.09</v>
      </c>
      <c r="Y708" s="11">
        <v>0.15073639915840101</v>
      </c>
      <c r="Z708" s="6">
        <v>-7</v>
      </c>
      <c r="AA708" t="s">
        <v>35</v>
      </c>
    </row>
    <row r="709" spans="1:27" x14ac:dyDescent="0.25">
      <c r="A709" t="s">
        <v>850</v>
      </c>
      <c r="B709">
        <v>137</v>
      </c>
      <c r="C709" s="9">
        <v>45994.143125000002</v>
      </c>
      <c r="D709" t="s">
        <v>37</v>
      </c>
      <c r="E709" t="s">
        <v>38</v>
      </c>
      <c r="F709" t="s">
        <v>30</v>
      </c>
      <c r="G709">
        <v>2339</v>
      </c>
      <c r="H709" s="6">
        <v>1</v>
      </c>
      <c r="I709" s="10">
        <v>829.19</v>
      </c>
      <c r="J709" s="10">
        <v>1232.8</v>
      </c>
      <c r="L709" s="3">
        <v>0</v>
      </c>
      <c r="M709" t="s">
        <v>61</v>
      </c>
      <c r="N709" s="10">
        <v>62.14</v>
      </c>
      <c r="O709" t="s">
        <v>150</v>
      </c>
      <c r="P709" s="5">
        <v>45995</v>
      </c>
      <c r="Q709" s="5">
        <v>46005</v>
      </c>
      <c r="R709" s="5">
        <v>46003</v>
      </c>
      <c r="S709" t="s">
        <v>33</v>
      </c>
      <c r="T709" s="6">
        <v>4</v>
      </c>
      <c r="U709" t="s">
        <v>84</v>
      </c>
      <c r="V709" s="10">
        <v>1232.8</v>
      </c>
      <c r="W709" s="10">
        <v>829.19</v>
      </c>
      <c r="X709" s="10">
        <v>341.46999999999991</v>
      </c>
      <c r="Y709" s="11">
        <v>0.27698734587929907</v>
      </c>
      <c r="Z709" s="6">
        <v>-2</v>
      </c>
      <c r="AA709" t="s">
        <v>35</v>
      </c>
    </row>
    <row r="710" spans="1:27" x14ac:dyDescent="0.25">
      <c r="A710" t="s">
        <v>851</v>
      </c>
      <c r="B710">
        <v>81</v>
      </c>
      <c r="C710" s="9">
        <v>45994.201620370368</v>
      </c>
      <c r="D710" t="s">
        <v>37</v>
      </c>
      <c r="E710" t="s">
        <v>38</v>
      </c>
      <c r="F710" t="s">
        <v>30</v>
      </c>
      <c r="G710">
        <v>2529</v>
      </c>
      <c r="H710" s="6">
        <v>1</v>
      </c>
      <c r="I710" s="10">
        <v>878.91</v>
      </c>
      <c r="J710" s="10">
        <v>1472.79</v>
      </c>
      <c r="L710" s="3">
        <v>0</v>
      </c>
      <c r="M710" t="s">
        <v>61</v>
      </c>
      <c r="N710" s="10">
        <v>95.75</v>
      </c>
      <c r="O710" t="s">
        <v>83</v>
      </c>
      <c r="P710" s="5">
        <v>45996</v>
      </c>
      <c r="Q710" s="5">
        <v>46003</v>
      </c>
      <c r="R710" s="5">
        <v>46003</v>
      </c>
      <c r="S710" t="s">
        <v>33</v>
      </c>
      <c r="T710" s="6">
        <v>4</v>
      </c>
      <c r="U710" t="s">
        <v>48</v>
      </c>
      <c r="V710" s="10">
        <v>1472.79</v>
      </c>
      <c r="W710" s="10">
        <v>878.91</v>
      </c>
      <c r="X710" s="10">
        <v>498.13</v>
      </c>
      <c r="Y710" s="11">
        <v>0.33822201400063823</v>
      </c>
      <c r="Z710" s="6">
        <v>0</v>
      </c>
      <c r="AA710" t="s">
        <v>35</v>
      </c>
    </row>
    <row r="711" spans="1:27" x14ac:dyDescent="0.25">
      <c r="A711" t="s">
        <v>852</v>
      </c>
      <c r="B711">
        <v>109</v>
      </c>
      <c r="C711" s="9">
        <v>45994.901354166657</v>
      </c>
      <c r="D711" t="s">
        <v>92</v>
      </c>
      <c r="E711" t="s">
        <v>93</v>
      </c>
      <c r="F711" t="s">
        <v>52</v>
      </c>
      <c r="G711">
        <v>245</v>
      </c>
      <c r="H711" s="6">
        <v>2</v>
      </c>
      <c r="I711" s="10">
        <v>57.02</v>
      </c>
      <c r="J711" s="10">
        <v>84.02</v>
      </c>
      <c r="L711" s="3">
        <v>0</v>
      </c>
      <c r="M711" t="s">
        <v>76</v>
      </c>
      <c r="N711" s="10">
        <v>33.18</v>
      </c>
      <c r="O711" t="s">
        <v>97</v>
      </c>
      <c r="P711" s="5">
        <v>45996</v>
      </c>
      <c r="Q711" s="5">
        <v>46005</v>
      </c>
      <c r="R711" s="5">
        <v>45998</v>
      </c>
      <c r="S711" t="s">
        <v>33</v>
      </c>
      <c r="T711" s="6">
        <v>4</v>
      </c>
      <c r="U711" t="s">
        <v>41</v>
      </c>
      <c r="V711" s="10">
        <v>168.04</v>
      </c>
      <c r="W711" s="10">
        <v>114.04</v>
      </c>
      <c r="X711" s="10">
        <v>20.81999999999999</v>
      </c>
      <c r="Y711" s="11">
        <v>0.1238990716496072</v>
      </c>
      <c r="Z711" s="6">
        <v>-7</v>
      </c>
      <c r="AA711" t="s">
        <v>35</v>
      </c>
    </row>
    <row r="712" spans="1:27" x14ac:dyDescent="0.25">
      <c r="A712" t="s">
        <v>853</v>
      </c>
      <c r="B712">
        <v>65</v>
      </c>
      <c r="C712" s="9">
        <v>45995.802060185182</v>
      </c>
      <c r="D712" t="s">
        <v>50</v>
      </c>
      <c r="E712" t="s">
        <v>51</v>
      </c>
      <c r="F712" t="s">
        <v>52</v>
      </c>
      <c r="G712">
        <v>703</v>
      </c>
      <c r="H712" s="6">
        <v>3</v>
      </c>
      <c r="I712" s="10">
        <v>186.98</v>
      </c>
      <c r="J712" s="10">
        <v>225.97</v>
      </c>
      <c r="L712" s="3">
        <v>0</v>
      </c>
      <c r="M712" t="s">
        <v>31</v>
      </c>
      <c r="N712" s="10">
        <v>38.119999999999997</v>
      </c>
      <c r="O712" t="s">
        <v>62</v>
      </c>
      <c r="P712" s="5">
        <v>45996</v>
      </c>
      <c r="Q712" s="5">
        <v>46001</v>
      </c>
      <c r="R712" s="5">
        <v>45998</v>
      </c>
      <c r="S712" t="s">
        <v>33</v>
      </c>
      <c r="T712" s="6">
        <v>5</v>
      </c>
      <c r="U712" t="s">
        <v>172</v>
      </c>
      <c r="V712" s="10">
        <v>677.91</v>
      </c>
      <c r="W712" s="10">
        <v>560.93999999999994</v>
      </c>
      <c r="X712" s="10">
        <v>78.850000000000023</v>
      </c>
      <c r="Y712" s="11">
        <v>0.1163133749317756</v>
      </c>
      <c r="Z712" s="6">
        <v>-3</v>
      </c>
      <c r="AA712" t="s">
        <v>35</v>
      </c>
    </row>
    <row r="713" spans="1:27" x14ac:dyDescent="0.25">
      <c r="A713" t="s">
        <v>854</v>
      </c>
      <c r="B713">
        <v>26</v>
      </c>
      <c r="C713" s="9">
        <v>45996.243935185194</v>
      </c>
      <c r="D713" t="s">
        <v>114</v>
      </c>
      <c r="E713" t="s">
        <v>115</v>
      </c>
      <c r="F713" t="s">
        <v>116</v>
      </c>
      <c r="G713">
        <v>0</v>
      </c>
      <c r="H713" s="6">
        <v>2</v>
      </c>
      <c r="I713" s="10">
        <v>391.62</v>
      </c>
      <c r="J713" s="10">
        <v>732.05</v>
      </c>
      <c r="L713" s="3">
        <v>0</v>
      </c>
      <c r="M713" t="s">
        <v>76</v>
      </c>
      <c r="N713" s="10">
        <v>20.260000000000002</v>
      </c>
      <c r="O713" t="s">
        <v>99</v>
      </c>
      <c r="P713" s="5">
        <v>45998</v>
      </c>
      <c r="Q713" s="5">
        <v>46006</v>
      </c>
      <c r="R713" s="5">
        <v>46005</v>
      </c>
      <c r="S713" t="s">
        <v>33</v>
      </c>
      <c r="T713" s="6">
        <v>4</v>
      </c>
      <c r="U713" t="s">
        <v>34</v>
      </c>
      <c r="V713" s="10">
        <v>1464.1</v>
      </c>
      <c r="W713" s="10">
        <v>783.24</v>
      </c>
      <c r="X713" s="10">
        <v>660.59999999999991</v>
      </c>
      <c r="Y713" s="11">
        <v>0.45119868861416568</v>
      </c>
      <c r="Z713" s="6">
        <v>-1</v>
      </c>
      <c r="AA713" t="s">
        <v>35</v>
      </c>
    </row>
    <row r="714" spans="1:27" x14ac:dyDescent="0.25">
      <c r="A714" t="s">
        <v>855</v>
      </c>
      <c r="B714">
        <v>10</v>
      </c>
      <c r="C714" s="9">
        <v>45996.291134259263</v>
      </c>
      <c r="D714" t="s">
        <v>114</v>
      </c>
      <c r="E714" t="s">
        <v>115</v>
      </c>
      <c r="F714" t="s">
        <v>116</v>
      </c>
      <c r="G714">
        <v>0</v>
      </c>
      <c r="H714" s="6">
        <v>3</v>
      </c>
      <c r="I714" s="10">
        <v>346.4</v>
      </c>
      <c r="J714" s="10">
        <v>675.15</v>
      </c>
      <c r="K714" t="s">
        <v>46</v>
      </c>
      <c r="L714" s="3">
        <v>0.1</v>
      </c>
      <c r="M714" t="s">
        <v>31</v>
      </c>
      <c r="N714" s="10">
        <v>28.24</v>
      </c>
      <c r="O714" t="s">
        <v>157</v>
      </c>
      <c r="P714" s="5">
        <v>45998</v>
      </c>
      <c r="Q714" s="5">
        <v>46003</v>
      </c>
      <c r="R714" s="5">
        <v>46000</v>
      </c>
      <c r="S714" t="s">
        <v>33</v>
      </c>
      <c r="T714" s="6">
        <v>5</v>
      </c>
      <c r="U714" t="s">
        <v>119</v>
      </c>
      <c r="V714" s="10">
        <v>1822.905</v>
      </c>
      <c r="W714" s="10">
        <v>1039.2</v>
      </c>
      <c r="X714" s="10">
        <v>755.46500000000015</v>
      </c>
      <c r="Y714" s="11">
        <v>0.41442916663238077</v>
      </c>
      <c r="Z714" s="6">
        <v>-3</v>
      </c>
      <c r="AA714" t="s">
        <v>35</v>
      </c>
    </row>
    <row r="715" spans="1:27" x14ac:dyDescent="0.25">
      <c r="A715" t="s">
        <v>856</v>
      </c>
      <c r="B715">
        <v>162</v>
      </c>
      <c r="C715" s="9">
        <v>45998.080428240741</v>
      </c>
      <c r="D715" t="s">
        <v>105</v>
      </c>
      <c r="E715" t="s">
        <v>106</v>
      </c>
      <c r="F715" t="s">
        <v>30</v>
      </c>
      <c r="G715">
        <v>2061</v>
      </c>
      <c r="H715" s="6">
        <v>1</v>
      </c>
      <c r="I715" s="10">
        <v>358.04</v>
      </c>
      <c r="J715" s="10">
        <v>637.87</v>
      </c>
      <c r="L715" s="3">
        <v>0</v>
      </c>
      <c r="M715" t="s">
        <v>61</v>
      </c>
      <c r="N715" s="10">
        <v>66.349999999999994</v>
      </c>
      <c r="O715" t="s">
        <v>40</v>
      </c>
      <c r="P715" s="5">
        <v>46000</v>
      </c>
      <c r="Q715" s="5">
        <v>46009</v>
      </c>
      <c r="R715" s="5">
        <v>46006</v>
      </c>
      <c r="S715" t="s">
        <v>33</v>
      </c>
      <c r="T715" s="6">
        <v>5</v>
      </c>
      <c r="U715" t="s">
        <v>117</v>
      </c>
      <c r="V715" s="10">
        <v>637.87</v>
      </c>
      <c r="W715" s="10">
        <v>358.04</v>
      </c>
      <c r="X715" s="10">
        <v>213.48</v>
      </c>
      <c r="Y715" s="11">
        <v>0.33467634470973712</v>
      </c>
      <c r="Z715" s="6">
        <v>-3</v>
      </c>
      <c r="AA715" t="s">
        <v>35</v>
      </c>
    </row>
    <row r="716" spans="1:27" x14ac:dyDescent="0.25">
      <c r="A716" t="s">
        <v>857</v>
      </c>
      <c r="B716">
        <v>94</v>
      </c>
      <c r="C716" s="9">
        <v>45998.558599537027</v>
      </c>
      <c r="D716" t="s">
        <v>164</v>
      </c>
      <c r="E716" t="s">
        <v>165</v>
      </c>
      <c r="F716" t="s">
        <v>116</v>
      </c>
      <c r="G716">
        <v>0</v>
      </c>
      <c r="H716" s="6">
        <v>3</v>
      </c>
      <c r="I716" s="10">
        <v>354.35</v>
      </c>
      <c r="J716" s="10">
        <v>586.91</v>
      </c>
      <c r="K716" t="s">
        <v>46</v>
      </c>
      <c r="L716" s="3">
        <v>0.1</v>
      </c>
      <c r="M716" t="s">
        <v>76</v>
      </c>
      <c r="N716" s="10">
        <v>17.73</v>
      </c>
      <c r="O716" t="s">
        <v>97</v>
      </c>
      <c r="P716" s="5">
        <v>46000</v>
      </c>
      <c r="Q716" s="5">
        <v>46006</v>
      </c>
      <c r="R716" s="5">
        <v>46003</v>
      </c>
      <c r="S716" t="s">
        <v>33</v>
      </c>
      <c r="T716" s="6">
        <v>5</v>
      </c>
      <c r="U716" t="s">
        <v>172</v>
      </c>
      <c r="V716" s="10">
        <v>1584.6569999999999</v>
      </c>
      <c r="W716" s="10">
        <v>1063.05</v>
      </c>
      <c r="X716" s="10">
        <v>503.87700000000001</v>
      </c>
      <c r="Y716" s="11">
        <v>0.31797228043671272</v>
      </c>
      <c r="Z716" s="6">
        <v>-3</v>
      </c>
      <c r="AA716" t="s">
        <v>35</v>
      </c>
    </row>
    <row r="717" spans="1:27" x14ac:dyDescent="0.25">
      <c r="A717" t="s">
        <v>858</v>
      </c>
      <c r="B717">
        <v>90</v>
      </c>
      <c r="C717" s="9">
        <v>45998.585243055553</v>
      </c>
      <c r="D717" t="s">
        <v>74</v>
      </c>
      <c r="E717" t="s">
        <v>75</v>
      </c>
      <c r="F717" t="s">
        <v>30</v>
      </c>
      <c r="G717">
        <v>2988</v>
      </c>
      <c r="H717" s="6">
        <v>2</v>
      </c>
      <c r="I717" s="10">
        <v>2669.18</v>
      </c>
      <c r="J717" s="10">
        <v>3530.79</v>
      </c>
      <c r="K717" t="s">
        <v>60</v>
      </c>
      <c r="L717" s="3">
        <v>0.2</v>
      </c>
      <c r="M717" t="s">
        <v>39</v>
      </c>
      <c r="N717" s="10">
        <v>113.72</v>
      </c>
      <c r="O717" t="s">
        <v>62</v>
      </c>
      <c r="P717" s="5">
        <v>45999</v>
      </c>
      <c r="Q717" s="5">
        <v>46005</v>
      </c>
      <c r="R717" s="5">
        <v>46002</v>
      </c>
      <c r="S717" t="s">
        <v>33</v>
      </c>
      <c r="T717" s="6">
        <v>5</v>
      </c>
      <c r="U717" t="s">
        <v>127</v>
      </c>
      <c r="V717" s="10">
        <v>5649.2640000000001</v>
      </c>
      <c r="W717" s="10">
        <v>5338.36</v>
      </c>
      <c r="X717" s="10">
        <v>197.18400000000051</v>
      </c>
      <c r="Y717" s="11">
        <v>3.4904369843576158E-2</v>
      </c>
      <c r="Z717" s="6">
        <v>-3</v>
      </c>
      <c r="AA717" t="s">
        <v>35</v>
      </c>
    </row>
    <row r="718" spans="1:27" x14ac:dyDescent="0.25">
      <c r="A718" t="s">
        <v>859</v>
      </c>
      <c r="B718">
        <v>78</v>
      </c>
      <c r="C718" s="9">
        <v>45999.602013888893</v>
      </c>
      <c r="D718" t="s">
        <v>92</v>
      </c>
      <c r="E718" t="s">
        <v>93</v>
      </c>
      <c r="F718" t="s">
        <v>52</v>
      </c>
      <c r="G718">
        <v>217</v>
      </c>
      <c r="H718" s="6">
        <v>2</v>
      </c>
      <c r="I718" s="10">
        <v>20.18</v>
      </c>
      <c r="J718" s="10">
        <v>82.89</v>
      </c>
      <c r="K718" t="s">
        <v>46</v>
      </c>
      <c r="L718" s="3">
        <v>0.1</v>
      </c>
      <c r="M718" t="s">
        <v>31</v>
      </c>
      <c r="N718" s="10">
        <v>27.92</v>
      </c>
      <c r="O718" t="s">
        <v>99</v>
      </c>
      <c r="P718" s="5">
        <v>46000</v>
      </c>
      <c r="Q718" s="5">
        <v>46008</v>
      </c>
      <c r="R718" s="5">
        <v>46002</v>
      </c>
      <c r="S718" t="s">
        <v>33</v>
      </c>
      <c r="T718" s="6">
        <v>4</v>
      </c>
      <c r="U718" t="s">
        <v>79</v>
      </c>
      <c r="V718" s="10">
        <v>149.202</v>
      </c>
      <c r="W718" s="10">
        <v>40.36</v>
      </c>
      <c r="X718" s="10">
        <v>80.921999999999997</v>
      </c>
      <c r="Y718" s="11">
        <v>0.54236538384203958</v>
      </c>
      <c r="Z718" s="6">
        <v>-6</v>
      </c>
      <c r="AA718" t="s">
        <v>35</v>
      </c>
    </row>
    <row r="719" spans="1:27" x14ac:dyDescent="0.25">
      <c r="A719" t="s">
        <v>860</v>
      </c>
      <c r="B719">
        <v>62</v>
      </c>
      <c r="C719" s="9">
        <v>45999.933437500003</v>
      </c>
      <c r="D719" t="s">
        <v>123</v>
      </c>
      <c r="E719" t="s">
        <v>124</v>
      </c>
      <c r="F719" t="s">
        <v>45</v>
      </c>
      <c r="G719">
        <v>0</v>
      </c>
      <c r="H719" s="6">
        <v>3</v>
      </c>
      <c r="I719" s="10">
        <v>74.5</v>
      </c>
      <c r="J719" s="10">
        <v>98.7</v>
      </c>
      <c r="L719" s="3">
        <v>0</v>
      </c>
      <c r="M719" t="s">
        <v>76</v>
      </c>
      <c r="N719" s="10">
        <v>15.63</v>
      </c>
      <c r="O719" t="s">
        <v>62</v>
      </c>
      <c r="P719" s="5">
        <v>46001</v>
      </c>
      <c r="Q719" s="5">
        <v>46009</v>
      </c>
      <c r="R719" s="5">
        <v>46006</v>
      </c>
      <c r="S719" t="s">
        <v>33</v>
      </c>
      <c r="T719" s="6">
        <v>4</v>
      </c>
      <c r="U719" t="s">
        <v>41</v>
      </c>
      <c r="V719" s="10">
        <v>296.10000000000002</v>
      </c>
      <c r="W719" s="10">
        <v>223.5</v>
      </c>
      <c r="X719" s="10">
        <v>56.97000000000002</v>
      </c>
      <c r="Y719" s="11">
        <v>0.1924012158054712</v>
      </c>
      <c r="Z719" s="6">
        <v>-3</v>
      </c>
      <c r="AA719" t="s">
        <v>35</v>
      </c>
    </row>
    <row r="720" spans="1:27" x14ac:dyDescent="0.25">
      <c r="A720" t="s">
        <v>861</v>
      </c>
      <c r="B720">
        <v>129</v>
      </c>
      <c r="C720" s="9">
        <v>46000.091539351852</v>
      </c>
      <c r="D720" t="s">
        <v>198</v>
      </c>
      <c r="E720" t="s">
        <v>199</v>
      </c>
      <c r="F720" t="s">
        <v>116</v>
      </c>
      <c r="G720">
        <v>0</v>
      </c>
      <c r="H720" s="6">
        <v>2</v>
      </c>
      <c r="I720" s="10">
        <v>336.61</v>
      </c>
      <c r="J720" s="10">
        <v>704.78</v>
      </c>
      <c r="K720" t="s">
        <v>60</v>
      </c>
      <c r="L720" s="3">
        <v>0.2</v>
      </c>
      <c r="M720" t="s">
        <v>39</v>
      </c>
      <c r="N720" s="10">
        <v>20.11</v>
      </c>
      <c r="O720" t="s">
        <v>68</v>
      </c>
      <c r="P720" s="5">
        <v>46002</v>
      </c>
      <c r="Q720" s="5">
        <v>46010</v>
      </c>
      <c r="R720" s="5">
        <v>46007</v>
      </c>
      <c r="S720" t="s">
        <v>33</v>
      </c>
      <c r="T720" s="6">
        <v>4</v>
      </c>
      <c r="U720" t="s">
        <v>84</v>
      </c>
      <c r="V720" s="10">
        <v>1127.6479999999999</v>
      </c>
      <c r="W720" s="10">
        <v>673.22</v>
      </c>
      <c r="X720" s="10">
        <v>434.31799999999993</v>
      </c>
      <c r="Y720" s="11">
        <v>0.38515387780583998</v>
      </c>
      <c r="Z720" s="6">
        <v>-3</v>
      </c>
      <c r="AA720" t="s">
        <v>35</v>
      </c>
    </row>
    <row r="721" spans="1:27" x14ac:dyDescent="0.25">
      <c r="A721" t="s">
        <v>862</v>
      </c>
      <c r="B721">
        <v>127</v>
      </c>
      <c r="C721" s="9">
        <v>46000.986979166657</v>
      </c>
      <c r="D721" t="s">
        <v>114</v>
      </c>
      <c r="E721" t="s">
        <v>115</v>
      </c>
      <c r="F721" t="s">
        <v>116</v>
      </c>
      <c r="G721">
        <v>0</v>
      </c>
      <c r="H721" s="6">
        <v>1</v>
      </c>
      <c r="I721" s="10">
        <v>395.46</v>
      </c>
      <c r="J721" s="10">
        <v>633.38</v>
      </c>
      <c r="L721" s="3">
        <v>0</v>
      </c>
      <c r="M721" t="s">
        <v>31</v>
      </c>
      <c r="N721" s="10">
        <v>25.94</v>
      </c>
      <c r="O721" t="s">
        <v>97</v>
      </c>
      <c r="P721" s="5">
        <v>46002</v>
      </c>
      <c r="Q721" s="5">
        <v>46009</v>
      </c>
      <c r="R721" s="5">
        <v>46011</v>
      </c>
      <c r="S721" t="s">
        <v>33</v>
      </c>
      <c r="T721" s="6">
        <v>1</v>
      </c>
      <c r="U721" t="s">
        <v>170</v>
      </c>
      <c r="V721" s="10">
        <v>633.38</v>
      </c>
      <c r="W721" s="10">
        <v>395.46</v>
      </c>
      <c r="X721" s="10">
        <v>211.98</v>
      </c>
      <c r="Y721" s="11">
        <v>0.33468060248192238</v>
      </c>
      <c r="Z721" s="6">
        <v>2</v>
      </c>
      <c r="AA721" t="s">
        <v>103</v>
      </c>
    </row>
    <row r="722" spans="1:27" x14ac:dyDescent="0.25">
      <c r="A722" t="s">
        <v>863</v>
      </c>
      <c r="B722">
        <v>116</v>
      </c>
      <c r="C722" s="9">
        <v>46001.292870370373</v>
      </c>
      <c r="D722" t="s">
        <v>66</v>
      </c>
      <c r="E722" t="s">
        <v>67</v>
      </c>
      <c r="F722" t="s">
        <v>52</v>
      </c>
      <c r="G722">
        <v>300</v>
      </c>
      <c r="H722" s="6">
        <v>1</v>
      </c>
      <c r="I722" s="10">
        <v>47.23</v>
      </c>
      <c r="J722" s="10">
        <v>125.91</v>
      </c>
      <c r="L722" s="3">
        <v>0</v>
      </c>
      <c r="M722" t="s">
        <v>39</v>
      </c>
      <c r="N722" s="10">
        <v>30.45</v>
      </c>
      <c r="O722" t="s">
        <v>47</v>
      </c>
      <c r="P722" s="5">
        <v>46003</v>
      </c>
      <c r="Q722" s="5">
        <v>46008</v>
      </c>
      <c r="R722" s="5">
        <v>46007</v>
      </c>
      <c r="S722" t="s">
        <v>33</v>
      </c>
      <c r="T722" s="6">
        <v>4</v>
      </c>
      <c r="U722" t="s">
        <v>172</v>
      </c>
      <c r="V722" s="10">
        <v>125.91</v>
      </c>
      <c r="W722" s="10">
        <v>47.23</v>
      </c>
      <c r="X722" s="10">
        <v>48.23</v>
      </c>
      <c r="Y722" s="11">
        <v>0.38305138591057108</v>
      </c>
      <c r="Z722" s="6">
        <v>-1</v>
      </c>
      <c r="AA722" t="s">
        <v>35</v>
      </c>
    </row>
    <row r="723" spans="1:27" x14ac:dyDescent="0.25">
      <c r="A723" t="s">
        <v>864</v>
      </c>
      <c r="B723">
        <v>149</v>
      </c>
      <c r="C723" s="9">
        <v>46001.388275462959</v>
      </c>
      <c r="D723" t="s">
        <v>50</v>
      </c>
      <c r="E723" t="s">
        <v>51</v>
      </c>
      <c r="F723" t="s">
        <v>52</v>
      </c>
      <c r="G723">
        <v>602</v>
      </c>
      <c r="H723" s="6">
        <v>1</v>
      </c>
      <c r="I723" s="10">
        <v>148.59</v>
      </c>
      <c r="J723" s="10">
        <v>335.7</v>
      </c>
      <c r="K723" t="s">
        <v>60</v>
      </c>
      <c r="L723" s="3">
        <v>0.2</v>
      </c>
      <c r="M723" t="s">
        <v>76</v>
      </c>
      <c r="N723" s="10">
        <v>30.33</v>
      </c>
      <c r="O723" t="s">
        <v>157</v>
      </c>
      <c r="P723" s="5">
        <v>46003</v>
      </c>
      <c r="Q723" s="5">
        <v>46009</v>
      </c>
      <c r="R723" s="5">
        <v>46007</v>
      </c>
      <c r="S723" t="s">
        <v>33</v>
      </c>
      <c r="T723" s="6">
        <v>5</v>
      </c>
      <c r="U723" t="s">
        <v>41</v>
      </c>
      <c r="V723" s="10">
        <v>268.56</v>
      </c>
      <c r="W723" s="10">
        <v>148.59</v>
      </c>
      <c r="X723" s="10">
        <v>89.64</v>
      </c>
      <c r="Y723" s="11">
        <v>0.33378016085790879</v>
      </c>
      <c r="Z723" s="6">
        <v>-2</v>
      </c>
      <c r="AA723" t="s">
        <v>35</v>
      </c>
    </row>
    <row r="724" spans="1:27" x14ac:dyDescent="0.25">
      <c r="A724" t="s">
        <v>865</v>
      </c>
      <c r="B724">
        <v>44</v>
      </c>
      <c r="C724" s="9">
        <v>46001.985138888893</v>
      </c>
      <c r="D724" t="s">
        <v>74</v>
      </c>
      <c r="E724" t="s">
        <v>75</v>
      </c>
      <c r="F724" t="s">
        <v>30</v>
      </c>
      <c r="G724">
        <v>2229</v>
      </c>
      <c r="H724" s="6">
        <v>1</v>
      </c>
      <c r="I724" s="10">
        <v>2789.38</v>
      </c>
      <c r="J724" s="10">
        <v>4607.99</v>
      </c>
      <c r="L724" s="3">
        <v>0</v>
      </c>
      <c r="M724" t="s">
        <v>76</v>
      </c>
      <c r="N724" s="10">
        <v>119.72</v>
      </c>
      <c r="O724" t="s">
        <v>264</v>
      </c>
      <c r="P724" s="5">
        <v>46002</v>
      </c>
      <c r="Q724" s="5">
        <v>46008</v>
      </c>
      <c r="R724" s="5">
        <v>46012</v>
      </c>
      <c r="S724" t="s">
        <v>33</v>
      </c>
      <c r="T724" s="6">
        <v>2</v>
      </c>
      <c r="U724" t="s">
        <v>153</v>
      </c>
      <c r="V724" s="10">
        <v>4607.99</v>
      </c>
      <c r="W724" s="10">
        <v>2789.38</v>
      </c>
      <c r="X724" s="10">
        <v>1698.89</v>
      </c>
      <c r="Y724" s="11">
        <v>0.3686835257889014</v>
      </c>
      <c r="Z724" s="6">
        <v>4</v>
      </c>
      <c r="AA724" t="s">
        <v>103</v>
      </c>
    </row>
    <row r="725" spans="1:27" x14ac:dyDescent="0.25">
      <c r="A725" t="s">
        <v>866</v>
      </c>
      <c r="B725">
        <v>36</v>
      </c>
      <c r="C725" s="9">
        <v>46002.200057870366</v>
      </c>
      <c r="D725" t="s">
        <v>66</v>
      </c>
      <c r="E725" t="s">
        <v>67</v>
      </c>
      <c r="F725" t="s">
        <v>52</v>
      </c>
      <c r="G725">
        <v>298</v>
      </c>
      <c r="H725" s="6">
        <v>3</v>
      </c>
      <c r="I725" s="10">
        <v>44.91</v>
      </c>
      <c r="J725" s="10">
        <v>144.18</v>
      </c>
      <c r="L725" s="3">
        <v>0</v>
      </c>
      <c r="M725" t="s">
        <v>76</v>
      </c>
      <c r="N725" s="10">
        <v>23.5</v>
      </c>
      <c r="O725" t="s">
        <v>62</v>
      </c>
      <c r="P725" s="5">
        <v>46003</v>
      </c>
      <c r="Q725" s="5">
        <v>46009</v>
      </c>
      <c r="R725" s="5">
        <v>46008</v>
      </c>
      <c r="S725" t="s">
        <v>33</v>
      </c>
      <c r="T725" s="6">
        <v>4</v>
      </c>
      <c r="U725" t="s">
        <v>119</v>
      </c>
      <c r="V725" s="10">
        <v>432.54</v>
      </c>
      <c r="W725" s="10">
        <v>134.72999999999999</v>
      </c>
      <c r="X725" s="10">
        <v>274.31000000000012</v>
      </c>
      <c r="Y725" s="11">
        <v>0.63418412169972727</v>
      </c>
      <c r="Z725" s="6">
        <v>-1</v>
      </c>
      <c r="AA725" t="s">
        <v>35</v>
      </c>
    </row>
    <row r="726" spans="1:27" x14ac:dyDescent="0.25">
      <c r="A726" t="s">
        <v>867</v>
      </c>
      <c r="B726">
        <v>138</v>
      </c>
      <c r="C726" s="9">
        <v>46003.277986111112</v>
      </c>
      <c r="D726" t="s">
        <v>198</v>
      </c>
      <c r="E726" t="s">
        <v>199</v>
      </c>
      <c r="F726" t="s">
        <v>116</v>
      </c>
      <c r="G726">
        <v>0</v>
      </c>
      <c r="H726" s="6">
        <v>2</v>
      </c>
      <c r="I726" s="10">
        <v>342.71</v>
      </c>
      <c r="J726" s="10">
        <v>634.16</v>
      </c>
      <c r="L726" s="3">
        <v>0</v>
      </c>
      <c r="M726" t="s">
        <v>39</v>
      </c>
      <c r="N726" s="10">
        <v>22.74</v>
      </c>
      <c r="O726" t="s">
        <v>83</v>
      </c>
      <c r="P726" s="5">
        <v>46005</v>
      </c>
      <c r="Q726" s="5">
        <v>46013</v>
      </c>
      <c r="R726" s="5">
        <v>46011</v>
      </c>
      <c r="S726" t="s">
        <v>33</v>
      </c>
      <c r="T726" s="6">
        <v>4</v>
      </c>
      <c r="U726" t="s">
        <v>134</v>
      </c>
      <c r="V726" s="10">
        <v>1268.32</v>
      </c>
      <c r="W726" s="10">
        <v>685.42</v>
      </c>
      <c r="X726" s="10">
        <v>560.16</v>
      </c>
      <c r="Y726" s="11">
        <v>0.44165510281317022</v>
      </c>
      <c r="Z726" s="6">
        <v>-2</v>
      </c>
      <c r="AA726" t="s">
        <v>35</v>
      </c>
    </row>
    <row r="727" spans="1:27" x14ac:dyDescent="0.25">
      <c r="A727" t="s">
        <v>868</v>
      </c>
      <c r="B727">
        <v>26</v>
      </c>
      <c r="C727" s="9">
        <v>46004.44159722222</v>
      </c>
      <c r="D727" t="s">
        <v>155</v>
      </c>
      <c r="E727" t="s">
        <v>156</v>
      </c>
      <c r="F727" t="s">
        <v>30</v>
      </c>
      <c r="G727">
        <v>4926</v>
      </c>
      <c r="H727" s="6">
        <v>2</v>
      </c>
      <c r="I727" s="10">
        <v>912.97</v>
      </c>
      <c r="J727" s="10">
        <v>1967.56</v>
      </c>
      <c r="L727" s="3">
        <v>0</v>
      </c>
      <c r="M727" t="s">
        <v>61</v>
      </c>
      <c r="N727" s="10">
        <v>65.319999999999993</v>
      </c>
      <c r="O727" t="s">
        <v>40</v>
      </c>
      <c r="P727" s="5">
        <v>46006</v>
      </c>
      <c r="Q727" s="5">
        <v>46012</v>
      </c>
      <c r="R727" s="5">
        <v>46009</v>
      </c>
      <c r="S727" t="s">
        <v>33</v>
      </c>
      <c r="T727" s="6">
        <v>5</v>
      </c>
      <c r="U727" t="s">
        <v>112</v>
      </c>
      <c r="V727" s="10">
        <v>3935.12</v>
      </c>
      <c r="W727" s="10">
        <v>1825.94</v>
      </c>
      <c r="X727" s="10">
        <v>2043.86</v>
      </c>
      <c r="Y727" s="11">
        <v>0.519389497651914</v>
      </c>
      <c r="Z727" s="6">
        <v>-3</v>
      </c>
      <c r="AA727" t="s">
        <v>35</v>
      </c>
    </row>
    <row r="728" spans="1:27" x14ac:dyDescent="0.25">
      <c r="A728" t="s">
        <v>869</v>
      </c>
      <c r="B728">
        <v>111</v>
      </c>
      <c r="C728" s="9">
        <v>46004.812245370369</v>
      </c>
      <c r="D728" t="s">
        <v>95</v>
      </c>
      <c r="E728" t="s">
        <v>96</v>
      </c>
      <c r="F728" t="s">
        <v>52</v>
      </c>
      <c r="G728">
        <v>351</v>
      </c>
      <c r="H728" s="6">
        <v>2</v>
      </c>
      <c r="I728" s="10">
        <v>15.11</v>
      </c>
      <c r="J728" s="10">
        <v>63.66</v>
      </c>
      <c r="L728" s="3">
        <v>0</v>
      </c>
      <c r="M728" t="s">
        <v>61</v>
      </c>
      <c r="N728" s="10">
        <v>33.82</v>
      </c>
      <c r="O728" t="s">
        <v>157</v>
      </c>
      <c r="P728" s="5">
        <v>46005</v>
      </c>
      <c r="Q728" s="5">
        <v>46010</v>
      </c>
      <c r="R728" s="5">
        <v>46007</v>
      </c>
      <c r="S728" t="s">
        <v>33</v>
      </c>
      <c r="T728" s="6">
        <v>5</v>
      </c>
      <c r="U728" t="s">
        <v>127</v>
      </c>
      <c r="V728" s="10">
        <v>127.32</v>
      </c>
      <c r="W728" s="10">
        <v>30.22</v>
      </c>
      <c r="X728" s="10">
        <v>63.279999999999987</v>
      </c>
      <c r="Y728" s="11">
        <v>0.49701539428212382</v>
      </c>
      <c r="Z728" s="6">
        <v>-3</v>
      </c>
      <c r="AA728" t="s">
        <v>35</v>
      </c>
    </row>
    <row r="729" spans="1:27" x14ac:dyDescent="0.25">
      <c r="A729" t="s">
        <v>870</v>
      </c>
      <c r="B729">
        <v>153</v>
      </c>
      <c r="C729" s="9">
        <v>46004.925462962958</v>
      </c>
      <c r="D729" t="s">
        <v>58</v>
      </c>
      <c r="E729" t="s">
        <v>59</v>
      </c>
      <c r="F729" t="s">
        <v>30</v>
      </c>
      <c r="G729">
        <v>4717</v>
      </c>
      <c r="H729" s="6">
        <v>3</v>
      </c>
      <c r="I729" s="10">
        <v>265.45</v>
      </c>
      <c r="J729" s="10">
        <v>690.26</v>
      </c>
      <c r="K729" t="s">
        <v>60</v>
      </c>
      <c r="L729" s="3">
        <v>0.2</v>
      </c>
      <c r="M729" t="s">
        <v>31</v>
      </c>
      <c r="N729" s="10">
        <v>101.84</v>
      </c>
      <c r="O729" t="s">
        <v>40</v>
      </c>
      <c r="P729" s="5">
        <v>46005</v>
      </c>
      <c r="Q729" s="5">
        <v>46014</v>
      </c>
      <c r="R729" s="5">
        <v>46007</v>
      </c>
      <c r="S729" t="s">
        <v>33</v>
      </c>
      <c r="T729" s="6">
        <v>4</v>
      </c>
      <c r="U729" t="s">
        <v>48</v>
      </c>
      <c r="V729" s="10">
        <v>1656.624</v>
      </c>
      <c r="W729" s="10">
        <v>796.34999999999991</v>
      </c>
      <c r="X729" s="10">
        <v>758.43399999999986</v>
      </c>
      <c r="Y729" s="11">
        <v>0.45781903437352112</v>
      </c>
      <c r="Z729" s="6">
        <v>-7</v>
      </c>
      <c r="AA729" t="s">
        <v>35</v>
      </c>
    </row>
    <row r="730" spans="1:27" x14ac:dyDescent="0.25">
      <c r="A730" t="s">
        <v>871</v>
      </c>
      <c r="B730">
        <v>61</v>
      </c>
      <c r="C730" s="9">
        <v>46005.176458333342</v>
      </c>
      <c r="D730" t="s">
        <v>123</v>
      </c>
      <c r="E730" t="s">
        <v>124</v>
      </c>
      <c r="F730" t="s">
        <v>45</v>
      </c>
      <c r="G730">
        <v>0</v>
      </c>
      <c r="H730" s="6">
        <v>1</v>
      </c>
      <c r="I730" s="10">
        <v>52.25</v>
      </c>
      <c r="J730" s="10">
        <v>200.4</v>
      </c>
      <c r="L730" s="3">
        <v>0</v>
      </c>
      <c r="M730" t="s">
        <v>31</v>
      </c>
      <c r="N730" s="10">
        <v>17.43</v>
      </c>
      <c r="O730" t="s">
        <v>133</v>
      </c>
      <c r="P730" s="5">
        <v>46006</v>
      </c>
      <c r="Q730" s="5">
        <v>46016</v>
      </c>
      <c r="S730" t="s">
        <v>63</v>
      </c>
      <c r="T730" s="6">
        <v>3</v>
      </c>
      <c r="U730" t="s">
        <v>230</v>
      </c>
      <c r="V730" s="10">
        <v>200.4</v>
      </c>
      <c r="W730" s="10">
        <v>52.25</v>
      </c>
      <c r="X730" s="10">
        <v>130.72</v>
      </c>
      <c r="Y730" s="11">
        <v>0.65229540918163675</v>
      </c>
      <c r="Z730" s="6"/>
      <c r="AA730" t="s">
        <v>56</v>
      </c>
    </row>
    <row r="731" spans="1:27" x14ac:dyDescent="0.25">
      <c r="A731" t="s">
        <v>872</v>
      </c>
      <c r="B731">
        <v>168</v>
      </c>
      <c r="C731" s="9">
        <v>46005.368784722217</v>
      </c>
      <c r="D731" t="s">
        <v>95</v>
      </c>
      <c r="E731" t="s">
        <v>96</v>
      </c>
      <c r="F731" t="s">
        <v>52</v>
      </c>
      <c r="G731">
        <v>593</v>
      </c>
      <c r="H731" s="6">
        <v>3</v>
      </c>
      <c r="I731" s="10">
        <v>29.02</v>
      </c>
      <c r="J731" s="10">
        <v>75.72</v>
      </c>
      <c r="L731" s="3">
        <v>0</v>
      </c>
      <c r="M731" t="s">
        <v>39</v>
      </c>
      <c r="N731" s="10">
        <v>45.49</v>
      </c>
      <c r="O731" t="s">
        <v>62</v>
      </c>
      <c r="P731" s="5">
        <v>46006</v>
      </c>
      <c r="Q731" s="5">
        <v>46014</v>
      </c>
      <c r="R731" s="5">
        <v>46009</v>
      </c>
      <c r="S731" t="s">
        <v>33</v>
      </c>
      <c r="T731" s="6">
        <v>5</v>
      </c>
      <c r="U731" t="s">
        <v>79</v>
      </c>
      <c r="V731" s="10">
        <v>227.16</v>
      </c>
      <c r="W731" s="10">
        <v>87.06</v>
      </c>
      <c r="X731" s="10">
        <v>94.609999999999985</v>
      </c>
      <c r="Y731" s="11">
        <v>0.41649057932734629</v>
      </c>
      <c r="Z731" s="6">
        <v>-5</v>
      </c>
      <c r="AA731" t="s">
        <v>35</v>
      </c>
    </row>
    <row r="732" spans="1:27" x14ac:dyDescent="0.25">
      <c r="A732" t="s">
        <v>873</v>
      </c>
      <c r="B732">
        <v>188</v>
      </c>
      <c r="C732" s="9">
        <v>46005.37222222222</v>
      </c>
      <c r="D732" t="s">
        <v>95</v>
      </c>
      <c r="E732" t="s">
        <v>96</v>
      </c>
      <c r="F732" t="s">
        <v>52</v>
      </c>
      <c r="G732">
        <v>582</v>
      </c>
      <c r="H732" s="6">
        <v>2</v>
      </c>
      <c r="I732" s="10">
        <v>23.08</v>
      </c>
      <c r="J732" s="10">
        <v>91.7</v>
      </c>
      <c r="K732" t="s">
        <v>60</v>
      </c>
      <c r="L732" s="3">
        <v>0.2</v>
      </c>
      <c r="M732" t="s">
        <v>39</v>
      </c>
      <c r="N732" s="10">
        <v>45.51</v>
      </c>
      <c r="O732" t="s">
        <v>99</v>
      </c>
      <c r="P732" s="5">
        <v>46007</v>
      </c>
      <c r="Q732" s="5">
        <v>46014</v>
      </c>
      <c r="R732" s="5">
        <v>46012</v>
      </c>
      <c r="S732" t="s">
        <v>33</v>
      </c>
      <c r="T732" s="6">
        <v>5</v>
      </c>
      <c r="U732" t="s">
        <v>41</v>
      </c>
      <c r="V732" s="10">
        <v>146.72</v>
      </c>
      <c r="W732" s="10">
        <v>46.16</v>
      </c>
      <c r="X732" s="10">
        <v>55.05</v>
      </c>
      <c r="Y732" s="11">
        <v>0.37520447110141769</v>
      </c>
      <c r="Z732" s="6">
        <v>-2</v>
      </c>
      <c r="AA732" t="s">
        <v>35</v>
      </c>
    </row>
    <row r="733" spans="1:27" x14ac:dyDescent="0.25">
      <c r="A733" t="s">
        <v>874</v>
      </c>
      <c r="B733">
        <v>42</v>
      </c>
      <c r="C733" s="9">
        <v>46005.401875000003</v>
      </c>
      <c r="D733" t="s">
        <v>137</v>
      </c>
      <c r="E733" t="s">
        <v>138</v>
      </c>
      <c r="F733" t="s">
        <v>52</v>
      </c>
      <c r="G733">
        <v>484</v>
      </c>
      <c r="H733" s="6">
        <v>3</v>
      </c>
      <c r="I733" s="10">
        <v>149.69999999999999</v>
      </c>
      <c r="J733" s="10">
        <v>182.62</v>
      </c>
      <c r="K733" t="s">
        <v>60</v>
      </c>
      <c r="L733" s="3">
        <v>0.2</v>
      </c>
      <c r="M733" t="s">
        <v>61</v>
      </c>
      <c r="N733" s="10">
        <v>40.04</v>
      </c>
      <c r="O733" t="s">
        <v>264</v>
      </c>
      <c r="P733" s="5">
        <v>46006</v>
      </c>
      <c r="Q733" s="5">
        <v>46013</v>
      </c>
      <c r="S733" t="s">
        <v>54</v>
      </c>
      <c r="T733" s="6">
        <v>3</v>
      </c>
      <c r="U733" t="s">
        <v>405</v>
      </c>
      <c r="V733" s="10">
        <v>438.28800000000001</v>
      </c>
      <c r="W733" s="10">
        <v>449.1</v>
      </c>
      <c r="X733" s="10">
        <v>-50.851999999999947</v>
      </c>
      <c r="Y733" s="11">
        <v>-0.1160241667579307</v>
      </c>
      <c r="Z733" s="6"/>
      <c r="AA733" t="s">
        <v>56</v>
      </c>
    </row>
    <row r="734" spans="1:27" x14ac:dyDescent="0.25">
      <c r="A734" t="s">
        <v>875</v>
      </c>
      <c r="B734">
        <v>17</v>
      </c>
      <c r="C734" s="9">
        <v>46006.348067129627</v>
      </c>
      <c r="D734" t="s">
        <v>137</v>
      </c>
      <c r="E734" t="s">
        <v>138</v>
      </c>
      <c r="F734" t="s">
        <v>52</v>
      </c>
      <c r="G734">
        <v>383</v>
      </c>
      <c r="H734" s="6">
        <v>2</v>
      </c>
      <c r="I734" s="10">
        <v>132.41999999999999</v>
      </c>
      <c r="J734" s="10">
        <v>158.1</v>
      </c>
      <c r="L734" s="3">
        <v>0</v>
      </c>
      <c r="M734" t="s">
        <v>39</v>
      </c>
      <c r="N734" s="10">
        <v>51.03</v>
      </c>
      <c r="O734" t="s">
        <v>97</v>
      </c>
      <c r="P734" s="5">
        <v>46008</v>
      </c>
      <c r="Q734" s="5">
        <v>46016</v>
      </c>
      <c r="R734" s="5">
        <v>46014</v>
      </c>
      <c r="S734" t="s">
        <v>33</v>
      </c>
      <c r="T734" s="6">
        <v>4</v>
      </c>
      <c r="U734" t="s">
        <v>127</v>
      </c>
      <c r="V734" s="10">
        <v>316.2</v>
      </c>
      <c r="W734" s="10">
        <v>264.83999999999997</v>
      </c>
      <c r="X734" s="10">
        <v>0.33000000000001251</v>
      </c>
      <c r="Y734" s="11">
        <v>1.0436432637571549E-3</v>
      </c>
      <c r="Z734" s="6">
        <v>-2</v>
      </c>
      <c r="AA734" t="s">
        <v>35</v>
      </c>
    </row>
    <row r="735" spans="1:27" x14ac:dyDescent="0.25">
      <c r="A735" t="s">
        <v>876</v>
      </c>
      <c r="B735">
        <v>106</v>
      </c>
      <c r="C735" s="9">
        <v>46007.015428240738</v>
      </c>
      <c r="D735" t="s">
        <v>58</v>
      </c>
      <c r="E735" t="s">
        <v>59</v>
      </c>
      <c r="F735" t="s">
        <v>30</v>
      </c>
      <c r="G735">
        <v>4903</v>
      </c>
      <c r="H735" s="6">
        <v>3</v>
      </c>
      <c r="I735" s="10">
        <v>346.57</v>
      </c>
      <c r="J735" s="10">
        <v>475.45</v>
      </c>
      <c r="L735" s="3">
        <v>0</v>
      </c>
      <c r="M735" t="s">
        <v>76</v>
      </c>
      <c r="N735" s="10">
        <v>94.4</v>
      </c>
      <c r="O735" t="s">
        <v>47</v>
      </c>
      <c r="P735" s="5">
        <v>46009</v>
      </c>
      <c r="Q735" s="5">
        <v>46015</v>
      </c>
      <c r="R735" s="5">
        <v>46011</v>
      </c>
      <c r="S735" t="s">
        <v>33</v>
      </c>
      <c r="T735" s="6">
        <v>4</v>
      </c>
      <c r="U735" t="s">
        <v>119</v>
      </c>
      <c r="V735" s="10">
        <v>1426.35</v>
      </c>
      <c r="W735" s="10">
        <v>1039.71</v>
      </c>
      <c r="X735" s="10">
        <v>292.2399999999999</v>
      </c>
      <c r="Y735" s="11">
        <v>0.20488659866091771</v>
      </c>
      <c r="Z735" s="6">
        <v>-4</v>
      </c>
      <c r="AA735" t="s">
        <v>35</v>
      </c>
    </row>
    <row r="736" spans="1:27" x14ac:dyDescent="0.25">
      <c r="A736" t="s">
        <v>877</v>
      </c>
      <c r="B736">
        <v>78</v>
      </c>
      <c r="C736" s="9">
        <v>46007.246354166673</v>
      </c>
      <c r="D736" t="s">
        <v>66</v>
      </c>
      <c r="E736" t="s">
        <v>67</v>
      </c>
      <c r="F736" t="s">
        <v>52</v>
      </c>
      <c r="G736">
        <v>279</v>
      </c>
      <c r="H736" s="6">
        <v>1</v>
      </c>
      <c r="I736" s="10">
        <v>46.1</v>
      </c>
      <c r="J736" s="10">
        <v>70.84</v>
      </c>
      <c r="L736" s="3">
        <v>0</v>
      </c>
      <c r="M736" t="s">
        <v>61</v>
      </c>
      <c r="N736" s="10">
        <v>46.46</v>
      </c>
      <c r="O736" t="s">
        <v>99</v>
      </c>
      <c r="P736" s="5">
        <v>46008</v>
      </c>
      <c r="Q736" s="5">
        <v>46016</v>
      </c>
      <c r="R736" s="5">
        <v>46011</v>
      </c>
      <c r="S736" t="s">
        <v>33</v>
      </c>
      <c r="T736" s="6">
        <v>5</v>
      </c>
      <c r="U736" t="s">
        <v>79</v>
      </c>
      <c r="V736" s="10">
        <v>70.84</v>
      </c>
      <c r="W736" s="10">
        <v>46.1</v>
      </c>
      <c r="X736" s="10">
        <v>-21.72</v>
      </c>
      <c r="Y736" s="11">
        <v>-0.30660643704121959</v>
      </c>
      <c r="Z736" s="6">
        <v>-5</v>
      </c>
      <c r="AA736" t="s">
        <v>35</v>
      </c>
    </row>
    <row r="737" spans="1:27" x14ac:dyDescent="0.25">
      <c r="A737" t="s">
        <v>878</v>
      </c>
      <c r="B737">
        <v>9</v>
      </c>
      <c r="C737" s="9">
        <v>46007.364074074067</v>
      </c>
      <c r="D737" t="s">
        <v>86</v>
      </c>
      <c r="E737" t="s">
        <v>87</v>
      </c>
      <c r="F737" t="s">
        <v>45</v>
      </c>
      <c r="G737">
        <v>0</v>
      </c>
      <c r="H737" s="6">
        <v>1</v>
      </c>
      <c r="I737" s="10">
        <v>53.51</v>
      </c>
      <c r="J737" s="10">
        <v>152.15</v>
      </c>
      <c r="K737" t="s">
        <v>60</v>
      </c>
      <c r="L737" s="3">
        <v>0.2</v>
      </c>
      <c r="M737" t="s">
        <v>39</v>
      </c>
      <c r="N737" s="10">
        <v>25.39</v>
      </c>
      <c r="O737" t="s">
        <v>264</v>
      </c>
      <c r="P737" s="5">
        <v>46008</v>
      </c>
      <c r="Q737" s="5">
        <v>46014</v>
      </c>
      <c r="S737" t="s">
        <v>54</v>
      </c>
      <c r="T737" s="6">
        <v>3</v>
      </c>
      <c r="U737" t="s">
        <v>121</v>
      </c>
      <c r="V737" s="10">
        <v>121.72</v>
      </c>
      <c r="W737" s="10">
        <v>53.51</v>
      </c>
      <c r="X737" s="10">
        <v>42.820000000000007</v>
      </c>
      <c r="Y737" s="11">
        <v>0.35179099572790012</v>
      </c>
      <c r="Z737" s="6"/>
      <c r="AA737" t="s">
        <v>56</v>
      </c>
    </row>
    <row r="738" spans="1:27" x14ac:dyDescent="0.25">
      <c r="A738" t="s">
        <v>879</v>
      </c>
      <c r="B738">
        <v>54</v>
      </c>
      <c r="C738" s="9">
        <v>46008.439641203702</v>
      </c>
      <c r="D738" t="s">
        <v>114</v>
      </c>
      <c r="E738" t="s">
        <v>115</v>
      </c>
      <c r="F738" t="s">
        <v>116</v>
      </c>
      <c r="G738">
        <v>0</v>
      </c>
      <c r="H738" s="6">
        <v>1</v>
      </c>
      <c r="I738" s="10">
        <v>449.3</v>
      </c>
      <c r="J738" s="10">
        <v>727.02</v>
      </c>
      <c r="L738" s="3">
        <v>0</v>
      </c>
      <c r="M738" t="s">
        <v>39</v>
      </c>
      <c r="N738" s="10">
        <v>22.49</v>
      </c>
      <c r="O738" t="s">
        <v>62</v>
      </c>
      <c r="P738" s="5">
        <v>46009</v>
      </c>
      <c r="Q738" s="5">
        <v>46016</v>
      </c>
      <c r="R738" s="5">
        <v>46019</v>
      </c>
      <c r="S738" t="s">
        <v>33</v>
      </c>
      <c r="T738" s="6">
        <v>2</v>
      </c>
      <c r="U738" t="s">
        <v>64</v>
      </c>
      <c r="V738" s="10">
        <v>727.02</v>
      </c>
      <c r="W738" s="10">
        <v>449.3</v>
      </c>
      <c r="X738" s="10">
        <v>255.23</v>
      </c>
      <c r="Y738" s="11">
        <v>0.35106324447745579</v>
      </c>
      <c r="Z738" s="6">
        <v>3</v>
      </c>
      <c r="AA738" t="s">
        <v>103</v>
      </c>
    </row>
    <row r="739" spans="1:27" x14ac:dyDescent="0.25">
      <c r="A739" t="s">
        <v>880</v>
      </c>
      <c r="B739">
        <v>15</v>
      </c>
      <c r="C739" s="9">
        <v>46008.441099537027</v>
      </c>
      <c r="D739" t="s">
        <v>164</v>
      </c>
      <c r="E739" t="s">
        <v>165</v>
      </c>
      <c r="F739" t="s">
        <v>116</v>
      </c>
      <c r="G739">
        <v>0</v>
      </c>
      <c r="H739" s="6">
        <v>3</v>
      </c>
      <c r="I739" s="10">
        <v>443.17</v>
      </c>
      <c r="J739" s="10">
        <v>736.87</v>
      </c>
      <c r="L739" s="3">
        <v>0</v>
      </c>
      <c r="M739" t="s">
        <v>76</v>
      </c>
      <c r="N739" s="10">
        <v>18.52</v>
      </c>
      <c r="O739" t="s">
        <v>97</v>
      </c>
      <c r="P739" s="5">
        <v>46009</v>
      </c>
      <c r="Q739" s="5">
        <v>46018</v>
      </c>
      <c r="S739" t="s">
        <v>161</v>
      </c>
      <c r="T739" s="6">
        <v>1</v>
      </c>
      <c r="U739" t="s">
        <v>153</v>
      </c>
      <c r="V739" s="10">
        <v>2210.61</v>
      </c>
      <c r="W739" s="10">
        <v>1329.51</v>
      </c>
      <c r="X739" s="10">
        <v>862.58000000000015</v>
      </c>
      <c r="Y739" s="11">
        <v>0.39019999004799583</v>
      </c>
      <c r="Z739" s="6"/>
      <c r="AA739" t="s">
        <v>56</v>
      </c>
    </row>
    <row r="740" spans="1:27" x14ac:dyDescent="0.25">
      <c r="A740" t="s">
        <v>881</v>
      </c>
      <c r="B740">
        <v>190</v>
      </c>
      <c r="C740" s="9">
        <v>46008.923368055563</v>
      </c>
      <c r="D740" t="s">
        <v>71</v>
      </c>
      <c r="E740" t="s">
        <v>72</v>
      </c>
      <c r="F740" t="s">
        <v>52</v>
      </c>
      <c r="G740">
        <v>333</v>
      </c>
      <c r="H740" s="6">
        <v>3</v>
      </c>
      <c r="I740" s="10">
        <v>52.66</v>
      </c>
      <c r="J740" s="10">
        <v>127.49</v>
      </c>
      <c r="L740" s="3">
        <v>0</v>
      </c>
      <c r="M740" t="s">
        <v>61</v>
      </c>
      <c r="N740" s="10">
        <v>59.92</v>
      </c>
      <c r="O740" t="s">
        <v>47</v>
      </c>
      <c r="P740" s="5">
        <v>46009</v>
      </c>
      <c r="Q740" s="5">
        <v>46017</v>
      </c>
      <c r="R740" s="5">
        <v>46021</v>
      </c>
      <c r="S740" t="s">
        <v>33</v>
      </c>
      <c r="T740" s="6">
        <v>2</v>
      </c>
      <c r="U740" t="s">
        <v>461</v>
      </c>
      <c r="V740" s="10">
        <v>382.47</v>
      </c>
      <c r="W740" s="10">
        <v>157.97999999999999</v>
      </c>
      <c r="X740" s="10">
        <v>164.57</v>
      </c>
      <c r="Y740" s="11">
        <v>0.43028211362982721</v>
      </c>
      <c r="Z740" s="6">
        <v>4</v>
      </c>
      <c r="AA740" t="s">
        <v>103</v>
      </c>
    </row>
    <row r="741" spans="1:27" x14ac:dyDescent="0.25">
      <c r="A741" t="s">
        <v>882</v>
      </c>
      <c r="B741">
        <v>40</v>
      </c>
      <c r="C741" s="9">
        <v>46009.056770833333</v>
      </c>
      <c r="D741" t="s">
        <v>95</v>
      </c>
      <c r="E741" t="s">
        <v>96</v>
      </c>
      <c r="F741" t="s">
        <v>52</v>
      </c>
      <c r="G741">
        <v>337</v>
      </c>
      <c r="H741" s="6">
        <v>2</v>
      </c>
      <c r="I741" s="10">
        <v>30.88</v>
      </c>
      <c r="J741" s="10">
        <v>47.41</v>
      </c>
      <c r="K741" t="s">
        <v>46</v>
      </c>
      <c r="L741" s="3">
        <v>0.1</v>
      </c>
      <c r="M741" t="s">
        <v>31</v>
      </c>
      <c r="N741" s="10">
        <v>35</v>
      </c>
      <c r="O741" t="s">
        <v>47</v>
      </c>
      <c r="P741" s="5">
        <v>46010</v>
      </c>
      <c r="Q741" s="5">
        <v>46018</v>
      </c>
      <c r="R741" s="5">
        <v>46018</v>
      </c>
      <c r="S741" t="s">
        <v>33</v>
      </c>
      <c r="T741" s="6">
        <v>5</v>
      </c>
      <c r="U741" t="s">
        <v>117</v>
      </c>
      <c r="V741" s="10">
        <v>85.337999999999994</v>
      </c>
      <c r="W741" s="10">
        <v>61.76</v>
      </c>
      <c r="X741" s="10">
        <v>-11.422000000000001</v>
      </c>
      <c r="Y741" s="11">
        <v>-0.13384424289296681</v>
      </c>
      <c r="Z741" s="6">
        <v>0</v>
      </c>
      <c r="AA741" t="s">
        <v>35</v>
      </c>
    </row>
    <row r="742" spans="1:27" x14ac:dyDescent="0.25">
      <c r="A742" t="s">
        <v>883</v>
      </c>
      <c r="B742">
        <v>114</v>
      </c>
      <c r="C742" s="9">
        <v>46009.254490740743</v>
      </c>
      <c r="D742" t="s">
        <v>28</v>
      </c>
      <c r="E742" t="s">
        <v>29</v>
      </c>
      <c r="F742" t="s">
        <v>30</v>
      </c>
      <c r="G742">
        <v>2160</v>
      </c>
      <c r="H742" s="6">
        <v>2</v>
      </c>
      <c r="I742" s="10">
        <v>1636.5</v>
      </c>
      <c r="J742" s="10">
        <v>3971.22</v>
      </c>
      <c r="L742" s="3">
        <v>0</v>
      </c>
      <c r="M742" t="s">
        <v>39</v>
      </c>
      <c r="N742" s="10">
        <v>115.41</v>
      </c>
      <c r="O742" t="s">
        <v>68</v>
      </c>
      <c r="P742" s="5">
        <v>46011</v>
      </c>
      <c r="Q742" s="5">
        <v>46018</v>
      </c>
      <c r="S742" t="s">
        <v>54</v>
      </c>
      <c r="T742" s="6">
        <v>4</v>
      </c>
      <c r="U742" t="s">
        <v>112</v>
      </c>
      <c r="V742" s="10">
        <v>7942.44</v>
      </c>
      <c r="W742" s="10">
        <v>3273</v>
      </c>
      <c r="X742" s="10">
        <v>4554.03</v>
      </c>
      <c r="Y742" s="11">
        <v>0.57337921344070586</v>
      </c>
      <c r="Z742" s="6"/>
      <c r="AA742" t="s">
        <v>56</v>
      </c>
    </row>
    <row r="743" spans="1:27" x14ac:dyDescent="0.25">
      <c r="A743" t="s">
        <v>884</v>
      </c>
      <c r="B743">
        <v>174</v>
      </c>
      <c r="C743" s="9">
        <v>46009.647534722222</v>
      </c>
      <c r="D743" t="s">
        <v>137</v>
      </c>
      <c r="E743" t="s">
        <v>138</v>
      </c>
      <c r="F743" t="s">
        <v>52</v>
      </c>
      <c r="G743">
        <v>364</v>
      </c>
      <c r="H743" s="6">
        <v>3</v>
      </c>
      <c r="I743" s="10">
        <v>69.25</v>
      </c>
      <c r="J743" s="10">
        <v>166.22</v>
      </c>
      <c r="L743" s="3">
        <v>0</v>
      </c>
      <c r="M743" t="s">
        <v>39</v>
      </c>
      <c r="N743" s="10">
        <v>42.91</v>
      </c>
      <c r="O743" t="s">
        <v>47</v>
      </c>
      <c r="P743" s="5">
        <v>46010</v>
      </c>
      <c r="Q743" s="5">
        <v>46016</v>
      </c>
      <c r="R743" s="5">
        <v>46014</v>
      </c>
      <c r="S743" t="s">
        <v>33</v>
      </c>
      <c r="T743" s="6">
        <v>4</v>
      </c>
      <c r="U743" t="s">
        <v>48</v>
      </c>
      <c r="V743" s="10">
        <v>498.66</v>
      </c>
      <c r="W743" s="10">
        <v>207.75</v>
      </c>
      <c r="X743" s="10">
        <v>248</v>
      </c>
      <c r="Y743" s="11">
        <v>0.49733285204347649</v>
      </c>
      <c r="Z743" s="6">
        <v>-2</v>
      </c>
      <c r="AA743" t="s">
        <v>35</v>
      </c>
    </row>
    <row r="744" spans="1:27" x14ac:dyDescent="0.25">
      <c r="A744" t="s">
        <v>885</v>
      </c>
      <c r="B744">
        <v>143</v>
      </c>
      <c r="C744" s="9">
        <v>46009.814467592587</v>
      </c>
      <c r="D744" t="s">
        <v>95</v>
      </c>
      <c r="E744" t="s">
        <v>96</v>
      </c>
      <c r="F744" t="s">
        <v>52</v>
      </c>
      <c r="G744">
        <v>306</v>
      </c>
      <c r="H744" s="6">
        <v>1</v>
      </c>
      <c r="I744" s="10">
        <v>39.25</v>
      </c>
      <c r="J744" s="10">
        <v>66.069999999999993</v>
      </c>
      <c r="L744" s="3">
        <v>0</v>
      </c>
      <c r="M744" t="s">
        <v>39</v>
      </c>
      <c r="N744" s="10">
        <v>49.56</v>
      </c>
      <c r="O744" t="s">
        <v>97</v>
      </c>
      <c r="P744" s="5">
        <v>46010</v>
      </c>
      <c r="Q744" s="5">
        <v>46017</v>
      </c>
      <c r="R744" s="5">
        <v>46019</v>
      </c>
      <c r="S744" t="s">
        <v>33</v>
      </c>
      <c r="T744" s="6">
        <v>3</v>
      </c>
      <c r="U744" t="s">
        <v>146</v>
      </c>
      <c r="V744" s="10">
        <v>66.069999999999993</v>
      </c>
      <c r="W744" s="10">
        <v>39.25</v>
      </c>
      <c r="X744" s="10">
        <v>-22.740000000000009</v>
      </c>
      <c r="Y744" s="11">
        <v>-0.3441804147116696</v>
      </c>
      <c r="Z744" s="6">
        <v>2</v>
      </c>
      <c r="AA744" t="s">
        <v>103</v>
      </c>
    </row>
    <row r="745" spans="1:27" x14ac:dyDescent="0.25">
      <c r="A745" t="s">
        <v>886</v>
      </c>
      <c r="B745">
        <v>24</v>
      </c>
      <c r="C745" s="9">
        <v>46009.846620370372</v>
      </c>
      <c r="D745" t="s">
        <v>66</v>
      </c>
      <c r="E745" t="s">
        <v>67</v>
      </c>
      <c r="F745" t="s">
        <v>52</v>
      </c>
      <c r="G745">
        <v>292</v>
      </c>
      <c r="H745" s="6">
        <v>3</v>
      </c>
      <c r="I745" s="10">
        <v>56.12</v>
      </c>
      <c r="J745" s="10">
        <v>128.81</v>
      </c>
      <c r="L745" s="3">
        <v>0</v>
      </c>
      <c r="M745" t="s">
        <v>31</v>
      </c>
      <c r="N745" s="10">
        <v>40.53</v>
      </c>
      <c r="O745" t="s">
        <v>40</v>
      </c>
      <c r="P745" s="5">
        <v>46010</v>
      </c>
      <c r="Q745" s="5">
        <v>46017</v>
      </c>
      <c r="R745" s="5">
        <v>46016</v>
      </c>
      <c r="S745" t="s">
        <v>33</v>
      </c>
      <c r="T745" s="6">
        <v>5</v>
      </c>
      <c r="U745" t="s">
        <v>119</v>
      </c>
      <c r="V745" s="10">
        <v>386.43</v>
      </c>
      <c r="W745" s="10">
        <v>168.36</v>
      </c>
      <c r="X745" s="10">
        <v>177.54</v>
      </c>
      <c r="Y745" s="11">
        <v>0.45943637916310848</v>
      </c>
      <c r="Z745" s="6">
        <v>-1</v>
      </c>
      <c r="AA745" t="s">
        <v>35</v>
      </c>
    </row>
    <row r="746" spans="1:27" x14ac:dyDescent="0.25">
      <c r="A746" t="s">
        <v>887</v>
      </c>
      <c r="B746">
        <v>128</v>
      </c>
      <c r="C746" s="9">
        <v>46010.097303240742</v>
      </c>
      <c r="D746" t="s">
        <v>71</v>
      </c>
      <c r="E746" t="s">
        <v>72</v>
      </c>
      <c r="F746" t="s">
        <v>52</v>
      </c>
      <c r="G746">
        <v>200</v>
      </c>
      <c r="H746" s="6">
        <v>3</v>
      </c>
      <c r="I746" s="10">
        <v>70.62</v>
      </c>
      <c r="J746" s="10">
        <v>108.83</v>
      </c>
      <c r="L746" s="3">
        <v>0</v>
      </c>
      <c r="M746" t="s">
        <v>61</v>
      </c>
      <c r="N746" s="10">
        <v>20.32</v>
      </c>
      <c r="O746" t="s">
        <v>150</v>
      </c>
      <c r="P746" s="5">
        <v>46011</v>
      </c>
      <c r="Q746" s="5">
        <v>46017</v>
      </c>
      <c r="R746" s="5">
        <v>46017</v>
      </c>
      <c r="S746" t="s">
        <v>33</v>
      </c>
      <c r="T746" s="6">
        <v>4</v>
      </c>
      <c r="U746" t="s">
        <v>127</v>
      </c>
      <c r="V746" s="10">
        <v>326.49</v>
      </c>
      <c r="W746" s="10">
        <v>211.86</v>
      </c>
      <c r="X746" s="10">
        <v>94.31</v>
      </c>
      <c r="Y746" s="11">
        <v>0.28886030200006119</v>
      </c>
      <c r="Z746" s="6">
        <v>0</v>
      </c>
      <c r="AA746" t="s">
        <v>35</v>
      </c>
    </row>
    <row r="747" spans="1:27" x14ac:dyDescent="0.25">
      <c r="A747" t="s">
        <v>888</v>
      </c>
      <c r="B747">
        <v>73</v>
      </c>
      <c r="C747" s="9">
        <v>46010.117094907408</v>
      </c>
      <c r="D747" t="s">
        <v>198</v>
      </c>
      <c r="E747" t="s">
        <v>199</v>
      </c>
      <c r="F747" t="s">
        <v>116</v>
      </c>
      <c r="G747">
        <v>0</v>
      </c>
      <c r="H747" s="6">
        <v>2</v>
      </c>
      <c r="I747" s="10">
        <v>432.67</v>
      </c>
      <c r="J747" s="10">
        <v>744.44</v>
      </c>
      <c r="L747" s="3">
        <v>0</v>
      </c>
      <c r="M747" t="s">
        <v>39</v>
      </c>
      <c r="N747" s="10">
        <v>24.85</v>
      </c>
      <c r="O747" t="s">
        <v>62</v>
      </c>
      <c r="P747" s="5">
        <v>46011</v>
      </c>
      <c r="Q747" s="5">
        <v>46017</v>
      </c>
      <c r="S747" t="s">
        <v>63</v>
      </c>
      <c r="T747" s="6">
        <v>1</v>
      </c>
      <c r="U747" t="s">
        <v>102</v>
      </c>
      <c r="V747" s="10">
        <v>1488.88</v>
      </c>
      <c r="W747" s="10">
        <v>865.34</v>
      </c>
      <c r="X747" s="10">
        <v>598.69000000000005</v>
      </c>
      <c r="Y747" s="11">
        <v>0.40210762452313148</v>
      </c>
      <c r="Z747" s="6"/>
      <c r="AA747" t="s">
        <v>56</v>
      </c>
    </row>
    <row r="748" spans="1:27" x14ac:dyDescent="0.25">
      <c r="A748" t="s">
        <v>889</v>
      </c>
      <c r="B748">
        <v>152</v>
      </c>
      <c r="C748" s="9">
        <v>46010.389004629629</v>
      </c>
      <c r="D748" t="s">
        <v>37</v>
      </c>
      <c r="E748" t="s">
        <v>38</v>
      </c>
      <c r="F748" t="s">
        <v>30</v>
      </c>
      <c r="G748">
        <v>2114</v>
      </c>
      <c r="H748" s="6">
        <v>1</v>
      </c>
      <c r="I748" s="10">
        <v>711.86</v>
      </c>
      <c r="J748" s="10">
        <v>891.34</v>
      </c>
      <c r="K748" t="s">
        <v>46</v>
      </c>
      <c r="L748" s="3">
        <v>0.1</v>
      </c>
      <c r="M748" t="s">
        <v>39</v>
      </c>
      <c r="N748" s="10">
        <v>61.59</v>
      </c>
      <c r="O748" t="s">
        <v>150</v>
      </c>
      <c r="P748" s="5">
        <v>46012</v>
      </c>
      <c r="Q748" s="5">
        <v>46022</v>
      </c>
      <c r="R748" s="5">
        <v>46021</v>
      </c>
      <c r="S748" t="s">
        <v>33</v>
      </c>
      <c r="T748" s="6">
        <v>4</v>
      </c>
      <c r="U748" t="s">
        <v>112</v>
      </c>
      <c r="V748" s="10">
        <v>802.20600000000002</v>
      </c>
      <c r="W748" s="10">
        <v>711.86</v>
      </c>
      <c r="X748" s="10">
        <v>28.756</v>
      </c>
      <c r="Y748" s="11">
        <v>3.5846154229711567E-2</v>
      </c>
      <c r="Z748" s="6">
        <v>-1</v>
      </c>
      <c r="AA748" t="s">
        <v>35</v>
      </c>
    </row>
    <row r="749" spans="1:27" x14ac:dyDescent="0.25">
      <c r="A749" t="s">
        <v>890</v>
      </c>
      <c r="B749">
        <v>147</v>
      </c>
      <c r="C749" s="9">
        <v>46010.834594907406</v>
      </c>
      <c r="D749" t="s">
        <v>95</v>
      </c>
      <c r="E749" t="s">
        <v>96</v>
      </c>
      <c r="F749" t="s">
        <v>52</v>
      </c>
      <c r="G749">
        <v>336</v>
      </c>
      <c r="H749" s="6">
        <v>2</v>
      </c>
      <c r="I749" s="10">
        <v>17.190000000000001</v>
      </c>
      <c r="J749" s="10">
        <v>68.7</v>
      </c>
      <c r="L749" s="3">
        <v>0</v>
      </c>
      <c r="M749" t="s">
        <v>61</v>
      </c>
      <c r="N749" s="10">
        <v>58.26</v>
      </c>
      <c r="O749" t="s">
        <v>40</v>
      </c>
      <c r="P749" s="5">
        <v>46012</v>
      </c>
      <c r="Q749" s="5">
        <v>46020</v>
      </c>
      <c r="S749" t="s">
        <v>54</v>
      </c>
      <c r="T749" s="6">
        <v>4</v>
      </c>
      <c r="U749" t="s">
        <v>172</v>
      </c>
      <c r="V749" s="10">
        <v>137.4</v>
      </c>
      <c r="W749" s="10">
        <v>34.380000000000003</v>
      </c>
      <c r="X749" s="10">
        <v>44.760000000000012</v>
      </c>
      <c r="Y749" s="11">
        <v>0.32576419213973812</v>
      </c>
      <c r="Z749" s="6"/>
      <c r="AA749" t="s">
        <v>56</v>
      </c>
    </row>
    <row r="750" spans="1:27" x14ac:dyDescent="0.25">
      <c r="A750" t="s">
        <v>891</v>
      </c>
      <c r="B750">
        <v>3</v>
      </c>
      <c r="C750" s="9">
        <v>46010.897592592592</v>
      </c>
      <c r="D750" t="s">
        <v>37</v>
      </c>
      <c r="E750" t="s">
        <v>38</v>
      </c>
      <c r="F750" t="s">
        <v>30</v>
      </c>
      <c r="G750">
        <v>2317</v>
      </c>
      <c r="H750" s="6">
        <v>2</v>
      </c>
      <c r="I750" s="10">
        <v>406.64</v>
      </c>
      <c r="J750" s="10">
        <v>1108.45</v>
      </c>
      <c r="L750" s="3">
        <v>0</v>
      </c>
      <c r="M750" t="s">
        <v>39</v>
      </c>
      <c r="N750" s="10">
        <v>126.47</v>
      </c>
      <c r="O750" t="s">
        <v>62</v>
      </c>
      <c r="P750" s="5">
        <v>46012</v>
      </c>
      <c r="Q750" s="5">
        <v>46017</v>
      </c>
      <c r="R750" s="5">
        <v>46016</v>
      </c>
      <c r="S750" t="s">
        <v>33</v>
      </c>
      <c r="T750" s="6">
        <v>5</v>
      </c>
      <c r="U750" t="s">
        <v>211</v>
      </c>
      <c r="V750" s="10">
        <v>2216.9</v>
      </c>
      <c r="W750" s="10">
        <v>813.28</v>
      </c>
      <c r="X750" s="10">
        <v>1277.1500000000001</v>
      </c>
      <c r="Y750" s="11">
        <v>0.57609725292074521</v>
      </c>
      <c r="Z750" s="6">
        <v>-1</v>
      </c>
      <c r="AA750" t="s">
        <v>35</v>
      </c>
    </row>
    <row r="751" spans="1:27" x14ac:dyDescent="0.25">
      <c r="A751" t="s">
        <v>892</v>
      </c>
      <c r="B751">
        <v>5</v>
      </c>
      <c r="C751" s="9">
        <v>46010.986562500002</v>
      </c>
      <c r="D751" t="s">
        <v>177</v>
      </c>
      <c r="E751" t="s">
        <v>178</v>
      </c>
      <c r="F751" t="s">
        <v>116</v>
      </c>
      <c r="G751">
        <v>0</v>
      </c>
      <c r="H751" s="6">
        <v>3</v>
      </c>
      <c r="I751" s="10">
        <v>182</v>
      </c>
      <c r="J751" s="10">
        <v>398.37</v>
      </c>
      <c r="L751" s="3">
        <v>0</v>
      </c>
      <c r="M751" t="s">
        <v>61</v>
      </c>
      <c r="N751" s="10">
        <v>20.7</v>
      </c>
      <c r="O751" t="s">
        <v>62</v>
      </c>
      <c r="P751" s="5">
        <v>46011</v>
      </c>
      <c r="Q751" s="5">
        <v>46019</v>
      </c>
      <c r="S751" t="s">
        <v>54</v>
      </c>
      <c r="T751" s="6">
        <v>4</v>
      </c>
      <c r="U751" t="s">
        <v>172</v>
      </c>
      <c r="V751" s="10">
        <v>1195.1099999999999</v>
      </c>
      <c r="W751" s="10">
        <v>546</v>
      </c>
      <c r="X751" s="10">
        <v>628.41000000000008</v>
      </c>
      <c r="Y751" s="11">
        <v>0.52581770715666343</v>
      </c>
      <c r="Z751" s="6"/>
      <c r="AA751" t="s">
        <v>56</v>
      </c>
    </row>
    <row r="752" spans="1:27" x14ac:dyDescent="0.25">
      <c r="A752" t="s">
        <v>893</v>
      </c>
      <c r="B752">
        <v>175</v>
      </c>
      <c r="C752" s="9">
        <v>46011.963101851848</v>
      </c>
      <c r="D752" t="s">
        <v>86</v>
      </c>
      <c r="E752" t="s">
        <v>87</v>
      </c>
      <c r="F752" t="s">
        <v>45</v>
      </c>
      <c r="G752">
        <v>0</v>
      </c>
      <c r="H752" s="6">
        <v>2</v>
      </c>
      <c r="I752" s="10">
        <v>99.59</v>
      </c>
      <c r="J752" s="10">
        <v>199.21</v>
      </c>
      <c r="L752" s="3">
        <v>0</v>
      </c>
      <c r="M752" t="s">
        <v>61</v>
      </c>
      <c r="N752" s="10">
        <v>22.56</v>
      </c>
      <c r="O752" t="s">
        <v>97</v>
      </c>
      <c r="P752" s="5">
        <v>46012</v>
      </c>
      <c r="Q752" s="5">
        <v>46017</v>
      </c>
      <c r="R752" s="5">
        <v>46016</v>
      </c>
      <c r="S752" t="s">
        <v>33</v>
      </c>
      <c r="T752" s="6">
        <v>4</v>
      </c>
      <c r="U752" t="s">
        <v>79</v>
      </c>
      <c r="V752" s="10">
        <v>398.42</v>
      </c>
      <c r="W752" s="10">
        <v>199.18</v>
      </c>
      <c r="X752" s="10">
        <v>176.68</v>
      </c>
      <c r="Y752" s="11">
        <v>0.4434516339541188</v>
      </c>
      <c r="Z752" s="6">
        <v>-1</v>
      </c>
      <c r="AA752" t="s">
        <v>35</v>
      </c>
    </row>
    <row r="753" spans="1:27" x14ac:dyDescent="0.25">
      <c r="A753" t="s">
        <v>894</v>
      </c>
      <c r="B753">
        <v>199</v>
      </c>
      <c r="C753" s="9">
        <v>46012.303784722222</v>
      </c>
      <c r="D753" t="s">
        <v>81</v>
      </c>
      <c r="E753" t="s">
        <v>82</v>
      </c>
      <c r="F753" t="s">
        <v>45</v>
      </c>
      <c r="G753">
        <v>0</v>
      </c>
      <c r="H753" s="6">
        <v>2</v>
      </c>
      <c r="I753" s="10">
        <v>33.18</v>
      </c>
      <c r="J753" s="10">
        <v>66.599999999999994</v>
      </c>
      <c r="L753" s="3">
        <v>0</v>
      </c>
      <c r="M753" t="s">
        <v>76</v>
      </c>
      <c r="N753" s="10">
        <v>16.350000000000001</v>
      </c>
      <c r="O753" t="s">
        <v>62</v>
      </c>
      <c r="P753" s="5">
        <v>46013</v>
      </c>
      <c r="Q753" s="5">
        <v>46023</v>
      </c>
      <c r="R753" s="5">
        <v>46017</v>
      </c>
      <c r="S753" t="s">
        <v>33</v>
      </c>
      <c r="T753" s="6">
        <v>5</v>
      </c>
      <c r="U753" t="s">
        <v>119</v>
      </c>
      <c r="V753" s="10">
        <v>133.19999999999999</v>
      </c>
      <c r="W753" s="10">
        <v>66.36</v>
      </c>
      <c r="X753" s="10">
        <v>50.489999999999988</v>
      </c>
      <c r="Y753" s="11">
        <v>0.37905405405405401</v>
      </c>
      <c r="Z753" s="6">
        <v>-6</v>
      </c>
      <c r="AA753" t="s">
        <v>35</v>
      </c>
    </row>
    <row r="754" spans="1:27" x14ac:dyDescent="0.25">
      <c r="A754" t="s">
        <v>895</v>
      </c>
      <c r="B754">
        <v>169</v>
      </c>
      <c r="C754" s="9">
        <v>46012.725266203714</v>
      </c>
      <c r="D754" t="s">
        <v>137</v>
      </c>
      <c r="E754" t="s">
        <v>138</v>
      </c>
      <c r="F754" t="s">
        <v>52</v>
      </c>
      <c r="G754">
        <v>318</v>
      </c>
      <c r="H754" s="6">
        <v>2</v>
      </c>
      <c r="I754" s="10">
        <v>68.819999999999993</v>
      </c>
      <c r="J754" s="10">
        <v>134.65</v>
      </c>
      <c r="L754" s="3">
        <v>0</v>
      </c>
      <c r="M754" t="s">
        <v>76</v>
      </c>
      <c r="N754" s="10">
        <v>28.97</v>
      </c>
      <c r="O754" t="s">
        <v>99</v>
      </c>
      <c r="P754" s="5">
        <v>46013</v>
      </c>
      <c r="Q754" s="5">
        <v>46023</v>
      </c>
      <c r="R754" s="5">
        <v>46028</v>
      </c>
      <c r="S754" t="s">
        <v>33</v>
      </c>
      <c r="T754" s="6">
        <v>2</v>
      </c>
      <c r="U754" t="s">
        <v>185</v>
      </c>
      <c r="V754" s="10">
        <v>269.3</v>
      </c>
      <c r="W754" s="10">
        <v>137.63999999999999</v>
      </c>
      <c r="X754" s="10">
        <v>102.69</v>
      </c>
      <c r="Y754" s="11">
        <v>0.38132194578536949</v>
      </c>
      <c r="Z754" s="6">
        <v>5</v>
      </c>
      <c r="AA754" t="s">
        <v>103</v>
      </c>
    </row>
    <row r="755" spans="1:27" x14ac:dyDescent="0.25">
      <c r="A755" t="s">
        <v>896</v>
      </c>
      <c r="B755">
        <v>127</v>
      </c>
      <c r="C755" s="9">
        <v>46012.887476851851</v>
      </c>
      <c r="D755" t="s">
        <v>74</v>
      </c>
      <c r="E755" t="s">
        <v>75</v>
      </c>
      <c r="F755" t="s">
        <v>30</v>
      </c>
      <c r="G755">
        <v>2724</v>
      </c>
      <c r="H755" s="6">
        <v>2</v>
      </c>
      <c r="I755" s="10">
        <v>2375.88</v>
      </c>
      <c r="J755" s="10">
        <v>4658.83</v>
      </c>
      <c r="K755" t="s">
        <v>46</v>
      </c>
      <c r="L755" s="3">
        <v>0.1</v>
      </c>
      <c r="M755" t="s">
        <v>61</v>
      </c>
      <c r="N755" s="10">
        <v>124.43</v>
      </c>
      <c r="O755" t="s">
        <v>40</v>
      </c>
      <c r="P755" s="5">
        <v>46014</v>
      </c>
      <c r="Q755" s="5">
        <v>46024</v>
      </c>
      <c r="S755" t="s">
        <v>63</v>
      </c>
      <c r="T755" s="6">
        <v>1</v>
      </c>
      <c r="U755" t="s">
        <v>180</v>
      </c>
      <c r="V755" s="10">
        <v>8385.8940000000002</v>
      </c>
      <c r="W755" s="10">
        <v>4751.76</v>
      </c>
      <c r="X755" s="10">
        <v>3509.7040000000002</v>
      </c>
      <c r="Y755" s="11">
        <v>0.41852472735763169</v>
      </c>
      <c r="Z755" s="6"/>
      <c r="AA755" t="s">
        <v>56</v>
      </c>
    </row>
    <row r="756" spans="1:27" x14ac:dyDescent="0.25">
      <c r="A756" t="s">
        <v>897</v>
      </c>
      <c r="B756">
        <v>120</v>
      </c>
      <c r="C756" s="9">
        <v>46013.311736111107</v>
      </c>
      <c r="D756" t="s">
        <v>71</v>
      </c>
      <c r="E756" t="s">
        <v>72</v>
      </c>
      <c r="F756" t="s">
        <v>52</v>
      </c>
      <c r="G756">
        <v>229</v>
      </c>
      <c r="H756" s="6">
        <v>2</v>
      </c>
      <c r="I756" s="10">
        <v>75.650000000000006</v>
      </c>
      <c r="J756" s="10">
        <v>139.41</v>
      </c>
      <c r="K756" t="s">
        <v>46</v>
      </c>
      <c r="L756" s="3">
        <v>0.1</v>
      </c>
      <c r="M756" t="s">
        <v>76</v>
      </c>
      <c r="N756" s="10">
        <v>51.37</v>
      </c>
      <c r="O756" t="s">
        <v>97</v>
      </c>
      <c r="P756" s="5">
        <v>46014</v>
      </c>
      <c r="Q756" s="5">
        <v>46021</v>
      </c>
      <c r="R756" s="5">
        <v>46019</v>
      </c>
      <c r="S756" t="s">
        <v>33</v>
      </c>
      <c r="T756" s="6">
        <v>5</v>
      </c>
      <c r="U756" t="s">
        <v>69</v>
      </c>
      <c r="V756" s="10">
        <v>250.93799999999999</v>
      </c>
      <c r="W756" s="10">
        <v>151.30000000000001</v>
      </c>
      <c r="X756" s="10">
        <v>48.267999999999979</v>
      </c>
      <c r="Y756" s="11">
        <v>0.1923503016681411</v>
      </c>
      <c r="Z756" s="6">
        <v>-2</v>
      </c>
      <c r="AA756" t="s">
        <v>35</v>
      </c>
    </row>
    <row r="757" spans="1:27" x14ac:dyDescent="0.25">
      <c r="A757" t="s">
        <v>898</v>
      </c>
      <c r="B757">
        <v>16</v>
      </c>
      <c r="C757" s="9">
        <v>46013.635254629633</v>
      </c>
      <c r="D757" t="s">
        <v>92</v>
      </c>
      <c r="E757" t="s">
        <v>93</v>
      </c>
      <c r="F757" t="s">
        <v>52</v>
      </c>
      <c r="G757">
        <v>261</v>
      </c>
      <c r="H757" s="6">
        <v>2</v>
      </c>
      <c r="I757" s="10">
        <v>28.92</v>
      </c>
      <c r="J757" s="10">
        <v>85.85</v>
      </c>
      <c r="K757" t="s">
        <v>60</v>
      </c>
      <c r="L757" s="3">
        <v>0.2</v>
      </c>
      <c r="M757" t="s">
        <v>31</v>
      </c>
      <c r="N757" s="10">
        <v>47.52</v>
      </c>
      <c r="O757" t="s">
        <v>47</v>
      </c>
      <c r="P757" s="5">
        <v>46015</v>
      </c>
      <c r="Q757" s="5">
        <v>46021</v>
      </c>
      <c r="R757" s="5">
        <v>46017</v>
      </c>
      <c r="S757" t="s">
        <v>33</v>
      </c>
      <c r="T757" s="6">
        <v>5</v>
      </c>
      <c r="U757" t="s">
        <v>112</v>
      </c>
      <c r="V757" s="10">
        <v>137.36000000000001</v>
      </c>
      <c r="W757" s="10">
        <v>57.84</v>
      </c>
      <c r="X757" s="10">
        <v>31.999999999999979</v>
      </c>
      <c r="Y757" s="11">
        <v>0.23296447291787989</v>
      </c>
      <c r="Z757" s="6">
        <v>-4</v>
      </c>
      <c r="AA757" t="s">
        <v>35</v>
      </c>
    </row>
    <row r="758" spans="1:27" x14ac:dyDescent="0.25">
      <c r="A758" t="s">
        <v>899</v>
      </c>
      <c r="B758">
        <v>55</v>
      </c>
      <c r="C758" s="9">
        <v>46014.168564814812</v>
      </c>
      <c r="D758" t="s">
        <v>37</v>
      </c>
      <c r="E758" t="s">
        <v>38</v>
      </c>
      <c r="F758" t="s">
        <v>30</v>
      </c>
      <c r="G758">
        <v>2134</v>
      </c>
      <c r="H758" s="6">
        <v>3</v>
      </c>
      <c r="I758" s="10">
        <v>798.45</v>
      </c>
      <c r="J758" s="10">
        <v>1372.01</v>
      </c>
      <c r="K758" t="s">
        <v>60</v>
      </c>
      <c r="L758" s="3">
        <v>0.2</v>
      </c>
      <c r="M758" t="s">
        <v>31</v>
      </c>
      <c r="N758" s="10">
        <v>125.55</v>
      </c>
      <c r="O758" t="s">
        <v>40</v>
      </c>
      <c r="P758" s="5">
        <v>46015</v>
      </c>
      <c r="Q758" s="5">
        <v>46022</v>
      </c>
      <c r="R758" s="5">
        <v>46019</v>
      </c>
      <c r="S758" t="s">
        <v>33</v>
      </c>
      <c r="T758" s="6">
        <v>4</v>
      </c>
      <c r="U758" t="s">
        <v>119</v>
      </c>
      <c r="V758" s="10">
        <v>3292.8240000000001</v>
      </c>
      <c r="W758" s="10">
        <v>2395.35</v>
      </c>
      <c r="X758" s="10">
        <v>771.92399999999975</v>
      </c>
      <c r="Y758" s="11">
        <v>0.23442613392030659</v>
      </c>
      <c r="Z758" s="6">
        <v>-3</v>
      </c>
      <c r="AA758" t="s">
        <v>35</v>
      </c>
    </row>
    <row r="759" spans="1:27" x14ac:dyDescent="0.25">
      <c r="A759" t="s">
        <v>900</v>
      </c>
      <c r="B759">
        <v>2</v>
      </c>
      <c r="C759" s="9">
        <v>46014.325358796297</v>
      </c>
      <c r="D759" t="s">
        <v>177</v>
      </c>
      <c r="E759" t="s">
        <v>178</v>
      </c>
      <c r="F759" t="s">
        <v>116</v>
      </c>
      <c r="G759">
        <v>0</v>
      </c>
      <c r="H759" s="6">
        <v>1</v>
      </c>
      <c r="I759" s="10">
        <v>311.35000000000002</v>
      </c>
      <c r="J759" s="10">
        <v>528.82000000000005</v>
      </c>
      <c r="L759" s="3">
        <v>0</v>
      </c>
      <c r="M759" t="s">
        <v>39</v>
      </c>
      <c r="N759" s="10">
        <v>20.74</v>
      </c>
      <c r="O759" t="s">
        <v>97</v>
      </c>
      <c r="P759" s="5">
        <v>46016</v>
      </c>
      <c r="Q759" s="5">
        <v>46026</v>
      </c>
      <c r="S759" t="s">
        <v>54</v>
      </c>
      <c r="T759" s="6">
        <v>3</v>
      </c>
      <c r="U759" t="s">
        <v>230</v>
      </c>
      <c r="V759" s="10">
        <v>528.82000000000005</v>
      </c>
      <c r="W759" s="10">
        <v>311.35000000000002</v>
      </c>
      <c r="X759" s="10">
        <v>196.73</v>
      </c>
      <c r="Y759" s="11">
        <v>0.37201694338338193</v>
      </c>
      <c r="Z759" s="6"/>
      <c r="AA759" t="s">
        <v>56</v>
      </c>
    </row>
    <row r="760" spans="1:27" x14ac:dyDescent="0.25">
      <c r="A760" t="s">
        <v>901</v>
      </c>
      <c r="B760">
        <v>56</v>
      </c>
      <c r="C760" s="9">
        <v>46014.449374999997</v>
      </c>
      <c r="D760" t="s">
        <v>123</v>
      </c>
      <c r="E760" t="s">
        <v>124</v>
      </c>
      <c r="F760" t="s">
        <v>45</v>
      </c>
      <c r="G760">
        <v>0</v>
      </c>
      <c r="H760" s="6">
        <v>2</v>
      </c>
      <c r="I760" s="10">
        <v>241.05</v>
      </c>
      <c r="J760" s="10">
        <v>330.82</v>
      </c>
      <c r="K760" t="s">
        <v>46</v>
      </c>
      <c r="L760" s="3">
        <v>0.1</v>
      </c>
      <c r="M760" t="s">
        <v>76</v>
      </c>
      <c r="N760" s="10">
        <v>19.02</v>
      </c>
      <c r="O760" t="s">
        <v>53</v>
      </c>
      <c r="P760" s="5">
        <v>46016</v>
      </c>
      <c r="Q760" s="5">
        <v>46023</v>
      </c>
      <c r="S760" t="s">
        <v>54</v>
      </c>
      <c r="T760" s="6">
        <v>2</v>
      </c>
      <c r="U760" t="s">
        <v>129</v>
      </c>
      <c r="V760" s="10">
        <v>595.476</v>
      </c>
      <c r="W760" s="10">
        <v>482.1</v>
      </c>
      <c r="X760" s="10">
        <v>94.35599999999998</v>
      </c>
      <c r="Y760" s="11">
        <v>0.15845474880599719</v>
      </c>
      <c r="Z760" s="6"/>
      <c r="AA760" t="s">
        <v>56</v>
      </c>
    </row>
    <row r="761" spans="1:27" x14ac:dyDescent="0.25">
      <c r="A761" t="s">
        <v>902</v>
      </c>
      <c r="B761">
        <v>89</v>
      </c>
      <c r="C761" s="9">
        <v>46014.513437499998</v>
      </c>
      <c r="D761" t="s">
        <v>66</v>
      </c>
      <c r="E761" t="s">
        <v>67</v>
      </c>
      <c r="F761" t="s">
        <v>52</v>
      </c>
      <c r="G761">
        <v>295</v>
      </c>
      <c r="H761" s="6">
        <v>3</v>
      </c>
      <c r="I761" s="10">
        <v>78.44</v>
      </c>
      <c r="J761" s="10">
        <v>138.24</v>
      </c>
      <c r="L761" s="3">
        <v>0</v>
      </c>
      <c r="M761" t="s">
        <v>31</v>
      </c>
      <c r="N761" s="10">
        <v>37.39</v>
      </c>
      <c r="O761" t="s">
        <v>53</v>
      </c>
      <c r="P761" s="5">
        <v>46015</v>
      </c>
      <c r="Q761" s="5">
        <v>46020</v>
      </c>
      <c r="R761" s="5">
        <v>46025</v>
      </c>
      <c r="S761" t="s">
        <v>33</v>
      </c>
      <c r="T761" s="6">
        <v>3</v>
      </c>
      <c r="U761" t="s">
        <v>238</v>
      </c>
      <c r="V761" s="10">
        <v>414.72</v>
      </c>
      <c r="W761" s="10">
        <v>235.32</v>
      </c>
      <c r="X761" s="10">
        <v>142.01</v>
      </c>
      <c r="Y761" s="11">
        <v>0.34242380401234579</v>
      </c>
      <c r="Z761" s="6">
        <v>5</v>
      </c>
      <c r="AA761" t="s">
        <v>103</v>
      </c>
    </row>
    <row r="762" spans="1:27" x14ac:dyDescent="0.25">
      <c r="A762" t="s">
        <v>903</v>
      </c>
      <c r="B762">
        <v>122</v>
      </c>
      <c r="C762" s="9">
        <v>46014.542951388888</v>
      </c>
      <c r="D762" t="s">
        <v>37</v>
      </c>
      <c r="E762" t="s">
        <v>38</v>
      </c>
      <c r="F762" t="s">
        <v>30</v>
      </c>
      <c r="G762">
        <v>2050</v>
      </c>
      <c r="H762" s="6">
        <v>3</v>
      </c>
      <c r="I762" s="10">
        <v>552.22</v>
      </c>
      <c r="J762" s="10">
        <v>1192.06</v>
      </c>
      <c r="K762" t="s">
        <v>60</v>
      </c>
      <c r="L762" s="3">
        <v>0.2</v>
      </c>
      <c r="M762" t="s">
        <v>61</v>
      </c>
      <c r="N762" s="10">
        <v>129.32</v>
      </c>
      <c r="O762" t="s">
        <v>99</v>
      </c>
      <c r="P762" s="5">
        <v>46016</v>
      </c>
      <c r="Q762" s="5">
        <v>46022</v>
      </c>
      <c r="R762" s="5">
        <v>46018</v>
      </c>
      <c r="S762" t="s">
        <v>33</v>
      </c>
      <c r="T762" s="6">
        <v>5</v>
      </c>
      <c r="U762" t="s">
        <v>48</v>
      </c>
      <c r="V762" s="10">
        <v>2860.944</v>
      </c>
      <c r="W762" s="10">
        <v>1656.66</v>
      </c>
      <c r="X762" s="10">
        <v>1074.9639999999999</v>
      </c>
      <c r="Y762" s="11">
        <v>0.37573751880498191</v>
      </c>
      <c r="Z762" s="6">
        <v>-4</v>
      </c>
      <c r="AA762" t="s">
        <v>35</v>
      </c>
    </row>
    <row r="763" spans="1:27" x14ac:dyDescent="0.25">
      <c r="A763" t="s">
        <v>904</v>
      </c>
      <c r="B763">
        <v>200</v>
      </c>
      <c r="C763" s="9">
        <v>46014.658692129633</v>
      </c>
      <c r="D763" t="s">
        <v>177</v>
      </c>
      <c r="E763" t="s">
        <v>178</v>
      </c>
      <c r="F763" t="s">
        <v>116</v>
      </c>
      <c r="G763">
        <v>0</v>
      </c>
      <c r="H763" s="6">
        <v>3</v>
      </c>
      <c r="I763" s="10">
        <v>288.79000000000002</v>
      </c>
      <c r="J763" s="10">
        <v>553.47</v>
      </c>
      <c r="K763" t="s">
        <v>46</v>
      </c>
      <c r="L763" s="3">
        <v>0.1</v>
      </c>
      <c r="M763" t="s">
        <v>76</v>
      </c>
      <c r="N763" s="10">
        <v>15.29</v>
      </c>
      <c r="O763" t="s">
        <v>99</v>
      </c>
      <c r="P763" s="5">
        <v>46016</v>
      </c>
      <c r="Q763" s="5">
        <v>46022</v>
      </c>
      <c r="R763" s="5">
        <v>46018</v>
      </c>
      <c r="S763" t="s">
        <v>33</v>
      </c>
      <c r="T763" s="6">
        <v>4</v>
      </c>
      <c r="U763" t="s">
        <v>34</v>
      </c>
      <c r="V763" s="10">
        <v>1494.3689999999999</v>
      </c>
      <c r="W763" s="10">
        <v>866.37000000000012</v>
      </c>
      <c r="X763" s="10">
        <v>612.70900000000006</v>
      </c>
      <c r="Y763" s="11">
        <v>0.41001185115590588</v>
      </c>
      <c r="Z763" s="6">
        <v>-4</v>
      </c>
      <c r="AA763" t="s">
        <v>35</v>
      </c>
    </row>
    <row r="764" spans="1:27" x14ac:dyDescent="0.25">
      <c r="A764" t="s">
        <v>905</v>
      </c>
      <c r="B764">
        <v>184</v>
      </c>
      <c r="C764" s="9">
        <v>46014.663842592592</v>
      </c>
      <c r="D764" t="s">
        <v>89</v>
      </c>
      <c r="E764" t="s">
        <v>90</v>
      </c>
      <c r="F764" t="s">
        <v>52</v>
      </c>
      <c r="G764">
        <v>299</v>
      </c>
      <c r="H764" s="6">
        <v>3</v>
      </c>
      <c r="I764" s="10">
        <v>74.650000000000006</v>
      </c>
      <c r="J764" s="10">
        <v>189.28</v>
      </c>
      <c r="L764" s="3">
        <v>0</v>
      </c>
      <c r="M764" t="s">
        <v>61</v>
      </c>
      <c r="N764" s="10">
        <v>26.02</v>
      </c>
      <c r="O764" t="s">
        <v>62</v>
      </c>
      <c r="P764" s="5">
        <v>46016</v>
      </c>
      <c r="Q764" s="5">
        <v>46022</v>
      </c>
      <c r="R764" s="5">
        <v>46022</v>
      </c>
      <c r="S764" t="s">
        <v>33</v>
      </c>
      <c r="T764" s="6">
        <v>4</v>
      </c>
      <c r="U764" t="s">
        <v>117</v>
      </c>
      <c r="V764" s="10">
        <v>567.84</v>
      </c>
      <c r="W764" s="10">
        <v>223.95</v>
      </c>
      <c r="X764" s="10">
        <v>317.87</v>
      </c>
      <c r="Y764" s="11">
        <v>0.55978796844181455</v>
      </c>
      <c r="Z764" s="6">
        <v>0</v>
      </c>
      <c r="AA764" t="s">
        <v>35</v>
      </c>
    </row>
    <row r="765" spans="1:27" x14ac:dyDescent="0.25">
      <c r="A765" t="s">
        <v>906</v>
      </c>
      <c r="B765">
        <v>86</v>
      </c>
      <c r="C765" s="9">
        <v>46015.024224537039</v>
      </c>
      <c r="D765" t="s">
        <v>66</v>
      </c>
      <c r="E765" t="s">
        <v>67</v>
      </c>
      <c r="F765" t="s">
        <v>52</v>
      </c>
      <c r="G765">
        <v>256</v>
      </c>
      <c r="H765" s="6">
        <v>1</v>
      </c>
      <c r="I765" s="10">
        <v>59.88</v>
      </c>
      <c r="J765" s="10">
        <v>79.75</v>
      </c>
      <c r="L765" s="3">
        <v>0</v>
      </c>
      <c r="M765" t="s">
        <v>76</v>
      </c>
      <c r="N765" s="10">
        <v>45.75</v>
      </c>
      <c r="O765" t="s">
        <v>99</v>
      </c>
      <c r="P765" s="5">
        <v>46016</v>
      </c>
      <c r="Q765" s="5">
        <v>46023</v>
      </c>
      <c r="S765" t="s">
        <v>63</v>
      </c>
      <c r="T765" s="6">
        <v>2</v>
      </c>
      <c r="U765" t="s">
        <v>258</v>
      </c>
      <c r="V765" s="10">
        <v>79.75</v>
      </c>
      <c r="W765" s="10">
        <v>59.88</v>
      </c>
      <c r="X765" s="10">
        <v>-25.88</v>
      </c>
      <c r="Y765" s="11">
        <v>-0.32451410658307211</v>
      </c>
      <c r="Z765" s="6"/>
      <c r="AA765" t="s">
        <v>56</v>
      </c>
    </row>
    <row r="766" spans="1:27" x14ac:dyDescent="0.25">
      <c r="A766" t="s">
        <v>907</v>
      </c>
      <c r="B766">
        <v>103</v>
      </c>
      <c r="C766" s="9">
        <v>46015.082407407397</v>
      </c>
      <c r="D766" t="s">
        <v>71</v>
      </c>
      <c r="E766" t="s">
        <v>72</v>
      </c>
      <c r="F766" t="s">
        <v>52</v>
      </c>
      <c r="G766">
        <v>204</v>
      </c>
      <c r="H766" s="6">
        <v>1</v>
      </c>
      <c r="I766" s="10">
        <v>58.81</v>
      </c>
      <c r="J766" s="10">
        <v>147.38</v>
      </c>
      <c r="K766" t="s">
        <v>46</v>
      </c>
      <c r="L766" s="3">
        <v>0.1</v>
      </c>
      <c r="M766" t="s">
        <v>76</v>
      </c>
      <c r="N766" s="10">
        <v>34.72</v>
      </c>
      <c r="O766" t="s">
        <v>40</v>
      </c>
      <c r="P766" s="5">
        <v>46016</v>
      </c>
      <c r="Q766" s="5">
        <v>46026</v>
      </c>
      <c r="S766" t="s">
        <v>54</v>
      </c>
      <c r="T766" s="6">
        <v>4</v>
      </c>
      <c r="U766" t="s">
        <v>166</v>
      </c>
      <c r="V766" s="10">
        <v>132.642</v>
      </c>
      <c r="W766" s="10">
        <v>58.81</v>
      </c>
      <c r="X766" s="10">
        <v>39.111999999999988</v>
      </c>
      <c r="Y766" s="11">
        <v>0.2948688952217246</v>
      </c>
      <c r="Z766" s="6"/>
      <c r="AA766" t="s">
        <v>56</v>
      </c>
    </row>
    <row r="767" spans="1:27" x14ac:dyDescent="0.25">
      <c r="A767" t="s">
        <v>908</v>
      </c>
      <c r="B767">
        <v>69</v>
      </c>
      <c r="C767" s="9">
        <v>46015.510659722233</v>
      </c>
      <c r="D767" t="s">
        <v>58</v>
      </c>
      <c r="E767" t="s">
        <v>59</v>
      </c>
      <c r="F767" t="s">
        <v>30</v>
      </c>
      <c r="G767">
        <v>4075</v>
      </c>
      <c r="H767" s="6">
        <v>3</v>
      </c>
      <c r="I767" s="10">
        <v>493.53</v>
      </c>
      <c r="J767" s="10">
        <v>631.30999999999995</v>
      </c>
      <c r="L767" s="3">
        <v>0</v>
      </c>
      <c r="M767" t="s">
        <v>31</v>
      </c>
      <c r="N767" s="10">
        <v>58.96</v>
      </c>
      <c r="O767" t="s">
        <v>47</v>
      </c>
      <c r="P767" s="5">
        <v>46016</v>
      </c>
      <c r="Q767" s="5">
        <v>46026</v>
      </c>
      <c r="R767" s="5">
        <v>46024</v>
      </c>
      <c r="S767" t="s">
        <v>33</v>
      </c>
      <c r="T767" s="6">
        <v>4</v>
      </c>
      <c r="U767" t="s">
        <v>79</v>
      </c>
      <c r="V767" s="10">
        <v>1893.93</v>
      </c>
      <c r="W767" s="10">
        <v>1480.59</v>
      </c>
      <c r="X767" s="10">
        <v>354.37999999999988</v>
      </c>
      <c r="Y767" s="11">
        <v>0.18711356808329771</v>
      </c>
      <c r="Z767" s="6">
        <v>-2</v>
      </c>
      <c r="AA767" t="s">
        <v>35</v>
      </c>
    </row>
    <row r="768" spans="1:27" x14ac:dyDescent="0.25">
      <c r="A768" t="s">
        <v>909</v>
      </c>
      <c r="B768">
        <v>175</v>
      </c>
      <c r="C768" s="9">
        <v>46016.488113425927</v>
      </c>
      <c r="D768" t="s">
        <v>155</v>
      </c>
      <c r="E768" t="s">
        <v>156</v>
      </c>
      <c r="F768" t="s">
        <v>30</v>
      </c>
      <c r="G768">
        <v>4577</v>
      </c>
      <c r="H768" s="6">
        <v>1</v>
      </c>
      <c r="I768" s="10">
        <v>1188.3</v>
      </c>
      <c r="J768" s="10">
        <v>1485.23</v>
      </c>
      <c r="K768" t="s">
        <v>46</v>
      </c>
      <c r="L768" s="3">
        <v>0.1</v>
      </c>
      <c r="M768" t="s">
        <v>39</v>
      </c>
      <c r="N768" s="10">
        <v>97.57</v>
      </c>
      <c r="O768" t="s">
        <v>47</v>
      </c>
      <c r="P768" s="5">
        <v>46017</v>
      </c>
      <c r="Q768" s="5">
        <v>46024</v>
      </c>
      <c r="R768" s="5">
        <v>46019</v>
      </c>
      <c r="S768" t="s">
        <v>33</v>
      </c>
      <c r="T768" s="6">
        <v>5</v>
      </c>
      <c r="U768" t="s">
        <v>117</v>
      </c>
      <c r="V768" s="10">
        <v>1336.7070000000001</v>
      </c>
      <c r="W768" s="10">
        <v>1188.3</v>
      </c>
      <c r="X768" s="10">
        <v>50.83700000000016</v>
      </c>
      <c r="Y768" s="11">
        <v>3.8031520744635998E-2</v>
      </c>
      <c r="Z768" s="6">
        <v>-5</v>
      </c>
      <c r="AA768" t="s">
        <v>35</v>
      </c>
    </row>
    <row r="769" spans="1:27" x14ac:dyDescent="0.25">
      <c r="A769" t="s">
        <v>910</v>
      </c>
      <c r="B769">
        <v>95</v>
      </c>
      <c r="C769" s="9">
        <v>46016.625763888893</v>
      </c>
      <c r="D769" t="s">
        <v>50</v>
      </c>
      <c r="E769" t="s">
        <v>51</v>
      </c>
      <c r="F769" t="s">
        <v>52</v>
      </c>
      <c r="G769">
        <v>796</v>
      </c>
      <c r="H769" s="6">
        <v>3</v>
      </c>
      <c r="I769" s="10">
        <v>126.09</v>
      </c>
      <c r="J769" s="10">
        <v>229.35</v>
      </c>
      <c r="K769" t="s">
        <v>46</v>
      </c>
      <c r="L769" s="3">
        <v>0.1</v>
      </c>
      <c r="M769" t="s">
        <v>31</v>
      </c>
      <c r="N769" s="10">
        <v>58.27</v>
      </c>
      <c r="O769" t="s">
        <v>47</v>
      </c>
      <c r="P769" s="5">
        <v>46017</v>
      </c>
      <c r="Q769" s="5">
        <v>46025</v>
      </c>
      <c r="R769" s="5">
        <v>46029</v>
      </c>
      <c r="S769" t="s">
        <v>33</v>
      </c>
      <c r="T769" s="6">
        <v>3</v>
      </c>
      <c r="U769" t="s">
        <v>146</v>
      </c>
      <c r="V769" s="10">
        <v>619.245</v>
      </c>
      <c r="W769" s="10">
        <v>378.27</v>
      </c>
      <c r="X769" s="10">
        <v>182.70500000000001</v>
      </c>
      <c r="Y769" s="11">
        <v>0.29504477226299769</v>
      </c>
      <c r="Z769" s="6">
        <v>4</v>
      </c>
      <c r="AA769" t="s">
        <v>103</v>
      </c>
    </row>
    <row r="770" spans="1:27" x14ac:dyDescent="0.25">
      <c r="A770" t="s">
        <v>911</v>
      </c>
      <c r="B770">
        <v>53</v>
      </c>
      <c r="C770" s="9">
        <v>46017.064351851863</v>
      </c>
      <c r="D770" t="s">
        <v>123</v>
      </c>
      <c r="E770" t="s">
        <v>124</v>
      </c>
      <c r="F770" t="s">
        <v>45</v>
      </c>
      <c r="G770">
        <v>0</v>
      </c>
      <c r="H770" s="6">
        <v>3</v>
      </c>
      <c r="I770" s="10">
        <v>107.25</v>
      </c>
      <c r="J770" s="10">
        <v>471.32</v>
      </c>
      <c r="L770" s="3">
        <v>0</v>
      </c>
      <c r="M770" t="s">
        <v>76</v>
      </c>
      <c r="N770" s="10">
        <v>28.49</v>
      </c>
      <c r="O770" t="s">
        <v>53</v>
      </c>
      <c r="P770" s="5">
        <v>46018</v>
      </c>
      <c r="Q770" s="5">
        <v>46025</v>
      </c>
      <c r="R770" s="5">
        <v>46025</v>
      </c>
      <c r="S770" t="s">
        <v>33</v>
      </c>
      <c r="T770" s="6">
        <v>4</v>
      </c>
      <c r="U770" t="s">
        <v>172</v>
      </c>
      <c r="V770" s="10">
        <v>1413.96</v>
      </c>
      <c r="W770" s="10">
        <v>321.75</v>
      </c>
      <c r="X770" s="10">
        <v>1063.72</v>
      </c>
      <c r="Y770" s="11">
        <v>0.75229850915160257</v>
      </c>
      <c r="Z770" s="6">
        <v>0</v>
      </c>
      <c r="AA770" t="s">
        <v>35</v>
      </c>
    </row>
    <row r="771" spans="1:27" x14ac:dyDescent="0.25">
      <c r="A771" t="s">
        <v>912</v>
      </c>
      <c r="B771">
        <v>23</v>
      </c>
      <c r="C771" s="9">
        <v>46017.229039351849</v>
      </c>
      <c r="D771" t="s">
        <v>123</v>
      </c>
      <c r="E771" t="s">
        <v>124</v>
      </c>
      <c r="F771" t="s">
        <v>45</v>
      </c>
      <c r="G771">
        <v>0</v>
      </c>
      <c r="H771" s="6">
        <v>1</v>
      </c>
      <c r="I771" s="10">
        <v>286.77999999999997</v>
      </c>
      <c r="J771" s="10">
        <v>441.02</v>
      </c>
      <c r="K771" t="s">
        <v>46</v>
      </c>
      <c r="L771" s="3">
        <v>0.1</v>
      </c>
      <c r="M771" t="s">
        <v>31</v>
      </c>
      <c r="N771" s="10">
        <v>16.809999999999999</v>
      </c>
      <c r="O771" t="s">
        <v>53</v>
      </c>
      <c r="P771" s="5">
        <v>46019</v>
      </c>
      <c r="Q771" s="5">
        <v>46029</v>
      </c>
      <c r="S771" t="s">
        <v>54</v>
      </c>
      <c r="T771" s="6">
        <v>2</v>
      </c>
      <c r="U771" t="s">
        <v>131</v>
      </c>
      <c r="V771" s="10">
        <v>396.91800000000001</v>
      </c>
      <c r="W771" s="10">
        <v>286.77999999999997</v>
      </c>
      <c r="X771" s="10">
        <v>93.328000000000031</v>
      </c>
      <c r="Y771" s="11">
        <v>0.23513168966889891</v>
      </c>
      <c r="Z771" s="6"/>
      <c r="AA771" t="s">
        <v>56</v>
      </c>
    </row>
    <row r="772" spans="1:27" x14ac:dyDescent="0.25">
      <c r="A772" t="s">
        <v>913</v>
      </c>
      <c r="B772">
        <v>156</v>
      </c>
      <c r="C772" s="9">
        <v>46017.427152777767</v>
      </c>
      <c r="D772" t="s">
        <v>50</v>
      </c>
      <c r="E772" t="s">
        <v>51</v>
      </c>
      <c r="F772" t="s">
        <v>52</v>
      </c>
      <c r="G772">
        <v>722</v>
      </c>
      <c r="H772" s="6">
        <v>1</v>
      </c>
      <c r="I772" s="10">
        <v>90.04</v>
      </c>
      <c r="J772" s="10">
        <v>329.57</v>
      </c>
      <c r="K772" t="s">
        <v>46</v>
      </c>
      <c r="L772" s="3">
        <v>0.1</v>
      </c>
      <c r="M772" t="s">
        <v>39</v>
      </c>
      <c r="N772" s="10">
        <v>52.06</v>
      </c>
      <c r="O772" t="s">
        <v>40</v>
      </c>
      <c r="P772" s="5">
        <v>46018</v>
      </c>
      <c r="Q772" s="5">
        <v>46026</v>
      </c>
      <c r="R772" s="5">
        <v>46030</v>
      </c>
      <c r="S772" t="s">
        <v>33</v>
      </c>
      <c r="T772" s="6">
        <v>1</v>
      </c>
      <c r="U772" t="s">
        <v>180</v>
      </c>
      <c r="V772" s="10">
        <v>296.613</v>
      </c>
      <c r="W772" s="10">
        <v>90.04</v>
      </c>
      <c r="X772" s="10">
        <v>154.51300000000001</v>
      </c>
      <c r="Y772" s="11">
        <v>0.52092457174837237</v>
      </c>
      <c r="Z772" s="6">
        <v>4</v>
      </c>
      <c r="AA772" t="s">
        <v>103</v>
      </c>
    </row>
    <row r="773" spans="1:27" x14ac:dyDescent="0.25">
      <c r="A773" t="s">
        <v>914</v>
      </c>
      <c r="B773">
        <v>145</v>
      </c>
      <c r="C773" s="9">
        <v>46018.195567129631</v>
      </c>
      <c r="D773" t="s">
        <v>50</v>
      </c>
      <c r="E773" t="s">
        <v>51</v>
      </c>
      <c r="F773" t="s">
        <v>52</v>
      </c>
      <c r="G773">
        <v>760</v>
      </c>
      <c r="H773" s="6">
        <v>1</v>
      </c>
      <c r="I773" s="10">
        <v>122.57</v>
      </c>
      <c r="J773" s="10">
        <v>279.14</v>
      </c>
      <c r="K773" t="s">
        <v>46</v>
      </c>
      <c r="L773" s="3">
        <v>0.1</v>
      </c>
      <c r="M773" t="s">
        <v>31</v>
      </c>
      <c r="N773" s="10">
        <v>51.05</v>
      </c>
      <c r="O773" t="s">
        <v>47</v>
      </c>
      <c r="P773" s="5">
        <v>46020</v>
      </c>
      <c r="Q773" s="5">
        <v>46026</v>
      </c>
      <c r="R773" s="5">
        <v>46024</v>
      </c>
      <c r="S773" t="s">
        <v>33</v>
      </c>
      <c r="T773" s="6">
        <v>4</v>
      </c>
      <c r="U773" t="s">
        <v>211</v>
      </c>
      <c r="V773" s="10">
        <v>251.226</v>
      </c>
      <c r="W773" s="10">
        <v>122.57</v>
      </c>
      <c r="X773" s="10">
        <v>77.606000000000009</v>
      </c>
      <c r="Y773" s="11">
        <v>0.30890910972590419</v>
      </c>
      <c r="Z773" s="6">
        <v>-2</v>
      </c>
      <c r="AA773" t="s">
        <v>35</v>
      </c>
    </row>
    <row r="774" spans="1:27" x14ac:dyDescent="0.25">
      <c r="A774" t="s">
        <v>915</v>
      </c>
      <c r="B774">
        <v>170</v>
      </c>
      <c r="C774" s="9">
        <v>46018.243530092594</v>
      </c>
      <c r="D774" t="s">
        <v>177</v>
      </c>
      <c r="E774" t="s">
        <v>178</v>
      </c>
      <c r="F774" t="s">
        <v>116</v>
      </c>
      <c r="G774">
        <v>0</v>
      </c>
      <c r="H774" s="6">
        <v>2</v>
      </c>
      <c r="I774" s="10">
        <v>254.61</v>
      </c>
      <c r="J774" s="10">
        <v>338.22</v>
      </c>
      <c r="K774" t="s">
        <v>46</v>
      </c>
      <c r="L774" s="3">
        <v>0.1</v>
      </c>
      <c r="M774" t="s">
        <v>39</v>
      </c>
      <c r="N774" s="10">
        <v>15.82</v>
      </c>
      <c r="O774" t="s">
        <v>126</v>
      </c>
      <c r="P774" s="5">
        <v>46020</v>
      </c>
      <c r="Q774" s="5">
        <v>46026</v>
      </c>
      <c r="S774" t="s">
        <v>161</v>
      </c>
      <c r="T774" s="6">
        <v>3</v>
      </c>
      <c r="U774" t="s">
        <v>55</v>
      </c>
      <c r="V774" s="10">
        <v>608.79600000000005</v>
      </c>
      <c r="W774" s="10">
        <v>509.22</v>
      </c>
      <c r="X774" s="10">
        <v>83.756000000000029</v>
      </c>
      <c r="Y774" s="11">
        <v>0.13757646239462809</v>
      </c>
      <c r="Z774" s="6"/>
      <c r="AA774" t="s">
        <v>56</v>
      </c>
    </row>
    <row r="775" spans="1:27" x14ac:dyDescent="0.25">
      <c r="A775" t="s">
        <v>916</v>
      </c>
      <c r="B775">
        <v>97</v>
      </c>
      <c r="C775" s="9">
        <v>46019.45616898148</v>
      </c>
      <c r="D775" t="s">
        <v>43</v>
      </c>
      <c r="E775" t="s">
        <v>44</v>
      </c>
      <c r="F775" t="s">
        <v>45</v>
      </c>
      <c r="G775">
        <v>0</v>
      </c>
      <c r="H775" s="6">
        <v>3</v>
      </c>
      <c r="I775" s="10">
        <v>26.11</v>
      </c>
      <c r="J775" s="10">
        <v>130.13</v>
      </c>
      <c r="L775" s="3">
        <v>0</v>
      </c>
      <c r="M775" t="s">
        <v>31</v>
      </c>
      <c r="N775" s="10">
        <v>26.06</v>
      </c>
      <c r="O775" t="s">
        <v>47</v>
      </c>
      <c r="P775" s="5">
        <v>46020</v>
      </c>
      <c r="Q775" s="5">
        <v>46030</v>
      </c>
      <c r="R775" s="5">
        <v>46028</v>
      </c>
      <c r="S775" t="s">
        <v>33</v>
      </c>
      <c r="T775" s="6">
        <v>4</v>
      </c>
      <c r="U775" t="s">
        <v>84</v>
      </c>
      <c r="V775" s="10">
        <v>390.39</v>
      </c>
      <c r="W775" s="10">
        <v>78.33</v>
      </c>
      <c r="X775" s="10">
        <v>286</v>
      </c>
      <c r="Y775" s="11">
        <v>0.73260073260073266</v>
      </c>
      <c r="Z775" s="6">
        <v>-2</v>
      </c>
      <c r="AA775" t="s">
        <v>35</v>
      </c>
    </row>
    <row r="776" spans="1:27" x14ac:dyDescent="0.25">
      <c r="A776" t="s">
        <v>917</v>
      </c>
      <c r="B776">
        <v>61</v>
      </c>
      <c r="C776" s="9">
        <v>46019.457453703697</v>
      </c>
      <c r="D776" t="s">
        <v>58</v>
      </c>
      <c r="E776" t="s">
        <v>59</v>
      </c>
      <c r="F776" t="s">
        <v>30</v>
      </c>
      <c r="G776">
        <v>4023</v>
      </c>
      <c r="H776" s="6">
        <v>3</v>
      </c>
      <c r="I776" s="10">
        <v>325.57</v>
      </c>
      <c r="J776" s="10">
        <v>494.06</v>
      </c>
      <c r="L776" s="3">
        <v>0</v>
      </c>
      <c r="M776" t="s">
        <v>31</v>
      </c>
      <c r="N776" s="10">
        <v>94.2</v>
      </c>
      <c r="O776" t="s">
        <v>99</v>
      </c>
      <c r="P776" s="5">
        <v>46021</v>
      </c>
      <c r="Q776" s="5">
        <v>46029</v>
      </c>
      <c r="R776" s="5">
        <v>46028</v>
      </c>
      <c r="S776" t="s">
        <v>33</v>
      </c>
      <c r="T776" s="6">
        <v>5</v>
      </c>
      <c r="U776" t="s">
        <v>41</v>
      </c>
      <c r="V776" s="10">
        <v>1482.18</v>
      </c>
      <c r="W776" s="10">
        <v>976.71</v>
      </c>
      <c r="X776" s="10">
        <v>411.27</v>
      </c>
      <c r="Y776" s="11">
        <v>0.27747641986803218</v>
      </c>
      <c r="Z776" s="6">
        <v>-1</v>
      </c>
      <c r="AA776" t="s">
        <v>35</v>
      </c>
    </row>
    <row r="777" spans="1:27" x14ac:dyDescent="0.25">
      <c r="A777" t="s">
        <v>918</v>
      </c>
      <c r="B777">
        <v>27</v>
      </c>
      <c r="C777" s="9">
        <v>46020.552499999998</v>
      </c>
      <c r="D777" t="s">
        <v>66</v>
      </c>
      <c r="E777" t="s">
        <v>67</v>
      </c>
      <c r="F777" t="s">
        <v>52</v>
      </c>
      <c r="G777">
        <v>235</v>
      </c>
      <c r="H777" s="6">
        <v>3</v>
      </c>
      <c r="I777" s="10">
        <v>33.549999999999997</v>
      </c>
      <c r="J777" s="10">
        <v>135.19</v>
      </c>
      <c r="K777" t="s">
        <v>46</v>
      </c>
      <c r="L777" s="3">
        <v>0.1</v>
      </c>
      <c r="M777" t="s">
        <v>61</v>
      </c>
      <c r="N777" s="10">
        <v>31.19</v>
      </c>
      <c r="O777" t="s">
        <v>157</v>
      </c>
      <c r="P777" s="5">
        <v>46022</v>
      </c>
      <c r="Q777" s="5">
        <v>46032</v>
      </c>
      <c r="R777" s="5">
        <v>46024</v>
      </c>
      <c r="S777" t="s">
        <v>33</v>
      </c>
      <c r="T777" s="6">
        <v>4</v>
      </c>
      <c r="U777" t="s">
        <v>211</v>
      </c>
      <c r="V777" s="10">
        <v>365.01299999999998</v>
      </c>
      <c r="W777" s="10">
        <v>100.65</v>
      </c>
      <c r="X777" s="10">
        <v>233.173</v>
      </c>
      <c r="Y777" s="11">
        <v>0.63880738494245415</v>
      </c>
      <c r="Z777" s="6">
        <v>-8</v>
      </c>
      <c r="AA777" t="s">
        <v>35</v>
      </c>
    </row>
    <row r="778" spans="1:27" x14ac:dyDescent="0.25">
      <c r="A778" t="s">
        <v>919</v>
      </c>
      <c r="B778">
        <v>194</v>
      </c>
      <c r="C778" s="9">
        <v>46020.800057870372</v>
      </c>
      <c r="D778" t="s">
        <v>177</v>
      </c>
      <c r="E778" t="s">
        <v>178</v>
      </c>
      <c r="F778" t="s">
        <v>116</v>
      </c>
      <c r="G778">
        <v>0</v>
      </c>
      <c r="H778" s="6">
        <v>1</v>
      </c>
      <c r="I778" s="10">
        <v>306.14</v>
      </c>
      <c r="J778" s="10">
        <v>454.04</v>
      </c>
      <c r="L778" s="3">
        <v>0</v>
      </c>
      <c r="M778" t="s">
        <v>61</v>
      </c>
      <c r="N778" s="10">
        <v>26.83</v>
      </c>
      <c r="O778" t="s">
        <v>150</v>
      </c>
      <c r="P778" s="5">
        <v>46022</v>
      </c>
      <c r="Q778" s="5">
        <v>46032</v>
      </c>
      <c r="S778" t="s">
        <v>161</v>
      </c>
      <c r="T778" s="6">
        <v>2</v>
      </c>
      <c r="U778" t="s">
        <v>102</v>
      </c>
      <c r="V778" s="10">
        <v>454.04</v>
      </c>
      <c r="W778" s="10">
        <v>306.14</v>
      </c>
      <c r="X778" s="10">
        <v>121.07</v>
      </c>
      <c r="Y778" s="11">
        <v>0.26665051537309492</v>
      </c>
      <c r="Z778" s="6"/>
      <c r="AA778" t="s">
        <v>56</v>
      </c>
    </row>
    <row r="779" spans="1:27" x14ac:dyDescent="0.25">
      <c r="A779" t="s">
        <v>920</v>
      </c>
      <c r="B779">
        <v>114</v>
      </c>
      <c r="C779" s="9">
        <v>46020.808020833327</v>
      </c>
      <c r="D779" t="s">
        <v>110</v>
      </c>
      <c r="E779" t="s">
        <v>111</v>
      </c>
      <c r="F779" t="s">
        <v>30</v>
      </c>
      <c r="G779">
        <v>2138</v>
      </c>
      <c r="H779" s="6">
        <v>2</v>
      </c>
      <c r="I779" s="10">
        <v>1292.82</v>
      </c>
      <c r="J779" s="10">
        <v>1683.04</v>
      </c>
      <c r="K779" t="s">
        <v>46</v>
      </c>
      <c r="L779" s="3">
        <v>0.1</v>
      </c>
      <c r="M779" t="s">
        <v>39</v>
      </c>
      <c r="N779" s="10">
        <v>87.17</v>
      </c>
      <c r="O779" t="s">
        <v>62</v>
      </c>
      <c r="P779" s="5">
        <v>46021</v>
      </c>
      <c r="Q779" s="5">
        <v>46029</v>
      </c>
      <c r="R779" s="5">
        <v>46024</v>
      </c>
      <c r="S779" t="s">
        <v>33</v>
      </c>
      <c r="T779" s="6">
        <v>4</v>
      </c>
      <c r="U779" t="s">
        <v>119</v>
      </c>
      <c r="V779" s="10">
        <v>3029.4720000000002</v>
      </c>
      <c r="W779" s="10">
        <v>2585.64</v>
      </c>
      <c r="X779" s="10">
        <v>356.66200000000032</v>
      </c>
      <c r="Y779" s="11">
        <v>0.1177307464799147</v>
      </c>
      <c r="Z779" s="6">
        <v>-5</v>
      </c>
      <c r="AA779" t="s">
        <v>35</v>
      </c>
    </row>
    <row r="780" spans="1:27" x14ac:dyDescent="0.25">
      <c r="A780" t="s">
        <v>921</v>
      </c>
      <c r="B780">
        <v>145</v>
      </c>
      <c r="C780" s="9">
        <v>46021.086481481478</v>
      </c>
      <c r="D780" t="s">
        <v>123</v>
      </c>
      <c r="E780" t="s">
        <v>124</v>
      </c>
      <c r="F780" t="s">
        <v>45</v>
      </c>
      <c r="G780">
        <v>0</v>
      </c>
      <c r="H780" s="6">
        <v>3</v>
      </c>
      <c r="I780" s="10">
        <v>170.38</v>
      </c>
      <c r="J780" s="10">
        <v>236.81</v>
      </c>
      <c r="K780" t="s">
        <v>60</v>
      </c>
      <c r="L780" s="3">
        <v>0.2</v>
      </c>
      <c r="M780" t="s">
        <v>39</v>
      </c>
      <c r="N780" s="10">
        <v>21.18</v>
      </c>
      <c r="O780" t="s">
        <v>47</v>
      </c>
      <c r="P780" s="5">
        <v>46023</v>
      </c>
      <c r="Q780" s="5">
        <v>46030</v>
      </c>
      <c r="R780" s="5">
        <v>46030</v>
      </c>
      <c r="S780" t="s">
        <v>33</v>
      </c>
      <c r="T780" s="6">
        <v>5</v>
      </c>
      <c r="U780" t="s">
        <v>117</v>
      </c>
      <c r="V780" s="10">
        <v>568.34400000000005</v>
      </c>
      <c r="W780" s="10">
        <v>511.14</v>
      </c>
      <c r="X780" s="10">
        <v>36.024000000000058</v>
      </c>
      <c r="Y780" s="11">
        <v>6.3384147628900919E-2</v>
      </c>
      <c r="Z780" s="6">
        <v>0</v>
      </c>
      <c r="AA780" t="s">
        <v>35</v>
      </c>
    </row>
    <row r="781" spans="1:27" x14ac:dyDescent="0.25">
      <c r="A781" t="s">
        <v>922</v>
      </c>
      <c r="B781">
        <v>88</v>
      </c>
      <c r="C781" s="9">
        <v>46021.228402777779</v>
      </c>
      <c r="D781" t="s">
        <v>137</v>
      </c>
      <c r="E781" t="s">
        <v>138</v>
      </c>
      <c r="F781" t="s">
        <v>52</v>
      </c>
      <c r="G781">
        <v>338</v>
      </c>
      <c r="H781" s="6">
        <v>3</v>
      </c>
      <c r="I781" s="10">
        <v>79.98</v>
      </c>
      <c r="J781" s="10">
        <v>121.9</v>
      </c>
      <c r="K781" t="s">
        <v>46</v>
      </c>
      <c r="L781" s="3">
        <v>0.1</v>
      </c>
      <c r="M781" t="s">
        <v>31</v>
      </c>
      <c r="N781" s="10">
        <v>23.7</v>
      </c>
      <c r="O781" t="s">
        <v>40</v>
      </c>
      <c r="P781" s="5">
        <v>46023</v>
      </c>
      <c r="Q781" s="5">
        <v>46031</v>
      </c>
      <c r="R781" s="5">
        <v>46035</v>
      </c>
      <c r="S781" t="s">
        <v>33</v>
      </c>
      <c r="T781" s="6">
        <v>1</v>
      </c>
      <c r="U781" t="s">
        <v>185</v>
      </c>
      <c r="V781" s="10">
        <v>329.13000000000011</v>
      </c>
      <c r="W781" s="10">
        <v>239.94</v>
      </c>
      <c r="X781" s="10">
        <v>65.490000000000052</v>
      </c>
      <c r="Y781" s="11">
        <v>0.198979126788807</v>
      </c>
      <c r="Z781" s="6">
        <v>4</v>
      </c>
      <c r="AA781" t="s">
        <v>103</v>
      </c>
    </row>
    <row r="782" spans="1:27" x14ac:dyDescent="0.25">
      <c r="A782" t="s">
        <v>923</v>
      </c>
      <c r="B782">
        <v>105</v>
      </c>
      <c r="C782" s="9">
        <v>46021.312083333331</v>
      </c>
      <c r="D782" t="s">
        <v>137</v>
      </c>
      <c r="E782" t="s">
        <v>138</v>
      </c>
      <c r="F782" t="s">
        <v>52</v>
      </c>
      <c r="G782">
        <v>433</v>
      </c>
      <c r="H782" s="6">
        <v>3</v>
      </c>
      <c r="I782" s="10">
        <v>97.3</v>
      </c>
      <c r="J782" s="10">
        <v>189.25</v>
      </c>
      <c r="K782" t="s">
        <v>46</v>
      </c>
      <c r="L782" s="3">
        <v>0.1</v>
      </c>
      <c r="M782" t="s">
        <v>61</v>
      </c>
      <c r="N782" s="10">
        <v>23.66</v>
      </c>
      <c r="O782" t="s">
        <v>126</v>
      </c>
      <c r="P782" s="5">
        <v>46023</v>
      </c>
      <c r="Q782" s="5">
        <v>46031</v>
      </c>
      <c r="R782" s="5">
        <v>46032</v>
      </c>
      <c r="S782" t="s">
        <v>33</v>
      </c>
      <c r="T782" s="6">
        <v>1</v>
      </c>
      <c r="U782" t="s">
        <v>258</v>
      </c>
      <c r="V782" s="10">
        <v>510.97500000000002</v>
      </c>
      <c r="W782" s="10">
        <v>291.89999999999998</v>
      </c>
      <c r="X782" s="10">
        <v>195.41499999999999</v>
      </c>
      <c r="Y782" s="11">
        <v>0.38243553989921242</v>
      </c>
      <c r="Z782" s="6">
        <v>1</v>
      </c>
      <c r="AA782" t="s">
        <v>103</v>
      </c>
    </row>
    <row r="783" spans="1:27" x14ac:dyDescent="0.25">
      <c r="A783" t="s">
        <v>924</v>
      </c>
      <c r="B783">
        <v>168</v>
      </c>
      <c r="C783" s="9">
        <v>46021.730891203697</v>
      </c>
      <c r="D783" t="s">
        <v>155</v>
      </c>
      <c r="E783" t="s">
        <v>156</v>
      </c>
      <c r="F783" t="s">
        <v>30</v>
      </c>
      <c r="G783">
        <v>3921</v>
      </c>
      <c r="H783" s="6">
        <v>2</v>
      </c>
      <c r="I783" s="10">
        <v>694.13</v>
      </c>
      <c r="J783" s="10">
        <v>872.51</v>
      </c>
      <c r="L783" s="3">
        <v>0</v>
      </c>
      <c r="M783" t="s">
        <v>31</v>
      </c>
      <c r="N783" s="10">
        <v>63.11</v>
      </c>
      <c r="O783" t="s">
        <v>47</v>
      </c>
      <c r="P783" s="5">
        <v>46022</v>
      </c>
      <c r="Q783" s="5">
        <v>46032</v>
      </c>
      <c r="R783" s="5">
        <v>46026</v>
      </c>
      <c r="S783" t="s">
        <v>33</v>
      </c>
      <c r="T783" s="6">
        <v>4</v>
      </c>
      <c r="U783" t="s">
        <v>211</v>
      </c>
      <c r="V783" s="10">
        <v>1745.02</v>
      </c>
      <c r="W783" s="10">
        <v>1388.26</v>
      </c>
      <c r="X783" s="10">
        <v>293.64999999999998</v>
      </c>
      <c r="Y783" s="11">
        <v>0.168278873594572</v>
      </c>
      <c r="Z783" s="6">
        <v>-6</v>
      </c>
      <c r="AA783" t="s">
        <v>35</v>
      </c>
    </row>
    <row r="784" spans="1:27" x14ac:dyDescent="0.25">
      <c r="A784" t="s">
        <v>925</v>
      </c>
      <c r="B784">
        <v>132</v>
      </c>
      <c r="C784" s="9">
        <v>46021.958541666667</v>
      </c>
      <c r="D784" t="s">
        <v>110</v>
      </c>
      <c r="E784" t="s">
        <v>111</v>
      </c>
      <c r="F784" t="s">
        <v>30</v>
      </c>
      <c r="G784">
        <v>2174</v>
      </c>
      <c r="H784" s="6">
        <v>1</v>
      </c>
      <c r="I784" s="10">
        <v>991.12</v>
      </c>
      <c r="J784" s="10">
        <v>2077.4699999999998</v>
      </c>
      <c r="K784" t="s">
        <v>60</v>
      </c>
      <c r="L784" s="3">
        <v>0.2</v>
      </c>
      <c r="M784" t="s">
        <v>61</v>
      </c>
      <c r="N784" s="10">
        <v>82.97</v>
      </c>
      <c r="O784" t="s">
        <v>40</v>
      </c>
      <c r="P784" s="5">
        <v>46023</v>
      </c>
      <c r="Q784" s="5">
        <v>46029</v>
      </c>
      <c r="R784" s="5">
        <v>46027</v>
      </c>
      <c r="S784" t="s">
        <v>33</v>
      </c>
      <c r="T784" s="6">
        <v>4</v>
      </c>
      <c r="U784" t="s">
        <v>134</v>
      </c>
      <c r="V784" s="10">
        <v>1661.9760000000001</v>
      </c>
      <c r="W784" s="10">
        <v>991.12</v>
      </c>
      <c r="X784" s="10">
        <v>587.88599999999985</v>
      </c>
      <c r="Y784" s="11">
        <v>0.35372712963364078</v>
      </c>
      <c r="Z784" s="6">
        <v>-2</v>
      </c>
      <c r="AA784" t="s">
        <v>35</v>
      </c>
    </row>
    <row r="785" spans="1:27" x14ac:dyDescent="0.25">
      <c r="A785" t="s">
        <v>926</v>
      </c>
      <c r="B785">
        <v>117</v>
      </c>
      <c r="C785" s="9">
        <v>46022.104317129633</v>
      </c>
      <c r="D785" t="s">
        <v>81</v>
      </c>
      <c r="E785" t="s">
        <v>82</v>
      </c>
      <c r="F785" t="s">
        <v>45</v>
      </c>
      <c r="G785">
        <v>0</v>
      </c>
      <c r="H785" s="6">
        <v>2</v>
      </c>
      <c r="I785" s="10">
        <v>25.84</v>
      </c>
      <c r="J785" s="10">
        <v>58</v>
      </c>
      <c r="L785" s="3">
        <v>0</v>
      </c>
      <c r="M785" t="s">
        <v>31</v>
      </c>
      <c r="N785" s="10">
        <v>19.510000000000002</v>
      </c>
      <c r="O785" t="s">
        <v>32</v>
      </c>
      <c r="P785" s="5">
        <v>46023</v>
      </c>
      <c r="Q785" s="5">
        <v>46029</v>
      </c>
      <c r="R785" s="5">
        <v>46028</v>
      </c>
      <c r="S785" t="s">
        <v>33</v>
      </c>
      <c r="T785" s="6">
        <v>4</v>
      </c>
      <c r="U785" t="s">
        <v>119</v>
      </c>
      <c r="V785" s="10">
        <v>116</v>
      </c>
      <c r="W785" s="10">
        <v>51.68</v>
      </c>
      <c r="X785" s="10">
        <v>44.809999999999988</v>
      </c>
      <c r="Y785" s="11">
        <v>0.38629310344827578</v>
      </c>
      <c r="Z785" s="6">
        <v>-1</v>
      </c>
      <c r="AA785" t="s">
        <v>35</v>
      </c>
    </row>
    <row r="786" spans="1:27" x14ac:dyDescent="0.25">
      <c r="A786" t="s">
        <v>927</v>
      </c>
      <c r="B786">
        <v>58</v>
      </c>
      <c r="C786" s="9">
        <v>46022.177002314813</v>
      </c>
      <c r="D786" t="s">
        <v>58</v>
      </c>
      <c r="E786" t="s">
        <v>59</v>
      </c>
      <c r="F786" t="s">
        <v>30</v>
      </c>
      <c r="G786">
        <v>4289</v>
      </c>
      <c r="H786" s="6">
        <v>1</v>
      </c>
      <c r="I786" s="10">
        <v>427.89</v>
      </c>
      <c r="J786" s="10">
        <v>606.23</v>
      </c>
      <c r="K786" t="s">
        <v>46</v>
      </c>
      <c r="L786" s="3">
        <v>0.1</v>
      </c>
      <c r="M786" t="s">
        <v>76</v>
      </c>
      <c r="N786" s="10">
        <v>60.46</v>
      </c>
      <c r="O786" t="s">
        <v>47</v>
      </c>
      <c r="P786" s="5">
        <v>46024</v>
      </c>
      <c r="Q786" s="5">
        <v>46029</v>
      </c>
      <c r="R786" s="5">
        <v>46032</v>
      </c>
      <c r="S786" t="s">
        <v>33</v>
      </c>
      <c r="T786" s="6">
        <v>3</v>
      </c>
      <c r="U786" t="s">
        <v>146</v>
      </c>
      <c r="V786" s="10">
        <v>545.60700000000008</v>
      </c>
      <c r="W786" s="10">
        <v>427.89</v>
      </c>
      <c r="X786" s="10">
        <v>57.257000000000097</v>
      </c>
      <c r="Y786" s="11">
        <v>0.10494183542366591</v>
      </c>
      <c r="Z786" s="6">
        <v>3</v>
      </c>
      <c r="AA786" t="s">
        <v>103</v>
      </c>
    </row>
    <row r="787" spans="1:27" x14ac:dyDescent="0.25">
      <c r="A787" t="s">
        <v>928</v>
      </c>
      <c r="B787">
        <v>185</v>
      </c>
      <c r="C787" s="9">
        <v>46022.276620370372</v>
      </c>
      <c r="D787" t="s">
        <v>81</v>
      </c>
      <c r="E787" t="s">
        <v>82</v>
      </c>
      <c r="F787" t="s">
        <v>45</v>
      </c>
      <c r="G787">
        <v>0</v>
      </c>
      <c r="H787" s="6">
        <v>1</v>
      </c>
      <c r="I787" s="10">
        <v>45.19</v>
      </c>
      <c r="J787" s="10">
        <v>221.43</v>
      </c>
      <c r="K787" t="s">
        <v>60</v>
      </c>
      <c r="L787" s="3">
        <v>0.2</v>
      </c>
      <c r="M787" t="s">
        <v>39</v>
      </c>
      <c r="N787" s="10">
        <v>25.25</v>
      </c>
      <c r="O787" t="s">
        <v>68</v>
      </c>
      <c r="P787" s="5">
        <v>46024</v>
      </c>
      <c r="Q787" s="5">
        <v>46030</v>
      </c>
      <c r="R787" s="5">
        <v>46026</v>
      </c>
      <c r="S787" t="s">
        <v>33</v>
      </c>
      <c r="T787" s="6">
        <v>5</v>
      </c>
      <c r="U787" t="s">
        <v>48</v>
      </c>
      <c r="V787" s="10">
        <v>177.14400000000001</v>
      </c>
      <c r="W787" s="10">
        <v>45.19</v>
      </c>
      <c r="X787" s="10">
        <v>106.70399999999999</v>
      </c>
      <c r="Y787" s="11">
        <v>0.60235740414577976</v>
      </c>
      <c r="Z787" s="6">
        <v>-4</v>
      </c>
      <c r="AA787" t="s">
        <v>35</v>
      </c>
    </row>
    <row r="788" spans="1:27" x14ac:dyDescent="0.25">
      <c r="A788" t="s">
        <v>929</v>
      </c>
      <c r="B788">
        <v>24</v>
      </c>
      <c r="C788" s="9">
        <v>46022.332743055558</v>
      </c>
      <c r="D788" t="s">
        <v>110</v>
      </c>
      <c r="E788" t="s">
        <v>111</v>
      </c>
      <c r="F788" t="s">
        <v>30</v>
      </c>
      <c r="G788">
        <v>2046</v>
      </c>
      <c r="H788" s="6">
        <v>3</v>
      </c>
      <c r="I788" s="10">
        <v>977.14</v>
      </c>
      <c r="J788" s="10">
        <v>1930.07</v>
      </c>
      <c r="L788" s="3">
        <v>0</v>
      </c>
      <c r="M788" t="s">
        <v>39</v>
      </c>
      <c r="N788" s="10">
        <v>130.4</v>
      </c>
      <c r="O788" t="s">
        <v>53</v>
      </c>
      <c r="P788" s="5">
        <v>46023</v>
      </c>
      <c r="Q788" s="5">
        <v>46028</v>
      </c>
      <c r="R788" s="5">
        <v>46027</v>
      </c>
      <c r="S788" t="s">
        <v>33</v>
      </c>
      <c r="T788" s="6">
        <v>5</v>
      </c>
      <c r="U788" t="s">
        <v>48</v>
      </c>
      <c r="V788" s="10">
        <v>5790.21</v>
      </c>
      <c r="W788" s="10">
        <v>2931.42</v>
      </c>
      <c r="X788" s="10">
        <v>2728.39</v>
      </c>
      <c r="Y788" s="11">
        <v>0.47120743461808812</v>
      </c>
      <c r="Z788" s="6">
        <v>-1</v>
      </c>
      <c r="AA788" t="s">
        <v>35</v>
      </c>
    </row>
    <row r="789" spans="1:27" x14ac:dyDescent="0.25">
      <c r="A789" t="s">
        <v>930</v>
      </c>
      <c r="B789">
        <v>74</v>
      </c>
      <c r="C789" s="9">
        <v>46022.465821759259</v>
      </c>
      <c r="D789" t="s">
        <v>37</v>
      </c>
      <c r="E789" t="s">
        <v>38</v>
      </c>
      <c r="F789" t="s">
        <v>30</v>
      </c>
      <c r="G789">
        <v>2574</v>
      </c>
      <c r="H789" s="6">
        <v>1</v>
      </c>
      <c r="I789" s="10">
        <v>598.66999999999996</v>
      </c>
      <c r="J789" s="10">
        <v>1200.6600000000001</v>
      </c>
      <c r="L789" s="3">
        <v>0</v>
      </c>
      <c r="M789" t="s">
        <v>39</v>
      </c>
      <c r="N789" s="10">
        <v>89.66</v>
      </c>
      <c r="O789" t="s">
        <v>62</v>
      </c>
      <c r="P789" s="5">
        <v>46023</v>
      </c>
      <c r="Q789" s="5">
        <v>46028</v>
      </c>
      <c r="R789" s="5">
        <v>46033</v>
      </c>
      <c r="S789" t="s">
        <v>33</v>
      </c>
      <c r="T789" s="6">
        <v>3</v>
      </c>
      <c r="U789" t="s">
        <v>121</v>
      </c>
      <c r="V789" s="10">
        <v>1200.6600000000001</v>
      </c>
      <c r="W789" s="10">
        <v>598.66999999999996</v>
      </c>
      <c r="X789" s="10">
        <v>512.33000000000015</v>
      </c>
      <c r="Y789" s="11">
        <v>0.42670697782886091</v>
      </c>
      <c r="Z789" s="6">
        <v>5</v>
      </c>
      <c r="AA789" t="s">
        <v>103</v>
      </c>
    </row>
    <row r="790" spans="1:27" x14ac:dyDescent="0.25">
      <c r="A790" t="s">
        <v>931</v>
      </c>
      <c r="B790">
        <v>163</v>
      </c>
      <c r="C790" s="9">
        <v>46022.615937499999</v>
      </c>
      <c r="D790" t="s">
        <v>89</v>
      </c>
      <c r="E790" t="s">
        <v>90</v>
      </c>
      <c r="F790" t="s">
        <v>52</v>
      </c>
      <c r="G790">
        <v>339</v>
      </c>
      <c r="H790" s="6">
        <v>2</v>
      </c>
      <c r="I790" s="10">
        <v>114.54</v>
      </c>
      <c r="J790" s="10">
        <v>202.39</v>
      </c>
      <c r="K790" t="s">
        <v>46</v>
      </c>
      <c r="L790" s="3">
        <v>0.1</v>
      </c>
      <c r="M790" t="s">
        <v>39</v>
      </c>
      <c r="N790" s="10">
        <v>35.93</v>
      </c>
      <c r="O790" t="s">
        <v>47</v>
      </c>
      <c r="P790" s="5">
        <v>46024</v>
      </c>
      <c r="Q790" s="5">
        <v>46029</v>
      </c>
      <c r="R790" s="5">
        <v>46026</v>
      </c>
      <c r="S790" t="s">
        <v>33</v>
      </c>
      <c r="T790" s="6">
        <v>5</v>
      </c>
      <c r="U790" t="s">
        <v>117</v>
      </c>
      <c r="V790" s="10">
        <v>364.30200000000002</v>
      </c>
      <c r="W790" s="10">
        <v>229.08</v>
      </c>
      <c r="X790" s="10">
        <v>99.291999999999945</v>
      </c>
      <c r="Y790" s="11">
        <v>0.27255408973873307</v>
      </c>
      <c r="Z790" s="6">
        <v>-3</v>
      </c>
      <c r="AA790" t="s">
        <v>35</v>
      </c>
    </row>
    <row r="791" spans="1:27" x14ac:dyDescent="0.25">
      <c r="A791" t="s">
        <v>932</v>
      </c>
      <c r="B791">
        <v>104</v>
      </c>
      <c r="C791" s="9">
        <v>46022.656597222223</v>
      </c>
      <c r="D791" t="s">
        <v>123</v>
      </c>
      <c r="E791" t="s">
        <v>124</v>
      </c>
      <c r="F791" t="s">
        <v>45</v>
      </c>
      <c r="G791">
        <v>0</v>
      </c>
      <c r="H791" s="6">
        <v>1</v>
      </c>
      <c r="I791" s="10">
        <v>96.39</v>
      </c>
      <c r="J791" s="10">
        <v>479.59</v>
      </c>
      <c r="K791" t="s">
        <v>46</v>
      </c>
      <c r="L791" s="3">
        <v>0.1</v>
      </c>
      <c r="M791" t="s">
        <v>31</v>
      </c>
      <c r="N791" s="10">
        <v>25.91</v>
      </c>
      <c r="O791" t="s">
        <v>32</v>
      </c>
      <c r="P791" s="5">
        <v>46023</v>
      </c>
      <c r="Q791" s="5">
        <v>46030</v>
      </c>
      <c r="R791" s="5">
        <v>46026</v>
      </c>
      <c r="S791" t="s">
        <v>33</v>
      </c>
      <c r="T791" s="6">
        <v>4</v>
      </c>
      <c r="U791" t="s">
        <v>34</v>
      </c>
      <c r="V791" s="10">
        <v>431.63099999999997</v>
      </c>
      <c r="W791" s="10">
        <v>96.39</v>
      </c>
      <c r="X791" s="10">
        <v>309.33100000000002</v>
      </c>
      <c r="Y791" s="11">
        <v>0.71665612525513689</v>
      </c>
      <c r="Z791" s="6">
        <v>-4</v>
      </c>
      <c r="AA791" t="s">
        <v>35</v>
      </c>
    </row>
    <row r="792" spans="1:27" x14ac:dyDescent="0.25">
      <c r="A792" t="s">
        <v>933</v>
      </c>
      <c r="B792">
        <v>60</v>
      </c>
      <c r="C792" s="9">
        <v>46023.543356481481</v>
      </c>
      <c r="D792" t="s">
        <v>81</v>
      </c>
      <c r="E792" t="s">
        <v>82</v>
      </c>
      <c r="F792" t="s">
        <v>45</v>
      </c>
      <c r="G792">
        <v>0</v>
      </c>
      <c r="H792" s="6">
        <v>1</v>
      </c>
      <c r="I792" s="10">
        <v>84.85</v>
      </c>
      <c r="J792" s="10">
        <v>104.3</v>
      </c>
      <c r="L792" s="3">
        <v>0</v>
      </c>
      <c r="M792" t="s">
        <v>31</v>
      </c>
      <c r="N792" s="10">
        <v>18.34</v>
      </c>
      <c r="O792" t="s">
        <v>47</v>
      </c>
      <c r="P792" s="5">
        <v>46024</v>
      </c>
      <c r="Q792" s="5">
        <v>46029</v>
      </c>
      <c r="R792" s="5">
        <v>46028</v>
      </c>
      <c r="S792" t="s">
        <v>33</v>
      </c>
      <c r="T792" s="6">
        <v>4</v>
      </c>
      <c r="U792" t="s">
        <v>112</v>
      </c>
      <c r="V792" s="10">
        <v>104.3</v>
      </c>
      <c r="W792" s="10">
        <v>84.85</v>
      </c>
      <c r="X792" s="10">
        <v>1.110000000000003</v>
      </c>
      <c r="Y792" s="11">
        <v>1.0642377756471739E-2</v>
      </c>
      <c r="Z792" s="6">
        <v>-1</v>
      </c>
      <c r="AA792" t="s">
        <v>35</v>
      </c>
    </row>
    <row r="793" spans="1:27" x14ac:dyDescent="0.25">
      <c r="A793" t="s">
        <v>934</v>
      </c>
      <c r="B793">
        <v>189</v>
      </c>
      <c r="C793" s="9">
        <v>46023.646990740737</v>
      </c>
      <c r="D793" t="s">
        <v>28</v>
      </c>
      <c r="E793" t="s">
        <v>29</v>
      </c>
      <c r="F793" t="s">
        <v>30</v>
      </c>
      <c r="G793">
        <v>2623</v>
      </c>
      <c r="H793" s="6">
        <v>3</v>
      </c>
      <c r="I793" s="10">
        <v>1949.37</v>
      </c>
      <c r="J793" s="10">
        <v>2385.4</v>
      </c>
      <c r="L793" s="3">
        <v>0</v>
      </c>
      <c r="M793" t="s">
        <v>76</v>
      </c>
      <c r="N793" s="10">
        <v>122.5</v>
      </c>
      <c r="O793" t="s">
        <v>150</v>
      </c>
      <c r="P793" s="5">
        <v>46024</v>
      </c>
      <c r="Q793" s="5">
        <v>46029</v>
      </c>
      <c r="R793" s="5">
        <v>46027</v>
      </c>
      <c r="S793" t="s">
        <v>33</v>
      </c>
      <c r="T793" s="6">
        <v>4</v>
      </c>
      <c r="U793" t="s">
        <v>166</v>
      </c>
      <c r="V793" s="10">
        <v>7156.2000000000007</v>
      </c>
      <c r="W793" s="10">
        <v>5848.11</v>
      </c>
      <c r="X793" s="10">
        <v>1185.5900000000011</v>
      </c>
      <c r="Y793" s="11">
        <v>0.16567312260697031</v>
      </c>
      <c r="Z793" s="6">
        <v>-2</v>
      </c>
      <c r="AA793" t="s">
        <v>35</v>
      </c>
    </row>
    <row r="794" spans="1:27" x14ac:dyDescent="0.25">
      <c r="A794" t="s">
        <v>935</v>
      </c>
      <c r="B794">
        <v>148</v>
      </c>
      <c r="C794" s="9">
        <v>46023.929166666669</v>
      </c>
      <c r="D794" t="s">
        <v>164</v>
      </c>
      <c r="E794" t="s">
        <v>165</v>
      </c>
      <c r="F794" t="s">
        <v>116</v>
      </c>
      <c r="G794">
        <v>0</v>
      </c>
      <c r="H794" s="6">
        <v>3</v>
      </c>
      <c r="I794" s="10">
        <v>345.7</v>
      </c>
      <c r="J794" s="10">
        <v>573.6</v>
      </c>
      <c r="K794" t="s">
        <v>46</v>
      </c>
      <c r="L794" s="3">
        <v>0.1</v>
      </c>
      <c r="M794" t="s">
        <v>31</v>
      </c>
      <c r="N794" s="10">
        <v>27.45</v>
      </c>
      <c r="O794" t="s">
        <v>97</v>
      </c>
      <c r="P794" s="5">
        <v>46024</v>
      </c>
      <c r="Q794" s="5">
        <v>46031</v>
      </c>
      <c r="S794" t="s">
        <v>54</v>
      </c>
      <c r="T794" s="6">
        <v>4</v>
      </c>
      <c r="U794" t="s">
        <v>48</v>
      </c>
      <c r="V794" s="10">
        <v>1548.72</v>
      </c>
      <c r="W794" s="10">
        <v>1037.0999999999999</v>
      </c>
      <c r="X794" s="10">
        <v>484.17000000000041</v>
      </c>
      <c r="Y794" s="11">
        <v>0.31262591042925791</v>
      </c>
      <c r="Z794" s="6"/>
      <c r="AA794" t="s">
        <v>56</v>
      </c>
    </row>
    <row r="795" spans="1:27" x14ac:dyDescent="0.25">
      <c r="A795" t="s">
        <v>936</v>
      </c>
      <c r="B795">
        <v>149</v>
      </c>
      <c r="C795" s="9">
        <v>46024.450729166667</v>
      </c>
      <c r="D795" t="s">
        <v>50</v>
      </c>
      <c r="E795" t="s">
        <v>51</v>
      </c>
      <c r="F795" t="s">
        <v>52</v>
      </c>
      <c r="G795">
        <v>763</v>
      </c>
      <c r="H795" s="6">
        <v>2</v>
      </c>
      <c r="I795" s="10">
        <v>169.65</v>
      </c>
      <c r="J795" s="10">
        <v>309.99</v>
      </c>
      <c r="L795" s="3">
        <v>0</v>
      </c>
      <c r="M795" t="s">
        <v>76</v>
      </c>
      <c r="N795" s="10">
        <v>34.86</v>
      </c>
      <c r="O795" t="s">
        <v>99</v>
      </c>
      <c r="P795" s="5">
        <v>46026</v>
      </c>
      <c r="Q795" s="5">
        <v>46034</v>
      </c>
      <c r="R795" s="5">
        <v>46033</v>
      </c>
      <c r="S795" t="s">
        <v>33</v>
      </c>
      <c r="T795" s="6">
        <v>4</v>
      </c>
      <c r="U795" t="s">
        <v>41</v>
      </c>
      <c r="V795" s="10">
        <v>619.98</v>
      </c>
      <c r="W795" s="10">
        <v>339.3</v>
      </c>
      <c r="X795" s="10">
        <v>245.82</v>
      </c>
      <c r="Y795" s="11">
        <v>0.39649666118261878</v>
      </c>
      <c r="Z795" s="6">
        <v>-1</v>
      </c>
      <c r="AA795" t="s">
        <v>35</v>
      </c>
    </row>
    <row r="796" spans="1:27" x14ac:dyDescent="0.25">
      <c r="A796" t="s">
        <v>937</v>
      </c>
      <c r="B796">
        <v>185</v>
      </c>
      <c r="C796" s="9">
        <v>46024.491493055553</v>
      </c>
      <c r="D796" t="s">
        <v>74</v>
      </c>
      <c r="E796" t="s">
        <v>75</v>
      </c>
      <c r="F796" t="s">
        <v>30</v>
      </c>
      <c r="G796">
        <v>2976</v>
      </c>
      <c r="H796" s="6">
        <v>1</v>
      </c>
      <c r="I796" s="10">
        <v>2002.08</v>
      </c>
      <c r="J796" s="10">
        <v>3751.56</v>
      </c>
      <c r="L796" s="3">
        <v>0</v>
      </c>
      <c r="M796" t="s">
        <v>61</v>
      </c>
      <c r="N796" s="10">
        <v>76.819999999999993</v>
      </c>
      <c r="O796" t="s">
        <v>264</v>
      </c>
      <c r="P796" s="5">
        <v>46026</v>
      </c>
      <c r="Q796" s="5">
        <v>46035</v>
      </c>
      <c r="R796" s="5">
        <v>46034</v>
      </c>
      <c r="S796" t="s">
        <v>33</v>
      </c>
      <c r="T796" s="6">
        <v>5</v>
      </c>
      <c r="U796" t="s">
        <v>48</v>
      </c>
      <c r="V796" s="10">
        <v>3751.56</v>
      </c>
      <c r="W796" s="10">
        <v>2002.08</v>
      </c>
      <c r="X796" s="10">
        <v>1672.66</v>
      </c>
      <c r="Y796" s="11">
        <v>0.44585719007559532</v>
      </c>
      <c r="Z796" s="6">
        <v>-1</v>
      </c>
      <c r="AA796" t="s">
        <v>35</v>
      </c>
    </row>
    <row r="797" spans="1:27" x14ac:dyDescent="0.25">
      <c r="A797" t="s">
        <v>938</v>
      </c>
      <c r="B797">
        <v>130</v>
      </c>
      <c r="C797" s="9">
        <v>46024.619293981479</v>
      </c>
      <c r="D797" t="s">
        <v>71</v>
      </c>
      <c r="E797" t="s">
        <v>72</v>
      </c>
      <c r="F797" t="s">
        <v>52</v>
      </c>
      <c r="G797">
        <v>265</v>
      </c>
      <c r="H797" s="6">
        <v>1</v>
      </c>
      <c r="I797" s="10">
        <v>68.92</v>
      </c>
      <c r="J797" s="10">
        <v>126.63</v>
      </c>
      <c r="K797" t="s">
        <v>46</v>
      </c>
      <c r="L797" s="3">
        <v>0.1</v>
      </c>
      <c r="M797" t="s">
        <v>76</v>
      </c>
      <c r="N797" s="10">
        <v>55.33</v>
      </c>
      <c r="O797" t="s">
        <v>68</v>
      </c>
      <c r="P797" s="5">
        <v>46025</v>
      </c>
      <c r="Q797" s="5">
        <v>46034</v>
      </c>
      <c r="R797" s="5">
        <v>46036</v>
      </c>
      <c r="S797" t="s">
        <v>33</v>
      </c>
      <c r="T797" s="6">
        <v>2</v>
      </c>
      <c r="U797" t="s">
        <v>108</v>
      </c>
      <c r="V797" s="10">
        <v>113.967</v>
      </c>
      <c r="W797" s="10">
        <v>68.92</v>
      </c>
      <c r="X797" s="10">
        <v>-10.282999999999999</v>
      </c>
      <c r="Y797" s="11">
        <v>-9.0227872980775142E-2</v>
      </c>
      <c r="Z797" s="6">
        <v>2</v>
      </c>
      <c r="AA797" t="s">
        <v>103</v>
      </c>
    </row>
    <row r="798" spans="1:27" x14ac:dyDescent="0.25">
      <c r="A798" t="s">
        <v>939</v>
      </c>
      <c r="B798">
        <v>43</v>
      </c>
      <c r="C798" s="9">
        <v>46024.914895833332</v>
      </c>
      <c r="D798" t="s">
        <v>89</v>
      </c>
      <c r="E798" t="s">
        <v>90</v>
      </c>
      <c r="F798" t="s">
        <v>52</v>
      </c>
      <c r="G798">
        <v>282</v>
      </c>
      <c r="H798" s="6">
        <v>3</v>
      </c>
      <c r="I798" s="10">
        <v>43.92</v>
      </c>
      <c r="J798" s="10">
        <v>206.44</v>
      </c>
      <c r="L798" s="3">
        <v>0</v>
      </c>
      <c r="M798" t="s">
        <v>31</v>
      </c>
      <c r="N798" s="10">
        <v>43.96</v>
      </c>
      <c r="O798" t="s">
        <v>157</v>
      </c>
      <c r="P798" s="5">
        <v>46025</v>
      </c>
      <c r="Q798" s="5">
        <v>46033</v>
      </c>
      <c r="S798" t="s">
        <v>63</v>
      </c>
      <c r="T798" s="6">
        <v>3</v>
      </c>
      <c r="U798" t="s">
        <v>55</v>
      </c>
      <c r="V798" s="10">
        <v>619.31999999999994</v>
      </c>
      <c r="W798" s="10">
        <v>131.76</v>
      </c>
      <c r="X798" s="10">
        <v>443.6</v>
      </c>
      <c r="Y798" s="11">
        <v>0.71626945682361298</v>
      </c>
      <c r="Z798" s="6"/>
      <c r="AA798" t="s">
        <v>56</v>
      </c>
    </row>
    <row r="799" spans="1:27" x14ac:dyDescent="0.25">
      <c r="A799" t="s">
        <v>940</v>
      </c>
      <c r="B799">
        <v>68</v>
      </c>
      <c r="C799" s="9">
        <v>46025.000416666669</v>
      </c>
      <c r="D799" t="s">
        <v>37</v>
      </c>
      <c r="E799" t="s">
        <v>38</v>
      </c>
      <c r="F799" t="s">
        <v>30</v>
      </c>
      <c r="G799">
        <v>2428</v>
      </c>
      <c r="H799" s="6">
        <v>2</v>
      </c>
      <c r="I799" s="10">
        <v>505.14</v>
      </c>
      <c r="J799" s="10">
        <v>756.16</v>
      </c>
      <c r="L799" s="3">
        <v>0</v>
      </c>
      <c r="M799" t="s">
        <v>76</v>
      </c>
      <c r="N799" s="10">
        <v>143.53</v>
      </c>
      <c r="O799" t="s">
        <v>101</v>
      </c>
      <c r="P799" s="5">
        <v>46027</v>
      </c>
      <c r="Q799" s="5">
        <v>46032</v>
      </c>
      <c r="R799" s="5">
        <v>46030</v>
      </c>
      <c r="S799" t="s">
        <v>33</v>
      </c>
      <c r="T799" s="6">
        <v>4</v>
      </c>
      <c r="U799" t="s">
        <v>172</v>
      </c>
      <c r="V799" s="10">
        <v>1512.32</v>
      </c>
      <c r="W799" s="10">
        <v>1010.28</v>
      </c>
      <c r="X799" s="10">
        <v>358.51</v>
      </c>
      <c r="Y799" s="11">
        <v>0.23705961701227249</v>
      </c>
      <c r="Z799" s="6">
        <v>-2</v>
      </c>
      <c r="AA799" t="s">
        <v>35</v>
      </c>
    </row>
    <row r="800" spans="1:27" x14ac:dyDescent="0.25">
      <c r="A800" t="s">
        <v>941</v>
      </c>
      <c r="B800">
        <v>74</v>
      </c>
      <c r="C800" s="9">
        <v>46025.522638888891</v>
      </c>
      <c r="D800" t="s">
        <v>58</v>
      </c>
      <c r="E800" t="s">
        <v>59</v>
      </c>
      <c r="F800" t="s">
        <v>30</v>
      </c>
      <c r="G800">
        <v>4656</v>
      </c>
      <c r="H800" s="6">
        <v>2</v>
      </c>
      <c r="I800" s="10">
        <v>379.69</v>
      </c>
      <c r="J800" s="10">
        <v>585.28</v>
      </c>
      <c r="L800" s="3">
        <v>0</v>
      </c>
      <c r="M800" t="s">
        <v>76</v>
      </c>
      <c r="N800" s="10">
        <v>97.75</v>
      </c>
      <c r="O800" t="s">
        <v>47</v>
      </c>
      <c r="P800" s="5">
        <v>46026</v>
      </c>
      <c r="Q800" s="5">
        <v>46035</v>
      </c>
      <c r="S800" t="s">
        <v>54</v>
      </c>
      <c r="T800" s="6">
        <v>4</v>
      </c>
      <c r="U800" t="s">
        <v>166</v>
      </c>
      <c r="V800" s="10">
        <v>1170.56</v>
      </c>
      <c r="W800" s="10">
        <v>759.38</v>
      </c>
      <c r="X800" s="10">
        <v>313.42999999999989</v>
      </c>
      <c r="Y800" s="11">
        <v>0.26776072990705302</v>
      </c>
      <c r="Z800" s="6"/>
      <c r="AA800" t="s">
        <v>56</v>
      </c>
    </row>
    <row r="801" spans="1:27" x14ac:dyDescent="0.25">
      <c r="A801" t="s">
        <v>942</v>
      </c>
      <c r="B801">
        <v>39</v>
      </c>
      <c r="C801" s="9">
        <v>46025.834756944438</v>
      </c>
      <c r="D801" t="s">
        <v>50</v>
      </c>
      <c r="E801" t="s">
        <v>51</v>
      </c>
      <c r="F801" t="s">
        <v>52</v>
      </c>
      <c r="G801">
        <v>792</v>
      </c>
      <c r="H801" s="6">
        <v>1</v>
      </c>
      <c r="I801" s="10">
        <v>81.2</v>
      </c>
      <c r="J801" s="10">
        <v>151.44999999999999</v>
      </c>
      <c r="K801" t="s">
        <v>60</v>
      </c>
      <c r="L801" s="3">
        <v>0.2</v>
      </c>
      <c r="M801" t="s">
        <v>31</v>
      </c>
      <c r="N801" s="10">
        <v>47.7</v>
      </c>
      <c r="O801" t="s">
        <v>99</v>
      </c>
      <c r="P801" s="5">
        <v>46027</v>
      </c>
      <c r="Q801" s="5">
        <v>46037</v>
      </c>
      <c r="S801" t="s">
        <v>161</v>
      </c>
      <c r="T801" s="6">
        <v>3</v>
      </c>
      <c r="U801" t="s">
        <v>405</v>
      </c>
      <c r="V801" s="10">
        <v>121.16</v>
      </c>
      <c r="W801" s="10">
        <v>81.2</v>
      </c>
      <c r="X801" s="10">
        <v>-7.7400000000000091</v>
      </c>
      <c r="Y801" s="11">
        <v>-6.3882469461868679E-2</v>
      </c>
      <c r="Z801" s="6"/>
      <c r="AA801" t="s">
        <v>56</v>
      </c>
    </row>
    <row r="802" spans="1:27" x14ac:dyDescent="0.25">
      <c r="A802" t="s">
        <v>943</v>
      </c>
      <c r="B802">
        <v>181</v>
      </c>
      <c r="C802" s="9">
        <v>46025.927025462966</v>
      </c>
      <c r="D802" t="s">
        <v>95</v>
      </c>
      <c r="E802" t="s">
        <v>96</v>
      </c>
      <c r="F802" t="s">
        <v>52</v>
      </c>
      <c r="G802">
        <v>489</v>
      </c>
      <c r="H802" s="6">
        <v>3</v>
      </c>
      <c r="I802" s="10">
        <v>26.87</v>
      </c>
      <c r="J802" s="10">
        <v>67.11</v>
      </c>
      <c r="K802" t="s">
        <v>46</v>
      </c>
      <c r="L802" s="3">
        <v>0.1</v>
      </c>
      <c r="M802" t="s">
        <v>31</v>
      </c>
      <c r="N802" s="10">
        <v>36.72</v>
      </c>
      <c r="O802" t="s">
        <v>62</v>
      </c>
      <c r="P802" s="5">
        <v>46027</v>
      </c>
      <c r="Q802" s="5">
        <v>46036</v>
      </c>
      <c r="R802" s="5">
        <v>46031</v>
      </c>
      <c r="S802" t="s">
        <v>33</v>
      </c>
      <c r="T802" s="6">
        <v>4</v>
      </c>
      <c r="U802" t="s">
        <v>172</v>
      </c>
      <c r="V802" s="10">
        <v>181.197</v>
      </c>
      <c r="W802" s="10">
        <v>80.61</v>
      </c>
      <c r="X802" s="10">
        <v>63.866999999999997</v>
      </c>
      <c r="Y802" s="11">
        <v>0.35247272305832877</v>
      </c>
      <c r="Z802" s="6">
        <v>-5</v>
      </c>
      <c r="AA802" t="s">
        <v>35</v>
      </c>
    </row>
    <row r="803" spans="1:27" x14ac:dyDescent="0.25">
      <c r="A803" t="s">
        <v>944</v>
      </c>
      <c r="B803">
        <v>198</v>
      </c>
      <c r="C803" s="9">
        <v>46025.967835648153</v>
      </c>
      <c r="D803" t="s">
        <v>71</v>
      </c>
      <c r="E803" t="s">
        <v>72</v>
      </c>
      <c r="F803" t="s">
        <v>52</v>
      </c>
      <c r="G803">
        <v>223</v>
      </c>
      <c r="H803" s="6">
        <v>2</v>
      </c>
      <c r="I803" s="10">
        <v>58.59</v>
      </c>
      <c r="J803" s="10">
        <v>101.63</v>
      </c>
      <c r="K803" t="s">
        <v>46</v>
      </c>
      <c r="L803" s="3">
        <v>0.1</v>
      </c>
      <c r="M803" t="s">
        <v>61</v>
      </c>
      <c r="N803" s="10">
        <v>50.02</v>
      </c>
      <c r="O803" t="s">
        <v>47</v>
      </c>
      <c r="P803" s="5">
        <v>46026</v>
      </c>
      <c r="Q803" s="5">
        <v>46036</v>
      </c>
      <c r="R803" s="5">
        <v>46036</v>
      </c>
      <c r="S803" t="s">
        <v>33</v>
      </c>
      <c r="T803" s="6">
        <v>4</v>
      </c>
      <c r="U803" t="s">
        <v>211</v>
      </c>
      <c r="V803" s="10">
        <v>182.934</v>
      </c>
      <c r="W803" s="10">
        <v>117.18</v>
      </c>
      <c r="X803" s="10">
        <v>15.733999999999989</v>
      </c>
      <c r="Y803" s="11">
        <v>8.6009161774191711E-2</v>
      </c>
      <c r="Z803" s="6">
        <v>0</v>
      </c>
      <c r="AA803" t="s">
        <v>35</v>
      </c>
    </row>
    <row r="804" spans="1:27" x14ac:dyDescent="0.25">
      <c r="A804" t="s">
        <v>945</v>
      </c>
      <c r="B804">
        <v>86</v>
      </c>
      <c r="C804" s="9">
        <v>46026.004513888889</v>
      </c>
      <c r="D804" t="s">
        <v>28</v>
      </c>
      <c r="E804" t="s">
        <v>29</v>
      </c>
      <c r="F804" t="s">
        <v>30</v>
      </c>
      <c r="G804">
        <v>2219</v>
      </c>
      <c r="H804" s="6">
        <v>3</v>
      </c>
      <c r="I804" s="10">
        <v>1531.27</v>
      </c>
      <c r="J804" s="10">
        <v>3434.66</v>
      </c>
      <c r="L804" s="3">
        <v>0</v>
      </c>
      <c r="M804" t="s">
        <v>31</v>
      </c>
      <c r="N804" s="10">
        <v>59.73</v>
      </c>
      <c r="O804" t="s">
        <v>126</v>
      </c>
      <c r="P804" s="5">
        <v>46027</v>
      </c>
      <c r="Q804" s="5">
        <v>46034</v>
      </c>
      <c r="R804" s="5">
        <v>46033</v>
      </c>
      <c r="S804" t="s">
        <v>33</v>
      </c>
      <c r="T804" s="6">
        <v>4</v>
      </c>
      <c r="U804" t="s">
        <v>84</v>
      </c>
      <c r="V804" s="10">
        <v>10303.98</v>
      </c>
      <c r="W804" s="10">
        <v>4593.8099999999986</v>
      </c>
      <c r="X804" s="10">
        <v>5650.4400000000014</v>
      </c>
      <c r="Y804" s="11">
        <v>0.54837451159648998</v>
      </c>
      <c r="Z804" s="6">
        <v>-1</v>
      </c>
      <c r="AA804" t="s">
        <v>35</v>
      </c>
    </row>
    <row r="805" spans="1:27" x14ac:dyDescent="0.25">
      <c r="A805" t="s">
        <v>946</v>
      </c>
      <c r="B805">
        <v>186</v>
      </c>
      <c r="C805" s="9">
        <v>46027.303599537037</v>
      </c>
      <c r="D805" t="s">
        <v>50</v>
      </c>
      <c r="E805" t="s">
        <v>51</v>
      </c>
      <c r="F805" t="s">
        <v>52</v>
      </c>
      <c r="G805">
        <v>645</v>
      </c>
      <c r="H805" s="6">
        <v>2</v>
      </c>
      <c r="I805" s="10">
        <v>140.41</v>
      </c>
      <c r="J805" s="10">
        <v>220.22</v>
      </c>
      <c r="K805" t="s">
        <v>46</v>
      </c>
      <c r="L805" s="3">
        <v>0.1</v>
      </c>
      <c r="M805" t="s">
        <v>39</v>
      </c>
      <c r="N805" s="10">
        <v>52.32</v>
      </c>
      <c r="O805" t="s">
        <v>97</v>
      </c>
      <c r="P805" s="5">
        <v>46028</v>
      </c>
      <c r="Q805" s="5">
        <v>46036</v>
      </c>
      <c r="R805" s="5">
        <v>46030</v>
      </c>
      <c r="S805" t="s">
        <v>33</v>
      </c>
      <c r="T805" s="6">
        <v>4</v>
      </c>
      <c r="U805" t="s">
        <v>69</v>
      </c>
      <c r="V805" s="10">
        <v>396.39600000000002</v>
      </c>
      <c r="W805" s="10">
        <v>280.82</v>
      </c>
      <c r="X805" s="10">
        <v>63.256000000000022</v>
      </c>
      <c r="Y805" s="11">
        <v>0.15957779594143229</v>
      </c>
      <c r="Z805" s="6">
        <v>-6</v>
      </c>
      <c r="AA805" t="s">
        <v>35</v>
      </c>
    </row>
    <row r="806" spans="1:27" x14ac:dyDescent="0.25">
      <c r="A806" t="s">
        <v>947</v>
      </c>
      <c r="B806">
        <v>133</v>
      </c>
      <c r="C806" s="9">
        <v>46028.126655092587</v>
      </c>
      <c r="D806" t="s">
        <v>28</v>
      </c>
      <c r="E806" t="s">
        <v>29</v>
      </c>
      <c r="F806" t="s">
        <v>30</v>
      </c>
      <c r="G806">
        <v>2126</v>
      </c>
      <c r="H806" s="6">
        <v>2</v>
      </c>
      <c r="I806" s="10">
        <v>2406.92</v>
      </c>
      <c r="J806" s="10">
        <v>3513.48</v>
      </c>
      <c r="L806" s="3">
        <v>0</v>
      </c>
      <c r="M806" t="s">
        <v>31</v>
      </c>
      <c r="N806" s="10">
        <v>101.4</v>
      </c>
      <c r="O806" t="s">
        <v>99</v>
      </c>
      <c r="P806" s="5">
        <v>46029</v>
      </c>
      <c r="Q806" s="5">
        <v>46035</v>
      </c>
      <c r="R806" s="5">
        <v>46032</v>
      </c>
      <c r="S806" t="s">
        <v>33</v>
      </c>
      <c r="T806" s="6">
        <v>5</v>
      </c>
      <c r="U806" t="s">
        <v>166</v>
      </c>
      <c r="V806" s="10">
        <v>7026.96</v>
      </c>
      <c r="W806" s="10">
        <v>4813.84</v>
      </c>
      <c r="X806" s="10">
        <v>2111.7199999999998</v>
      </c>
      <c r="Y806" s="11">
        <v>0.30051686646857251</v>
      </c>
      <c r="Z806" s="6">
        <v>-3</v>
      </c>
      <c r="AA806" t="s">
        <v>35</v>
      </c>
    </row>
    <row r="807" spans="1:27" x14ac:dyDescent="0.25">
      <c r="A807" t="s">
        <v>948</v>
      </c>
      <c r="B807">
        <v>60</v>
      </c>
      <c r="C807" s="9">
        <v>46029.610532407409</v>
      </c>
      <c r="D807" t="s">
        <v>81</v>
      </c>
      <c r="E807" t="s">
        <v>82</v>
      </c>
      <c r="F807" t="s">
        <v>45</v>
      </c>
      <c r="G807">
        <v>0</v>
      </c>
      <c r="H807" s="6">
        <v>3</v>
      </c>
      <c r="I807" s="10">
        <v>107.46</v>
      </c>
      <c r="J807" s="10">
        <v>236.2</v>
      </c>
      <c r="L807" s="3">
        <v>0</v>
      </c>
      <c r="M807" t="s">
        <v>31</v>
      </c>
      <c r="N807" s="10">
        <v>18.89</v>
      </c>
      <c r="O807" t="s">
        <v>99</v>
      </c>
      <c r="P807" s="5">
        <v>46030</v>
      </c>
      <c r="Q807" s="5">
        <v>46039</v>
      </c>
      <c r="S807" t="s">
        <v>63</v>
      </c>
      <c r="T807" s="6">
        <v>3</v>
      </c>
      <c r="U807" t="s">
        <v>405</v>
      </c>
      <c r="V807" s="10">
        <v>708.59999999999991</v>
      </c>
      <c r="W807" s="10">
        <v>322.38</v>
      </c>
      <c r="X807" s="10">
        <v>367.32999999999993</v>
      </c>
      <c r="Y807" s="11">
        <v>0.51838837143663563</v>
      </c>
      <c r="Z807" s="6"/>
      <c r="AA807" t="s">
        <v>56</v>
      </c>
    </row>
    <row r="808" spans="1:27" x14ac:dyDescent="0.25">
      <c r="A808" t="s">
        <v>949</v>
      </c>
      <c r="B808">
        <v>100</v>
      </c>
      <c r="C808" s="9">
        <v>46029.644756944443</v>
      </c>
      <c r="D808" t="s">
        <v>28</v>
      </c>
      <c r="E808" t="s">
        <v>29</v>
      </c>
      <c r="F808" t="s">
        <v>30</v>
      </c>
      <c r="G808">
        <v>2531</v>
      </c>
      <c r="H808" s="6">
        <v>2</v>
      </c>
      <c r="I808" s="10">
        <v>1965.98</v>
      </c>
      <c r="J808" s="10">
        <v>3274.62</v>
      </c>
      <c r="K808" t="s">
        <v>60</v>
      </c>
      <c r="L808" s="3">
        <v>0.2</v>
      </c>
      <c r="M808" t="s">
        <v>76</v>
      </c>
      <c r="N808" s="10">
        <v>121.18</v>
      </c>
      <c r="O808" t="s">
        <v>62</v>
      </c>
      <c r="P808" s="5">
        <v>46030</v>
      </c>
      <c r="Q808" s="5">
        <v>46039</v>
      </c>
      <c r="R808" s="5">
        <v>46039</v>
      </c>
      <c r="S808" t="s">
        <v>33</v>
      </c>
      <c r="T808" s="6">
        <v>4</v>
      </c>
      <c r="U808" t="s">
        <v>134</v>
      </c>
      <c r="V808" s="10">
        <v>5239.3919999999998</v>
      </c>
      <c r="W808" s="10">
        <v>3931.96</v>
      </c>
      <c r="X808" s="10">
        <v>1186.252</v>
      </c>
      <c r="Y808" s="11">
        <v>0.2264102399667747</v>
      </c>
      <c r="Z808" s="6">
        <v>0</v>
      </c>
      <c r="AA808" t="s">
        <v>35</v>
      </c>
    </row>
    <row r="809" spans="1:27" x14ac:dyDescent="0.25">
      <c r="A809" t="s">
        <v>950</v>
      </c>
      <c r="B809">
        <v>102</v>
      </c>
      <c r="C809" s="9">
        <v>46030.717789351853</v>
      </c>
      <c r="D809" t="s">
        <v>81</v>
      </c>
      <c r="E809" t="s">
        <v>82</v>
      </c>
      <c r="F809" t="s">
        <v>45</v>
      </c>
      <c r="G809">
        <v>0</v>
      </c>
      <c r="H809" s="6">
        <v>2</v>
      </c>
      <c r="I809" s="10">
        <v>106.72</v>
      </c>
      <c r="J809" s="10">
        <v>158.94999999999999</v>
      </c>
      <c r="L809" s="3">
        <v>0</v>
      </c>
      <c r="M809" t="s">
        <v>39</v>
      </c>
      <c r="N809" s="10">
        <v>29.03</v>
      </c>
      <c r="O809" t="s">
        <v>99</v>
      </c>
      <c r="P809" s="5">
        <v>46032</v>
      </c>
      <c r="Q809" s="5">
        <v>46042</v>
      </c>
      <c r="R809" s="5">
        <v>46034</v>
      </c>
      <c r="S809" t="s">
        <v>33</v>
      </c>
      <c r="T809" s="6">
        <v>5</v>
      </c>
      <c r="U809" t="s">
        <v>34</v>
      </c>
      <c r="V809" s="10">
        <v>317.89999999999998</v>
      </c>
      <c r="W809" s="10">
        <v>213.44</v>
      </c>
      <c r="X809" s="10">
        <v>75.429999999999978</v>
      </c>
      <c r="Y809" s="11">
        <v>0.23727587291601129</v>
      </c>
      <c r="Z809" s="6">
        <v>-8</v>
      </c>
      <c r="AA809" t="s">
        <v>35</v>
      </c>
    </row>
    <row r="810" spans="1:27" x14ac:dyDescent="0.25">
      <c r="A810" t="s">
        <v>951</v>
      </c>
      <c r="B810">
        <v>43</v>
      </c>
      <c r="C810" s="9">
        <v>46030.749895833331</v>
      </c>
      <c r="D810" t="s">
        <v>92</v>
      </c>
      <c r="E810" t="s">
        <v>93</v>
      </c>
      <c r="F810" t="s">
        <v>52</v>
      </c>
      <c r="G810">
        <v>250</v>
      </c>
      <c r="H810" s="6">
        <v>2</v>
      </c>
      <c r="I810" s="10">
        <v>30.43</v>
      </c>
      <c r="J810" s="10">
        <v>41.11</v>
      </c>
      <c r="L810" s="3">
        <v>0</v>
      </c>
      <c r="M810" t="s">
        <v>61</v>
      </c>
      <c r="N810" s="10">
        <v>28.66</v>
      </c>
      <c r="O810" t="s">
        <v>68</v>
      </c>
      <c r="P810" s="5">
        <v>46032</v>
      </c>
      <c r="Q810" s="5">
        <v>46039</v>
      </c>
      <c r="R810" s="5">
        <v>46039</v>
      </c>
      <c r="S810" t="s">
        <v>33</v>
      </c>
      <c r="T810" s="6">
        <v>4</v>
      </c>
      <c r="U810" t="s">
        <v>34</v>
      </c>
      <c r="V810" s="10">
        <v>82.22</v>
      </c>
      <c r="W810" s="10">
        <v>60.86</v>
      </c>
      <c r="X810" s="10">
        <v>-7.3000000000000007</v>
      </c>
      <c r="Y810" s="11">
        <v>-8.8786183410362457E-2</v>
      </c>
      <c r="Z810" s="6">
        <v>0</v>
      </c>
      <c r="AA810" t="s">
        <v>35</v>
      </c>
    </row>
    <row r="811" spans="1:27" x14ac:dyDescent="0.25">
      <c r="A811" t="s">
        <v>952</v>
      </c>
      <c r="B811">
        <v>172</v>
      </c>
      <c r="C811" s="9">
        <v>46030.879618055558</v>
      </c>
      <c r="D811" t="s">
        <v>28</v>
      </c>
      <c r="E811" t="s">
        <v>29</v>
      </c>
      <c r="F811" t="s">
        <v>30</v>
      </c>
      <c r="G811">
        <v>2681</v>
      </c>
      <c r="H811" s="6">
        <v>3</v>
      </c>
      <c r="I811" s="10">
        <v>2264.9299999999998</v>
      </c>
      <c r="J811" s="10">
        <v>3172.73</v>
      </c>
      <c r="L811" s="3">
        <v>0</v>
      </c>
      <c r="M811" t="s">
        <v>39</v>
      </c>
      <c r="N811" s="10">
        <v>73.239999999999995</v>
      </c>
      <c r="O811" t="s">
        <v>40</v>
      </c>
      <c r="P811" s="5">
        <v>46032</v>
      </c>
      <c r="Q811" s="5">
        <v>46039</v>
      </c>
      <c r="R811" s="5">
        <v>46038</v>
      </c>
      <c r="S811" t="s">
        <v>33</v>
      </c>
      <c r="T811" s="6">
        <v>4</v>
      </c>
      <c r="U811" t="s">
        <v>119</v>
      </c>
      <c r="V811" s="10">
        <v>9518.19</v>
      </c>
      <c r="W811" s="10">
        <v>6794.7899999999991</v>
      </c>
      <c r="X811" s="10">
        <v>2650.1600000000021</v>
      </c>
      <c r="Y811" s="11">
        <v>0.27843108826363011</v>
      </c>
      <c r="Z811" s="6">
        <v>-1</v>
      </c>
      <c r="AA811" t="s">
        <v>35</v>
      </c>
    </row>
    <row r="812" spans="1:27" x14ac:dyDescent="0.25">
      <c r="A812" t="s">
        <v>953</v>
      </c>
      <c r="B812">
        <v>44</v>
      </c>
      <c r="C812" s="9">
        <v>46031.209456018521</v>
      </c>
      <c r="D812" t="s">
        <v>137</v>
      </c>
      <c r="E812" t="s">
        <v>138</v>
      </c>
      <c r="F812" t="s">
        <v>52</v>
      </c>
      <c r="G812">
        <v>451</v>
      </c>
      <c r="H812" s="6">
        <v>3</v>
      </c>
      <c r="I812" s="10">
        <v>100.03</v>
      </c>
      <c r="J812" s="10">
        <v>134.57</v>
      </c>
      <c r="L812" s="3">
        <v>0</v>
      </c>
      <c r="M812" t="s">
        <v>39</v>
      </c>
      <c r="N812" s="10">
        <v>38.67</v>
      </c>
      <c r="O812" t="s">
        <v>62</v>
      </c>
      <c r="P812" s="5">
        <v>46033</v>
      </c>
      <c r="Q812" s="5">
        <v>46043</v>
      </c>
      <c r="R812" s="5">
        <v>46038</v>
      </c>
      <c r="S812" t="s">
        <v>33</v>
      </c>
      <c r="T812" s="6">
        <v>4</v>
      </c>
      <c r="U812" t="s">
        <v>166</v>
      </c>
      <c r="V812" s="10">
        <v>403.71</v>
      </c>
      <c r="W812" s="10">
        <v>300.08999999999997</v>
      </c>
      <c r="X812" s="10">
        <v>64.949999999999946</v>
      </c>
      <c r="Y812" s="11">
        <v>0.16088281191944701</v>
      </c>
      <c r="Z812" s="6">
        <v>-5</v>
      </c>
      <c r="AA812" t="s">
        <v>35</v>
      </c>
    </row>
    <row r="813" spans="1:27" x14ac:dyDescent="0.25">
      <c r="A813" t="s">
        <v>954</v>
      </c>
      <c r="B813">
        <v>90</v>
      </c>
      <c r="C813" s="9">
        <v>46031.855763888889</v>
      </c>
      <c r="D813" t="s">
        <v>50</v>
      </c>
      <c r="E813" t="s">
        <v>51</v>
      </c>
      <c r="F813" t="s">
        <v>52</v>
      </c>
      <c r="G813">
        <v>655</v>
      </c>
      <c r="H813" s="6">
        <v>3</v>
      </c>
      <c r="I813" s="10">
        <v>135.04</v>
      </c>
      <c r="J813" s="10">
        <v>307.62</v>
      </c>
      <c r="L813" s="3">
        <v>0</v>
      </c>
      <c r="M813" t="s">
        <v>61</v>
      </c>
      <c r="N813" s="10">
        <v>40.1</v>
      </c>
      <c r="O813" t="s">
        <v>99</v>
      </c>
      <c r="P813" s="5">
        <v>46033</v>
      </c>
      <c r="Q813" s="5">
        <v>46041</v>
      </c>
      <c r="R813" s="5">
        <v>46041</v>
      </c>
      <c r="S813" t="s">
        <v>33</v>
      </c>
      <c r="T813" s="6">
        <v>4</v>
      </c>
      <c r="U813" t="s">
        <v>127</v>
      </c>
      <c r="V813" s="10">
        <v>922.86</v>
      </c>
      <c r="W813" s="10">
        <v>405.12</v>
      </c>
      <c r="X813" s="10">
        <v>477.64</v>
      </c>
      <c r="Y813" s="11">
        <v>0.51756496109919159</v>
      </c>
      <c r="Z813" s="6">
        <v>0</v>
      </c>
      <c r="AA813" t="s">
        <v>35</v>
      </c>
    </row>
    <row r="814" spans="1:27" x14ac:dyDescent="0.25">
      <c r="A814" t="s">
        <v>955</v>
      </c>
      <c r="B814">
        <v>95</v>
      </c>
      <c r="C814" s="9">
        <v>46031.952615740738</v>
      </c>
      <c r="D814" t="s">
        <v>105</v>
      </c>
      <c r="E814" t="s">
        <v>106</v>
      </c>
      <c r="F814" t="s">
        <v>30</v>
      </c>
      <c r="G814">
        <v>2042</v>
      </c>
      <c r="H814" s="6">
        <v>3</v>
      </c>
      <c r="I814" s="10">
        <v>314.10000000000002</v>
      </c>
      <c r="J814" s="10">
        <v>389.43</v>
      </c>
      <c r="L814" s="3">
        <v>0</v>
      </c>
      <c r="M814" t="s">
        <v>39</v>
      </c>
      <c r="N814" s="10">
        <v>76.44</v>
      </c>
      <c r="O814" t="s">
        <v>62</v>
      </c>
      <c r="P814" s="5">
        <v>46033</v>
      </c>
      <c r="Q814" s="5">
        <v>46040</v>
      </c>
      <c r="S814" t="s">
        <v>63</v>
      </c>
      <c r="T814" s="6">
        <v>2</v>
      </c>
      <c r="U814" t="s">
        <v>108</v>
      </c>
      <c r="V814" s="10">
        <v>1168.29</v>
      </c>
      <c r="W814" s="10">
        <v>942.30000000000007</v>
      </c>
      <c r="X814" s="10">
        <v>149.5499999999999</v>
      </c>
      <c r="Y814" s="11">
        <v>0.12800760085252799</v>
      </c>
      <c r="Z814" s="6"/>
      <c r="AA814" t="s">
        <v>56</v>
      </c>
    </row>
    <row r="815" spans="1:27" x14ac:dyDescent="0.25">
      <c r="A815" t="s">
        <v>956</v>
      </c>
      <c r="B815">
        <v>155</v>
      </c>
      <c r="C815" s="9">
        <v>46033.216099537043</v>
      </c>
      <c r="D815" t="s">
        <v>137</v>
      </c>
      <c r="E815" t="s">
        <v>138</v>
      </c>
      <c r="F815" t="s">
        <v>52</v>
      </c>
      <c r="G815">
        <v>326</v>
      </c>
      <c r="H815" s="6">
        <v>1</v>
      </c>
      <c r="I815" s="10">
        <v>126.84</v>
      </c>
      <c r="J815" s="10">
        <v>257.66000000000003</v>
      </c>
      <c r="L815" s="3">
        <v>0</v>
      </c>
      <c r="M815" t="s">
        <v>61</v>
      </c>
      <c r="N815" s="10">
        <v>24.33</v>
      </c>
      <c r="O815" t="s">
        <v>47</v>
      </c>
      <c r="P815" s="5">
        <v>46035</v>
      </c>
      <c r="Q815" s="5">
        <v>46040</v>
      </c>
      <c r="S815" t="s">
        <v>63</v>
      </c>
      <c r="T815" s="6">
        <v>3</v>
      </c>
      <c r="U815" t="s">
        <v>55</v>
      </c>
      <c r="V815" s="10">
        <v>257.66000000000003</v>
      </c>
      <c r="W815" s="10">
        <v>126.84</v>
      </c>
      <c r="X815" s="10">
        <v>106.49</v>
      </c>
      <c r="Y815" s="11">
        <v>0.4132965924086005</v>
      </c>
      <c r="Z815" s="6"/>
      <c r="AA815" t="s">
        <v>56</v>
      </c>
    </row>
    <row r="816" spans="1:27" x14ac:dyDescent="0.25">
      <c r="A816" t="s">
        <v>957</v>
      </c>
      <c r="B816">
        <v>154</v>
      </c>
      <c r="C816" s="9">
        <v>46034.175798611112</v>
      </c>
      <c r="D816" t="s">
        <v>198</v>
      </c>
      <c r="E816" t="s">
        <v>199</v>
      </c>
      <c r="F816" t="s">
        <v>116</v>
      </c>
      <c r="G816">
        <v>0</v>
      </c>
      <c r="H816" s="6">
        <v>2</v>
      </c>
      <c r="I816" s="10">
        <v>328.03</v>
      </c>
      <c r="J816" s="10">
        <v>685.16</v>
      </c>
      <c r="L816" s="3">
        <v>0</v>
      </c>
      <c r="M816" t="s">
        <v>61</v>
      </c>
      <c r="N816" s="10">
        <v>27.12</v>
      </c>
      <c r="O816" t="s">
        <v>264</v>
      </c>
      <c r="P816" s="5">
        <v>46036</v>
      </c>
      <c r="Q816" s="5">
        <v>46042</v>
      </c>
      <c r="R816" s="5">
        <v>46044</v>
      </c>
      <c r="S816" t="s">
        <v>33</v>
      </c>
      <c r="T816" s="6">
        <v>3</v>
      </c>
      <c r="U816" t="s">
        <v>146</v>
      </c>
      <c r="V816" s="10">
        <v>1370.32</v>
      </c>
      <c r="W816" s="10">
        <v>656.06</v>
      </c>
      <c r="X816" s="10">
        <v>687.14</v>
      </c>
      <c r="Y816" s="11">
        <v>0.50144491797536339</v>
      </c>
      <c r="Z816" s="6">
        <v>2</v>
      </c>
      <c r="AA816" t="s">
        <v>103</v>
      </c>
    </row>
    <row r="817" spans="1:27" x14ac:dyDescent="0.25">
      <c r="A817" t="s">
        <v>958</v>
      </c>
      <c r="B817">
        <v>30</v>
      </c>
      <c r="C817" s="9">
        <v>46034.368738425917</v>
      </c>
      <c r="D817" t="s">
        <v>28</v>
      </c>
      <c r="E817" t="s">
        <v>29</v>
      </c>
      <c r="F817" t="s">
        <v>30</v>
      </c>
      <c r="G817">
        <v>2499</v>
      </c>
      <c r="H817" s="6">
        <v>1</v>
      </c>
      <c r="I817" s="10">
        <v>2474.11</v>
      </c>
      <c r="J817" s="10">
        <v>3101.02</v>
      </c>
      <c r="K817" t="s">
        <v>46</v>
      </c>
      <c r="L817" s="3">
        <v>0.1</v>
      </c>
      <c r="M817" t="s">
        <v>39</v>
      </c>
      <c r="N817" s="10">
        <v>125.84</v>
      </c>
      <c r="O817" t="s">
        <v>97</v>
      </c>
      <c r="P817" s="5">
        <v>46035</v>
      </c>
      <c r="Q817" s="5">
        <v>46045</v>
      </c>
      <c r="R817" s="5">
        <v>46045</v>
      </c>
      <c r="S817" t="s">
        <v>33</v>
      </c>
      <c r="T817" s="6">
        <v>5</v>
      </c>
      <c r="U817" t="s">
        <v>48</v>
      </c>
      <c r="V817" s="10">
        <v>2790.9180000000001</v>
      </c>
      <c r="W817" s="10">
        <v>2474.11</v>
      </c>
      <c r="X817" s="10">
        <v>190.96799999999999</v>
      </c>
      <c r="Y817" s="11">
        <v>6.8424797862208772E-2</v>
      </c>
      <c r="Z817" s="6">
        <v>0</v>
      </c>
      <c r="AA817" t="s">
        <v>35</v>
      </c>
    </row>
    <row r="818" spans="1:27" x14ac:dyDescent="0.25">
      <c r="A818" t="s">
        <v>959</v>
      </c>
      <c r="B818">
        <v>111</v>
      </c>
      <c r="C818" s="9">
        <v>46034.892222222217</v>
      </c>
      <c r="D818" t="s">
        <v>74</v>
      </c>
      <c r="E818" t="s">
        <v>75</v>
      </c>
      <c r="F818" t="s">
        <v>30</v>
      </c>
      <c r="G818">
        <v>2808</v>
      </c>
      <c r="H818" s="6">
        <v>2</v>
      </c>
      <c r="I818" s="10">
        <v>2736.11</v>
      </c>
      <c r="J818" s="10">
        <v>3784.6</v>
      </c>
      <c r="L818" s="3">
        <v>0</v>
      </c>
      <c r="M818" t="s">
        <v>61</v>
      </c>
      <c r="N818" s="10">
        <v>71.12</v>
      </c>
      <c r="O818" t="s">
        <v>68</v>
      </c>
      <c r="P818" s="5">
        <v>46036</v>
      </c>
      <c r="Q818" s="5">
        <v>46041</v>
      </c>
      <c r="R818" s="5">
        <v>46042</v>
      </c>
      <c r="S818" t="s">
        <v>33</v>
      </c>
      <c r="T818" s="6">
        <v>1</v>
      </c>
      <c r="U818" t="s">
        <v>248</v>
      </c>
      <c r="V818" s="10">
        <v>7569.2</v>
      </c>
      <c r="W818" s="10">
        <v>5472.22</v>
      </c>
      <c r="X818" s="10">
        <v>2025.86</v>
      </c>
      <c r="Y818" s="11">
        <v>0.26764519367964912</v>
      </c>
      <c r="Z818" s="6">
        <v>1</v>
      </c>
      <c r="AA818" t="s">
        <v>103</v>
      </c>
    </row>
    <row r="819" spans="1:27" x14ac:dyDescent="0.25">
      <c r="A819" t="s">
        <v>960</v>
      </c>
      <c r="B819">
        <v>128</v>
      </c>
      <c r="C819" s="9">
        <v>46034.993657407409</v>
      </c>
      <c r="D819" t="s">
        <v>198</v>
      </c>
      <c r="E819" t="s">
        <v>199</v>
      </c>
      <c r="F819" t="s">
        <v>116</v>
      </c>
      <c r="G819">
        <v>0</v>
      </c>
      <c r="H819" s="6">
        <v>2</v>
      </c>
      <c r="I819" s="10">
        <v>368.98</v>
      </c>
      <c r="J819" s="10">
        <v>637.24</v>
      </c>
      <c r="L819" s="3">
        <v>0</v>
      </c>
      <c r="M819" t="s">
        <v>39</v>
      </c>
      <c r="N819" s="10">
        <v>16.899999999999999</v>
      </c>
      <c r="O819" t="s">
        <v>53</v>
      </c>
      <c r="P819" s="5">
        <v>46036</v>
      </c>
      <c r="Q819" s="5">
        <v>46046</v>
      </c>
      <c r="S819" t="s">
        <v>54</v>
      </c>
      <c r="T819" s="6">
        <v>2</v>
      </c>
      <c r="U819" t="s">
        <v>180</v>
      </c>
      <c r="V819" s="10">
        <v>1274.48</v>
      </c>
      <c r="W819" s="10">
        <v>737.96</v>
      </c>
      <c r="X819" s="10">
        <v>519.62</v>
      </c>
      <c r="Y819" s="11">
        <v>0.40771138032766302</v>
      </c>
      <c r="Z819" s="6"/>
      <c r="AA819" t="s">
        <v>56</v>
      </c>
    </row>
    <row r="820" spans="1:27" x14ac:dyDescent="0.25">
      <c r="A820" t="s">
        <v>961</v>
      </c>
      <c r="B820">
        <v>91</v>
      </c>
      <c r="C820" s="9">
        <v>46035.10083333333</v>
      </c>
      <c r="D820" t="s">
        <v>37</v>
      </c>
      <c r="E820" t="s">
        <v>38</v>
      </c>
      <c r="F820" t="s">
        <v>30</v>
      </c>
      <c r="G820">
        <v>2494</v>
      </c>
      <c r="H820" s="6">
        <v>3</v>
      </c>
      <c r="I820" s="10">
        <v>602.37</v>
      </c>
      <c r="J820" s="10">
        <v>1254.26</v>
      </c>
      <c r="K820" t="s">
        <v>46</v>
      </c>
      <c r="L820" s="3">
        <v>0.1</v>
      </c>
      <c r="M820" t="s">
        <v>31</v>
      </c>
      <c r="N820" s="10">
        <v>104.34</v>
      </c>
      <c r="O820" t="s">
        <v>126</v>
      </c>
      <c r="P820" s="5">
        <v>46037</v>
      </c>
      <c r="Q820" s="5">
        <v>46044</v>
      </c>
      <c r="R820" s="5">
        <v>46040</v>
      </c>
      <c r="S820" t="s">
        <v>33</v>
      </c>
      <c r="T820" s="6">
        <v>5</v>
      </c>
      <c r="U820" t="s">
        <v>77</v>
      </c>
      <c r="V820" s="10">
        <v>3386.502</v>
      </c>
      <c r="W820" s="10">
        <v>1807.11</v>
      </c>
      <c r="X820" s="10">
        <v>1475.0519999999999</v>
      </c>
      <c r="Y820" s="11">
        <v>0.43556802860296551</v>
      </c>
      <c r="Z820" s="6">
        <v>-4</v>
      </c>
      <c r="AA820" t="s">
        <v>35</v>
      </c>
    </row>
    <row r="821" spans="1:27" x14ac:dyDescent="0.25">
      <c r="A821" t="s">
        <v>962</v>
      </c>
      <c r="B821">
        <v>67</v>
      </c>
      <c r="C821" s="9">
        <v>46036.240844907406</v>
      </c>
      <c r="D821" t="s">
        <v>50</v>
      </c>
      <c r="E821" t="s">
        <v>51</v>
      </c>
      <c r="F821" t="s">
        <v>52</v>
      </c>
      <c r="G821">
        <v>706</v>
      </c>
      <c r="H821" s="6">
        <v>1</v>
      </c>
      <c r="I821" s="10">
        <v>147.80000000000001</v>
      </c>
      <c r="J821" s="10">
        <v>234.98</v>
      </c>
      <c r="L821" s="3">
        <v>0</v>
      </c>
      <c r="M821" t="s">
        <v>76</v>
      </c>
      <c r="N821" s="10">
        <v>28.56</v>
      </c>
      <c r="O821" t="s">
        <v>47</v>
      </c>
      <c r="P821" s="5">
        <v>46037</v>
      </c>
      <c r="Q821" s="5">
        <v>46047</v>
      </c>
      <c r="R821" s="5">
        <v>46040</v>
      </c>
      <c r="S821" t="s">
        <v>33</v>
      </c>
      <c r="T821" s="6">
        <v>5</v>
      </c>
      <c r="U821" t="s">
        <v>69</v>
      </c>
      <c r="V821" s="10">
        <v>234.98</v>
      </c>
      <c r="W821" s="10">
        <v>147.80000000000001</v>
      </c>
      <c r="X821" s="10">
        <v>58.619999999999983</v>
      </c>
      <c r="Y821" s="11">
        <v>0.2494680398331772</v>
      </c>
      <c r="Z821" s="6">
        <v>-7</v>
      </c>
      <c r="AA821" t="s">
        <v>35</v>
      </c>
    </row>
    <row r="822" spans="1:27" x14ac:dyDescent="0.25">
      <c r="A822" t="s">
        <v>963</v>
      </c>
      <c r="B822">
        <v>28</v>
      </c>
      <c r="C822" s="9">
        <v>46036.462430555563</v>
      </c>
      <c r="D822" t="s">
        <v>198</v>
      </c>
      <c r="E822" t="s">
        <v>199</v>
      </c>
      <c r="F822" t="s">
        <v>116</v>
      </c>
      <c r="G822">
        <v>0</v>
      </c>
      <c r="H822" s="6">
        <v>2</v>
      </c>
      <c r="I822" s="10">
        <v>320.54000000000002</v>
      </c>
      <c r="J822" s="10">
        <v>704.15</v>
      </c>
      <c r="L822" s="3">
        <v>0</v>
      </c>
      <c r="M822" t="s">
        <v>61</v>
      </c>
      <c r="N822" s="10">
        <v>25.68</v>
      </c>
      <c r="O822" t="s">
        <v>83</v>
      </c>
      <c r="P822" s="5">
        <v>46038</v>
      </c>
      <c r="Q822" s="5">
        <v>46043</v>
      </c>
      <c r="S822" t="s">
        <v>63</v>
      </c>
      <c r="T822" s="6">
        <v>3</v>
      </c>
      <c r="U822" t="s">
        <v>238</v>
      </c>
      <c r="V822" s="10">
        <v>1408.3</v>
      </c>
      <c r="W822" s="10">
        <v>641.08000000000004</v>
      </c>
      <c r="X822" s="10">
        <v>741.54</v>
      </c>
      <c r="Y822" s="11">
        <v>0.52654974082226802</v>
      </c>
      <c r="Z822" s="6"/>
      <c r="AA822" t="s">
        <v>56</v>
      </c>
    </row>
    <row r="823" spans="1:27" x14ac:dyDescent="0.25">
      <c r="A823" t="s">
        <v>964</v>
      </c>
      <c r="B823">
        <v>53</v>
      </c>
      <c r="C823" s="9">
        <v>46036.669722222221</v>
      </c>
      <c r="D823" t="s">
        <v>155</v>
      </c>
      <c r="E823" t="s">
        <v>156</v>
      </c>
      <c r="F823" t="s">
        <v>30</v>
      </c>
      <c r="G823">
        <v>3527</v>
      </c>
      <c r="H823" s="6">
        <v>3</v>
      </c>
      <c r="I823" s="10">
        <v>732.95</v>
      </c>
      <c r="J823" s="10">
        <v>1468.45</v>
      </c>
      <c r="L823" s="3">
        <v>0</v>
      </c>
      <c r="M823" t="s">
        <v>76</v>
      </c>
      <c r="N823" s="10">
        <v>69.41</v>
      </c>
      <c r="O823" t="s">
        <v>133</v>
      </c>
      <c r="P823" s="5">
        <v>46037</v>
      </c>
      <c r="Q823" s="5">
        <v>46042</v>
      </c>
      <c r="R823" s="5">
        <v>46043</v>
      </c>
      <c r="S823" t="s">
        <v>33</v>
      </c>
      <c r="T823" s="6">
        <v>2</v>
      </c>
      <c r="U823" t="s">
        <v>461</v>
      </c>
      <c r="V823" s="10">
        <v>4405.3500000000004</v>
      </c>
      <c r="W823" s="10">
        <v>2198.85</v>
      </c>
      <c r="X823" s="10">
        <v>2137.09</v>
      </c>
      <c r="Y823" s="11">
        <v>0.48511242012552919</v>
      </c>
      <c r="Z823" s="6">
        <v>1</v>
      </c>
      <c r="AA823" t="s">
        <v>103</v>
      </c>
    </row>
    <row r="824" spans="1:27" x14ac:dyDescent="0.25">
      <c r="A824" t="s">
        <v>965</v>
      </c>
      <c r="B824">
        <v>8</v>
      </c>
      <c r="C824" s="9">
        <v>46037.054652777777</v>
      </c>
      <c r="D824" t="s">
        <v>177</v>
      </c>
      <c r="E824" t="s">
        <v>178</v>
      </c>
      <c r="F824" t="s">
        <v>116</v>
      </c>
      <c r="G824">
        <v>0</v>
      </c>
      <c r="H824" s="6">
        <v>1</v>
      </c>
      <c r="I824" s="10">
        <v>217.12</v>
      </c>
      <c r="J824" s="10">
        <v>491.72</v>
      </c>
      <c r="L824" s="3">
        <v>0</v>
      </c>
      <c r="M824" t="s">
        <v>31</v>
      </c>
      <c r="N824" s="10">
        <v>23.66</v>
      </c>
      <c r="O824" t="s">
        <v>68</v>
      </c>
      <c r="P824" s="5">
        <v>46039</v>
      </c>
      <c r="Q824" s="5">
        <v>46046</v>
      </c>
      <c r="R824" s="5">
        <v>46046</v>
      </c>
      <c r="S824" t="s">
        <v>33</v>
      </c>
      <c r="T824" s="6">
        <v>4</v>
      </c>
      <c r="U824" t="s">
        <v>48</v>
      </c>
      <c r="V824" s="10">
        <v>491.72</v>
      </c>
      <c r="W824" s="10">
        <v>217.12</v>
      </c>
      <c r="X824" s="10">
        <v>250.94</v>
      </c>
      <c r="Y824" s="11">
        <v>0.51033108273000893</v>
      </c>
      <c r="Z824" s="6">
        <v>0</v>
      </c>
      <c r="AA824" t="s">
        <v>35</v>
      </c>
    </row>
    <row r="825" spans="1:27" x14ac:dyDescent="0.25">
      <c r="A825" t="s">
        <v>966</v>
      </c>
      <c r="B825">
        <v>158</v>
      </c>
      <c r="C825" s="9">
        <v>46037.075937499998</v>
      </c>
      <c r="D825" t="s">
        <v>105</v>
      </c>
      <c r="E825" t="s">
        <v>106</v>
      </c>
      <c r="F825" t="s">
        <v>30</v>
      </c>
      <c r="G825">
        <v>2068</v>
      </c>
      <c r="H825" s="6">
        <v>2</v>
      </c>
      <c r="I825" s="10">
        <v>369.14</v>
      </c>
      <c r="J825" s="10">
        <v>448.18</v>
      </c>
      <c r="L825" s="3">
        <v>0</v>
      </c>
      <c r="M825" t="s">
        <v>76</v>
      </c>
      <c r="N825" s="10">
        <v>85.67</v>
      </c>
      <c r="O825" t="s">
        <v>47</v>
      </c>
      <c r="P825" s="5">
        <v>46039</v>
      </c>
      <c r="Q825" s="5">
        <v>46044</v>
      </c>
      <c r="R825" s="5">
        <v>46045</v>
      </c>
      <c r="S825" t="s">
        <v>33</v>
      </c>
      <c r="T825" s="6">
        <v>2</v>
      </c>
      <c r="U825" t="s">
        <v>153</v>
      </c>
      <c r="V825" s="10">
        <v>896.36</v>
      </c>
      <c r="W825" s="10">
        <v>738.28</v>
      </c>
      <c r="X825" s="10">
        <v>72.410000000000039</v>
      </c>
      <c r="Y825" s="11">
        <v>8.0782274978803206E-2</v>
      </c>
      <c r="Z825" s="6">
        <v>1</v>
      </c>
      <c r="AA825" t="s">
        <v>103</v>
      </c>
    </row>
    <row r="826" spans="1:27" x14ac:dyDescent="0.25">
      <c r="A826" t="s">
        <v>967</v>
      </c>
      <c r="B826">
        <v>90</v>
      </c>
      <c r="C826" s="9">
        <v>46037.079641203702</v>
      </c>
      <c r="D826" t="s">
        <v>155</v>
      </c>
      <c r="E826" t="s">
        <v>156</v>
      </c>
      <c r="F826" t="s">
        <v>30</v>
      </c>
      <c r="G826">
        <v>4074</v>
      </c>
      <c r="H826" s="6">
        <v>2</v>
      </c>
      <c r="I826" s="10">
        <v>446.87</v>
      </c>
      <c r="J826" s="10">
        <v>1731.99</v>
      </c>
      <c r="L826" s="3">
        <v>0</v>
      </c>
      <c r="M826" t="s">
        <v>39</v>
      </c>
      <c r="N826" s="10">
        <v>122</v>
      </c>
      <c r="O826" t="s">
        <v>47</v>
      </c>
      <c r="P826" s="5">
        <v>46038</v>
      </c>
      <c r="Q826" s="5">
        <v>46046</v>
      </c>
      <c r="R826" s="5">
        <v>46043</v>
      </c>
      <c r="S826" t="s">
        <v>33</v>
      </c>
      <c r="T826" s="6">
        <v>5</v>
      </c>
      <c r="U826" t="s">
        <v>84</v>
      </c>
      <c r="V826" s="10">
        <v>3463.98</v>
      </c>
      <c r="W826" s="10">
        <v>893.74</v>
      </c>
      <c r="X826" s="10">
        <v>2448.2399999999998</v>
      </c>
      <c r="Y826" s="11">
        <v>0.70677082431191862</v>
      </c>
      <c r="Z826" s="6">
        <v>-3</v>
      </c>
      <c r="AA826" t="s">
        <v>35</v>
      </c>
    </row>
    <row r="827" spans="1:27" x14ac:dyDescent="0.25">
      <c r="A827" t="s">
        <v>968</v>
      </c>
      <c r="B827">
        <v>112</v>
      </c>
      <c r="C827" s="9">
        <v>46038.284988425927</v>
      </c>
      <c r="D827" t="s">
        <v>105</v>
      </c>
      <c r="E827" t="s">
        <v>106</v>
      </c>
      <c r="F827" t="s">
        <v>30</v>
      </c>
      <c r="G827">
        <v>2019</v>
      </c>
      <c r="H827" s="6">
        <v>3</v>
      </c>
      <c r="I827" s="10">
        <v>361.98</v>
      </c>
      <c r="J827" s="10">
        <v>477.33</v>
      </c>
      <c r="L827" s="3">
        <v>0</v>
      </c>
      <c r="M827" t="s">
        <v>31</v>
      </c>
      <c r="N827" s="10">
        <v>81.599999999999994</v>
      </c>
      <c r="O827" t="s">
        <v>97</v>
      </c>
      <c r="P827" s="5">
        <v>46039</v>
      </c>
      <c r="Q827" s="5">
        <v>46045</v>
      </c>
      <c r="R827" s="5">
        <v>46041</v>
      </c>
      <c r="S827" t="s">
        <v>33</v>
      </c>
      <c r="T827" s="6">
        <v>5</v>
      </c>
      <c r="U827" t="s">
        <v>211</v>
      </c>
      <c r="V827" s="10">
        <v>1431.99</v>
      </c>
      <c r="W827" s="10">
        <v>1085.94</v>
      </c>
      <c r="X827" s="10">
        <v>264.44999999999987</v>
      </c>
      <c r="Y827" s="11">
        <v>0.18467307732595889</v>
      </c>
      <c r="Z827" s="6">
        <v>-4</v>
      </c>
      <c r="AA827" t="s">
        <v>35</v>
      </c>
    </row>
    <row r="828" spans="1:27" x14ac:dyDescent="0.25">
      <c r="A828" t="s">
        <v>969</v>
      </c>
      <c r="B828">
        <v>126</v>
      </c>
      <c r="C828" s="9">
        <v>46038.724699074082</v>
      </c>
      <c r="D828" t="s">
        <v>137</v>
      </c>
      <c r="E828" t="s">
        <v>138</v>
      </c>
      <c r="F828" t="s">
        <v>52</v>
      </c>
      <c r="G828">
        <v>363</v>
      </c>
      <c r="H828" s="6">
        <v>1</v>
      </c>
      <c r="I828" s="10">
        <v>109.91</v>
      </c>
      <c r="J828" s="10">
        <v>205.08</v>
      </c>
      <c r="L828" s="3">
        <v>0</v>
      </c>
      <c r="M828" t="s">
        <v>76</v>
      </c>
      <c r="N828" s="10">
        <v>37.799999999999997</v>
      </c>
      <c r="O828" t="s">
        <v>62</v>
      </c>
      <c r="P828" s="5">
        <v>46039</v>
      </c>
      <c r="Q828" s="5">
        <v>46048</v>
      </c>
      <c r="R828" s="5">
        <v>46052</v>
      </c>
      <c r="S828" t="s">
        <v>33</v>
      </c>
      <c r="T828" s="6">
        <v>2</v>
      </c>
      <c r="U828" t="s">
        <v>180</v>
      </c>
      <c r="V828" s="10">
        <v>205.08</v>
      </c>
      <c r="W828" s="10">
        <v>109.91</v>
      </c>
      <c r="X828" s="10">
        <v>57.370000000000019</v>
      </c>
      <c r="Y828" s="11">
        <v>0.27974448995513951</v>
      </c>
      <c r="Z828" s="6">
        <v>4</v>
      </c>
      <c r="AA828" t="s">
        <v>103</v>
      </c>
    </row>
    <row r="829" spans="1:27" x14ac:dyDescent="0.25">
      <c r="A829" t="s">
        <v>970</v>
      </c>
      <c r="B829">
        <v>22</v>
      </c>
      <c r="C829" s="9">
        <v>46038.769803240742</v>
      </c>
      <c r="D829" t="s">
        <v>148</v>
      </c>
      <c r="E829" t="s">
        <v>149</v>
      </c>
      <c r="F829" t="s">
        <v>30</v>
      </c>
      <c r="G829">
        <v>2824</v>
      </c>
      <c r="H829" s="6">
        <v>2</v>
      </c>
      <c r="I829" s="10">
        <v>512.73</v>
      </c>
      <c r="J829" s="10">
        <v>736.28</v>
      </c>
      <c r="K829" t="s">
        <v>60</v>
      </c>
      <c r="L829" s="3">
        <v>0.2</v>
      </c>
      <c r="M829" t="s">
        <v>76</v>
      </c>
      <c r="N829" s="10">
        <v>60.4</v>
      </c>
      <c r="O829" t="s">
        <v>32</v>
      </c>
      <c r="P829" s="5">
        <v>46039</v>
      </c>
      <c r="Q829" s="5">
        <v>46046</v>
      </c>
      <c r="R829" s="5">
        <v>46046</v>
      </c>
      <c r="S829" t="s">
        <v>33</v>
      </c>
      <c r="T829" s="6">
        <v>5</v>
      </c>
      <c r="U829" t="s">
        <v>77</v>
      </c>
      <c r="V829" s="10">
        <v>1178.048</v>
      </c>
      <c r="W829" s="10">
        <v>1025.46</v>
      </c>
      <c r="X829" s="10">
        <v>92.18799999999996</v>
      </c>
      <c r="Y829" s="11">
        <v>7.8254875862443604E-2</v>
      </c>
      <c r="Z829" s="6">
        <v>0</v>
      </c>
      <c r="AA829" t="s">
        <v>35</v>
      </c>
    </row>
    <row r="830" spans="1:27" x14ac:dyDescent="0.25">
      <c r="A830" t="s">
        <v>971</v>
      </c>
      <c r="B830">
        <v>199</v>
      </c>
      <c r="C830" s="9">
        <v>46039.23814814815</v>
      </c>
      <c r="D830" t="s">
        <v>89</v>
      </c>
      <c r="E830" t="s">
        <v>90</v>
      </c>
      <c r="F830" t="s">
        <v>52</v>
      </c>
      <c r="G830">
        <v>332</v>
      </c>
      <c r="H830" s="6">
        <v>2</v>
      </c>
      <c r="I830" s="10">
        <v>71.73</v>
      </c>
      <c r="J830" s="10">
        <v>187.01</v>
      </c>
      <c r="L830" s="3">
        <v>0</v>
      </c>
      <c r="M830" t="s">
        <v>39</v>
      </c>
      <c r="N830" s="10">
        <v>34.119999999999997</v>
      </c>
      <c r="O830" t="s">
        <v>47</v>
      </c>
      <c r="P830" s="5">
        <v>46041</v>
      </c>
      <c r="Q830" s="5">
        <v>46046</v>
      </c>
      <c r="R830" s="5">
        <v>46049</v>
      </c>
      <c r="S830" t="s">
        <v>33</v>
      </c>
      <c r="T830" s="6">
        <v>3</v>
      </c>
      <c r="U830" t="s">
        <v>230</v>
      </c>
      <c r="V830" s="10">
        <v>374.02</v>
      </c>
      <c r="W830" s="10">
        <v>143.46</v>
      </c>
      <c r="X830" s="10">
        <v>196.44</v>
      </c>
      <c r="Y830" s="11">
        <v>0.52521255547831658</v>
      </c>
      <c r="Z830" s="6">
        <v>3</v>
      </c>
      <c r="AA830" t="s">
        <v>103</v>
      </c>
    </row>
    <row r="831" spans="1:27" x14ac:dyDescent="0.25">
      <c r="A831" t="s">
        <v>972</v>
      </c>
      <c r="B831">
        <v>77</v>
      </c>
      <c r="C831" s="9">
        <v>46039.281643518523</v>
      </c>
      <c r="D831" t="s">
        <v>92</v>
      </c>
      <c r="E831" t="s">
        <v>93</v>
      </c>
      <c r="F831" t="s">
        <v>52</v>
      </c>
      <c r="G831">
        <v>226</v>
      </c>
      <c r="H831" s="6">
        <v>3</v>
      </c>
      <c r="I831" s="10">
        <v>49.24</v>
      </c>
      <c r="J831" s="10">
        <v>100.18</v>
      </c>
      <c r="L831" s="3">
        <v>0</v>
      </c>
      <c r="M831" t="s">
        <v>31</v>
      </c>
      <c r="N831" s="10">
        <v>44.02</v>
      </c>
      <c r="O831" t="s">
        <v>83</v>
      </c>
      <c r="P831" s="5">
        <v>46040</v>
      </c>
      <c r="Q831" s="5">
        <v>46048</v>
      </c>
      <c r="R831" s="5">
        <v>46047</v>
      </c>
      <c r="S831" t="s">
        <v>33</v>
      </c>
      <c r="T831" s="6">
        <v>4</v>
      </c>
      <c r="U831" t="s">
        <v>211</v>
      </c>
      <c r="V831" s="10">
        <v>300.54000000000002</v>
      </c>
      <c r="W831" s="10">
        <v>147.72</v>
      </c>
      <c r="X831" s="10">
        <v>108.8</v>
      </c>
      <c r="Y831" s="11">
        <v>0.36201503959539499</v>
      </c>
      <c r="Z831" s="6">
        <v>-1</v>
      </c>
      <c r="AA831" t="s">
        <v>35</v>
      </c>
    </row>
    <row r="832" spans="1:27" x14ac:dyDescent="0.25">
      <c r="A832" t="s">
        <v>973</v>
      </c>
      <c r="B832">
        <v>194</v>
      </c>
      <c r="C832" s="9">
        <v>46039.411064814813</v>
      </c>
      <c r="D832" t="s">
        <v>71</v>
      </c>
      <c r="E832" t="s">
        <v>72</v>
      </c>
      <c r="F832" t="s">
        <v>52</v>
      </c>
      <c r="G832">
        <v>243</v>
      </c>
      <c r="H832" s="6">
        <v>3</v>
      </c>
      <c r="I832" s="10">
        <v>45.81</v>
      </c>
      <c r="J832" s="10">
        <v>73.400000000000006</v>
      </c>
      <c r="K832" t="s">
        <v>46</v>
      </c>
      <c r="L832" s="3">
        <v>0.1</v>
      </c>
      <c r="M832" t="s">
        <v>76</v>
      </c>
      <c r="N832" s="10">
        <v>54.84</v>
      </c>
      <c r="O832" t="s">
        <v>62</v>
      </c>
      <c r="P832" s="5">
        <v>46040</v>
      </c>
      <c r="Q832" s="5">
        <v>46050</v>
      </c>
      <c r="R832" s="5">
        <v>46047</v>
      </c>
      <c r="S832" t="s">
        <v>33</v>
      </c>
      <c r="T832" s="6">
        <v>4</v>
      </c>
      <c r="U832" t="s">
        <v>84</v>
      </c>
      <c r="V832" s="10">
        <v>198.18</v>
      </c>
      <c r="W832" s="10">
        <v>137.43</v>
      </c>
      <c r="X832" s="10">
        <v>5.9099999999999966</v>
      </c>
      <c r="Y832" s="11">
        <v>2.9821374508022989E-2</v>
      </c>
      <c r="Z832" s="6">
        <v>-3</v>
      </c>
      <c r="AA832" t="s">
        <v>35</v>
      </c>
    </row>
    <row r="833" spans="1:27" x14ac:dyDescent="0.25">
      <c r="A833" t="s">
        <v>974</v>
      </c>
      <c r="B833">
        <v>28</v>
      </c>
      <c r="C833" s="9">
        <v>46041.168171296304</v>
      </c>
      <c r="D833" t="s">
        <v>92</v>
      </c>
      <c r="E833" t="s">
        <v>93</v>
      </c>
      <c r="F833" t="s">
        <v>52</v>
      </c>
      <c r="G833">
        <v>260</v>
      </c>
      <c r="H833" s="6">
        <v>1</v>
      </c>
      <c r="I833" s="10">
        <v>26.14</v>
      </c>
      <c r="J833" s="10">
        <v>115.38</v>
      </c>
      <c r="L833" s="3">
        <v>0</v>
      </c>
      <c r="M833" t="s">
        <v>76</v>
      </c>
      <c r="N833" s="10">
        <v>36.93</v>
      </c>
      <c r="O833" t="s">
        <v>40</v>
      </c>
      <c r="P833" s="5">
        <v>46042</v>
      </c>
      <c r="Q833" s="5">
        <v>46048</v>
      </c>
      <c r="R833" s="5">
        <v>46045</v>
      </c>
      <c r="S833" t="s">
        <v>33</v>
      </c>
      <c r="T833" s="6">
        <v>4</v>
      </c>
      <c r="U833" t="s">
        <v>119</v>
      </c>
      <c r="V833" s="10">
        <v>115.38</v>
      </c>
      <c r="W833" s="10">
        <v>26.14</v>
      </c>
      <c r="X833" s="10">
        <v>52.31</v>
      </c>
      <c r="Y833" s="11">
        <v>0.45337146819206098</v>
      </c>
      <c r="Z833" s="6">
        <v>-3</v>
      </c>
      <c r="AA833" t="s">
        <v>35</v>
      </c>
    </row>
    <row r="834" spans="1:27" x14ac:dyDescent="0.25">
      <c r="A834" t="s">
        <v>975</v>
      </c>
      <c r="B834">
        <v>52</v>
      </c>
      <c r="C834" s="9">
        <v>46041.718078703707</v>
      </c>
      <c r="D834" t="s">
        <v>164</v>
      </c>
      <c r="E834" t="s">
        <v>165</v>
      </c>
      <c r="F834" t="s">
        <v>116</v>
      </c>
      <c r="G834">
        <v>0</v>
      </c>
      <c r="H834" s="6">
        <v>1</v>
      </c>
      <c r="I834" s="10">
        <v>347.7</v>
      </c>
      <c r="J834" s="10">
        <v>431.67</v>
      </c>
      <c r="L834" s="3">
        <v>0</v>
      </c>
      <c r="M834" t="s">
        <v>39</v>
      </c>
      <c r="N834" s="10">
        <v>21.73</v>
      </c>
      <c r="O834" t="s">
        <v>68</v>
      </c>
      <c r="P834" s="5">
        <v>46042</v>
      </c>
      <c r="Q834" s="5">
        <v>46051</v>
      </c>
      <c r="R834" s="5">
        <v>46046</v>
      </c>
      <c r="S834" t="s">
        <v>33</v>
      </c>
      <c r="T834" s="6">
        <v>5</v>
      </c>
      <c r="U834" t="s">
        <v>84</v>
      </c>
      <c r="V834" s="10">
        <v>431.67</v>
      </c>
      <c r="W834" s="10">
        <v>347.7</v>
      </c>
      <c r="X834" s="10">
        <v>62.240000000000023</v>
      </c>
      <c r="Y834" s="11">
        <v>0.14418421479370819</v>
      </c>
      <c r="Z834" s="6">
        <v>-5</v>
      </c>
      <c r="AA834" t="s">
        <v>35</v>
      </c>
    </row>
    <row r="835" spans="1:27" x14ac:dyDescent="0.25">
      <c r="A835" t="s">
        <v>976</v>
      </c>
      <c r="B835">
        <v>170</v>
      </c>
      <c r="C835" s="9">
        <v>46041.859236111108</v>
      </c>
      <c r="D835" t="s">
        <v>50</v>
      </c>
      <c r="E835" t="s">
        <v>51</v>
      </c>
      <c r="F835" t="s">
        <v>52</v>
      </c>
      <c r="G835">
        <v>616</v>
      </c>
      <c r="H835" s="6">
        <v>3</v>
      </c>
      <c r="I835" s="10">
        <v>132.9</v>
      </c>
      <c r="J835" s="10">
        <v>298.3</v>
      </c>
      <c r="L835" s="3">
        <v>0</v>
      </c>
      <c r="M835" t="s">
        <v>39</v>
      </c>
      <c r="N835" s="10">
        <v>20.350000000000001</v>
      </c>
      <c r="O835" t="s">
        <v>133</v>
      </c>
      <c r="P835" s="5">
        <v>46043</v>
      </c>
      <c r="Q835" s="5">
        <v>46048</v>
      </c>
      <c r="R835" s="5">
        <v>46047</v>
      </c>
      <c r="S835" t="s">
        <v>33</v>
      </c>
      <c r="T835" s="6">
        <v>4</v>
      </c>
      <c r="U835" t="s">
        <v>48</v>
      </c>
      <c r="V835" s="10">
        <v>894.90000000000009</v>
      </c>
      <c r="W835" s="10">
        <v>398.7</v>
      </c>
      <c r="X835" s="10">
        <v>475.85</v>
      </c>
      <c r="Y835" s="11">
        <v>0.53173538942898646</v>
      </c>
      <c r="Z835" s="6">
        <v>-1</v>
      </c>
      <c r="AA835" t="s">
        <v>35</v>
      </c>
    </row>
    <row r="836" spans="1:27" x14ac:dyDescent="0.25">
      <c r="A836" t="s">
        <v>977</v>
      </c>
      <c r="B836">
        <v>108</v>
      </c>
      <c r="C836" s="9">
        <v>46042.059513888889</v>
      </c>
      <c r="D836" t="s">
        <v>92</v>
      </c>
      <c r="E836" t="s">
        <v>93</v>
      </c>
      <c r="F836" t="s">
        <v>52</v>
      </c>
      <c r="G836">
        <v>300</v>
      </c>
      <c r="H836" s="6">
        <v>1</v>
      </c>
      <c r="I836" s="10">
        <v>24.27</v>
      </c>
      <c r="J836" s="10">
        <v>57.58</v>
      </c>
      <c r="L836" s="3">
        <v>0</v>
      </c>
      <c r="M836" t="s">
        <v>39</v>
      </c>
      <c r="N836" s="10">
        <v>47.44</v>
      </c>
      <c r="O836" t="s">
        <v>47</v>
      </c>
      <c r="P836" s="5">
        <v>46043</v>
      </c>
      <c r="Q836" s="5">
        <v>46051</v>
      </c>
      <c r="R836" s="5">
        <v>46045</v>
      </c>
      <c r="S836" t="s">
        <v>33</v>
      </c>
      <c r="T836" s="6">
        <v>4</v>
      </c>
      <c r="U836" t="s">
        <v>48</v>
      </c>
      <c r="V836" s="10">
        <v>57.58</v>
      </c>
      <c r="W836" s="10">
        <v>24.27</v>
      </c>
      <c r="X836" s="10">
        <v>-14.13</v>
      </c>
      <c r="Y836" s="11">
        <v>-0.2453977075373393</v>
      </c>
      <c r="Z836" s="6">
        <v>-6</v>
      </c>
      <c r="AA836" t="s">
        <v>35</v>
      </c>
    </row>
    <row r="837" spans="1:27" x14ac:dyDescent="0.25">
      <c r="A837" t="s">
        <v>978</v>
      </c>
      <c r="B837">
        <v>50</v>
      </c>
      <c r="C837" s="9">
        <v>46042.327615740738</v>
      </c>
      <c r="D837" t="s">
        <v>148</v>
      </c>
      <c r="E837" t="s">
        <v>149</v>
      </c>
      <c r="F837" t="s">
        <v>30</v>
      </c>
      <c r="G837">
        <v>2707</v>
      </c>
      <c r="H837" s="6">
        <v>1</v>
      </c>
      <c r="I837" s="10">
        <v>331.84</v>
      </c>
      <c r="J837" s="10">
        <v>714.7</v>
      </c>
      <c r="L837" s="3">
        <v>0</v>
      </c>
      <c r="M837" t="s">
        <v>76</v>
      </c>
      <c r="N837" s="10">
        <v>83.4</v>
      </c>
      <c r="O837" t="s">
        <v>264</v>
      </c>
      <c r="P837" s="5">
        <v>46044</v>
      </c>
      <c r="Q837" s="5">
        <v>46049</v>
      </c>
      <c r="R837" s="5">
        <v>46052</v>
      </c>
      <c r="S837" t="s">
        <v>33</v>
      </c>
      <c r="T837" s="6">
        <v>3</v>
      </c>
      <c r="U837" t="s">
        <v>405</v>
      </c>
      <c r="V837" s="10">
        <v>714.7</v>
      </c>
      <c r="W837" s="10">
        <v>331.84</v>
      </c>
      <c r="X837" s="10">
        <v>299.45999999999998</v>
      </c>
      <c r="Y837" s="11">
        <v>0.41900097943192949</v>
      </c>
      <c r="Z837" s="6">
        <v>3</v>
      </c>
      <c r="AA837" t="s">
        <v>103</v>
      </c>
    </row>
    <row r="838" spans="1:27" x14ac:dyDescent="0.25">
      <c r="A838" t="s">
        <v>979</v>
      </c>
      <c r="B838">
        <v>22</v>
      </c>
      <c r="C838" s="9">
        <v>46042.979016203702</v>
      </c>
      <c r="D838" t="s">
        <v>28</v>
      </c>
      <c r="E838" t="s">
        <v>29</v>
      </c>
      <c r="F838" t="s">
        <v>30</v>
      </c>
      <c r="G838">
        <v>2290</v>
      </c>
      <c r="H838" s="6">
        <v>1</v>
      </c>
      <c r="I838" s="10">
        <v>1656.55</v>
      </c>
      <c r="J838" s="10">
        <v>3880.9</v>
      </c>
      <c r="L838" s="3">
        <v>0</v>
      </c>
      <c r="M838" t="s">
        <v>76</v>
      </c>
      <c r="N838" s="10">
        <v>89.24</v>
      </c>
      <c r="O838" t="s">
        <v>101</v>
      </c>
      <c r="P838" s="5">
        <v>46044</v>
      </c>
      <c r="Q838" s="5">
        <v>46050</v>
      </c>
      <c r="R838" s="5">
        <v>46048</v>
      </c>
      <c r="S838" t="s">
        <v>33</v>
      </c>
      <c r="T838" s="6">
        <v>5</v>
      </c>
      <c r="U838" t="s">
        <v>211</v>
      </c>
      <c r="V838" s="10">
        <v>3880.9</v>
      </c>
      <c r="W838" s="10">
        <v>1656.55</v>
      </c>
      <c r="X838" s="10">
        <v>2135.110000000001</v>
      </c>
      <c r="Y838" s="11">
        <v>0.55015846839650606</v>
      </c>
      <c r="Z838" s="6">
        <v>-2</v>
      </c>
      <c r="AA838" t="s">
        <v>35</v>
      </c>
    </row>
    <row r="839" spans="1:27" x14ac:dyDescent="0.25">
      <c r="A839" t="s">
        <v>980</v>
      </c>
      <c r="B839">
        <v>171</v>
      </c>
      <c r="C839" s="9">
        <v>46043.75677083333</v>
      </c>
      <c r="D839" t="s">
        <v>58</v>
      </c>
      <c r="E839" t="s">
        <v>59</v>
      </c>
      <c r="F839" t="s">
        <v>30</v>
      </c>
      <c r="G839">
        <v>4355</v>
      </c>
      <c r="H839" s="6">
        <v>2</v>
      </c>
      <c r="I839" s="10">
        <v>420.51</v>
      </c>
      <c r="J839" s="10">
        <v>658.94</v>
      </c>
      <c r="L839" s="3">
        <v>0</v>
      </c>
      <c r="M839" t="s">
        <v>76</v>
      </c>
      <c r="N839" s="10">
        <v>93.58</v>
      </c>
      <c r="O839" t="s">
        <v>68</v>
      </c>
      <c r="P839" s="5">
        <v>46044</v>
      </c>
      <c r="Q839" s="5">
        <v>46053</v>
      </c>
      <c r="R839" s="5">
        <v>46048</v>
      </c>
      <c r="S839" t="s">
        <v>33</v>
      </c>
      <c r="T839" s="6">
        <v>5</v>
      </c>
      <c r="U839" t="s">
        <v>166</v>
      </c>
      <c r="V839" s="10">
        <v>1317.88</v>
      </c>
      <c r="W839" s="10">
        <v>841.02</v>
      </c>
      <c r="X839" s="10">
        <v>383.28000000000009</v>
      </c>
      <c r="Y839" s="11">
        <v>0.29083072813913258</v>
      </c>
      <c r="Z839" s="6">
        <v>-5</v>
      </c>
      <c r="AA839" t="s">
        <v>35</v>
      </c>
    </row>
    <row r="840" spans="1:27" x14ac:dyDescent="0.25">
      <c r="A840" t="s">
        <v>981</v>
      </c>
      <c r="B840">
        <v>175</v>
      </c>
      <c r="C840" s="9">
        <v>46043.97320601852</v>
      </c>
      <c r="D840" t="s">
        <v>123</v>
      </c>
      <c r="E840" t="s">
        <v>124</v>
      </c>
      <c r="F840" t="s">
        <v>45</v>
      </c>
      <c r="G840">
        <v>0</v>
      </c>
      <c r="H840" s="6">
        <v>3</v>
      </c>
      <c r="I840" s="10">
        <v>269.29000000000002</v>
      </c>
      <c r="J840" s="10">
        <v>346.09</v>
      </c>
      <c r="L840" s="3">
        <v>0</v>
      </c>
      <c r="M840" t="s">
        <v>76</v>
      </c>
      <c r="N840" s="10">
        <v>16.95</v>
      </c>
      <c r="O840" t="s">
        <v>40</v>
      </c>
      <c r="P840" s="5">
        <v>46044</v>
      </c>
      <c r="Q840" s="5">
        <v>46054</v>
      </c>
      <c r="R840" s="5">
        <v>46049</v>
      </c>
      <c r="S840" t="s">
        <v>33</v>
      </c>
      <c r="T840" s="6">
        <v>5</v>
      </c>
      <c r="U840" t="s">
        <v>48</v>
      </c>
      <c r="V840" s="10">
        <v>1038.27</v>
      </c>
      <c r="W840" s="10">
        <v>807.87000000000012</v>
      </c>
      <c r="X840" s="10">
        <v>213.4499999999999</v>
      </c>
      <c r="Y840" s="11">
        <v>0.20558236296916979</v>
      </c>
      <c r="Z840" s="6">
        <v>-5</v>
      </c>
      <c r="AA840" t="s">
        <v>35</v>
      </c>
    </row>
    <row r="841" spans="1:27" x14ac:dyDescent="0.25">
      <c r="A841" t="s">
        <v>982</v>
      </c>
      <c r="B841">
        <v>33</v>
      </c>
      <c r="C841" s="9">
        <v>46044.071550925917</v>
      </c>
      <c r="D841" t="s">
        <v>58</v>
      </c>
      <c r="E841" t="s">
        <v>59</v>
      </c>
      <c r="F841" t="s">
        <v>30</v>
      </c>
      <c r="G841">
        <v>4717</v>
      </c>
      <c r="H841" s="6">
        <v>3</v>
      </c>
      <c r="I841" s="10">
        <v>262.33999999999997</v>
      </c>
      <c r="J841" s="10">
        <v>384.84</v>
      </c>
      <c r="L841" s="3">
        <v>0</v>
      </c>
      <c r="M841" t="s">
        <v>61</v>
      </c>
      <c r="N841" s="10">
        <v>81.73</v>
      </c>
      <c r="O841" t="s">
        <v>157</v>
      </c>
      <c r="P841" s="5">
        <v>46045</v>
      </c>
      <c r="Q841" s="5">
        <v>46053</v>
      </c>
      <c r="R841" s="5">
        <v>46049</v>
      </c>
      <c r="S841" t="s">
        <v>33</v>
      </c>
      <c r="T841" s="6">
        <v>4</v>
      </c>
      <c r="U841" t="s">
        <v>134</v>
      </c>
      <c r="V841" s="10">
        <v>1154.52</v>
      </c>
      <c r="W841" s="10">
        <v>787.02</v>
      </c>
      <c r="X841" s="10">
        <v>285.77</v>
      </c>
      <c r="Y841" s="11">
        <v>0.24752278002979591</v>
      </c>
      <c r="Z841" s="6">
        <v>-4</v>
      </c>
      <c r="AA841" t="s">
        <v>35</v>
      </c>
    </row>
    <row r="842" spans="1:27" x14ac:dyDescent="0.25">
      <c r="A842" t="s">
        <v>983</v>
      </c>
      <c r="B842">
        <v>143</v>
      </c>
      <c r="C842" s="9">
        <v>46044.271006944437</v>
      </c>
      <c r="D842" t="s">
        <v>37</v>
      </c>
      <c r="E842" t="s">
        <v>38</v>
      </c>
      <c r="F842" t="s">
        <v>30</v>
      </c>
      <c r="G842">
        <v>2379</v>
      </c>
      <c r="H842" s="6">
        <v>3</v>
      </c>
      <c r="I842" s="10">
        <v>460.2</v>
      </c>
      <c r="J842" s="10">
        <v>724.18</v>
      </c>
      <c r="L842" s="3">
        <v>0</v>
      </c>
      <c r="M842" t="s">
        <v>39</v>
      </c>
      <c r="N842" s="10">
        <v>94.66</v>
      </c>
      <c r="O842" t="s">
        <v>40</v>
      </c>
      <c r="P842" s="5">
        <v>46046</v>
      </c>
      <c r="Q842" s="5">
        <v>46054</v>
      </c>
      <c r="R842" s="5">
        <v>46052</v>
      </c>
      <c r="S842" t="s">
        <v>33</v>
      </c>
      <c r="T842" s="6">
        <v>5</v>
      </c>
      <c r="U842" t="s">
        <v>134</v>
      </c>
      <c r="V842" s="10">
        <v>2172.54</v>
      </c>
      <c r="W842" s="10">
        <v>1380.6</v>
      </c>
      <c r="X842" s="10">
        <v>697.28000000000009</v>
      </c>
      <c r="Y842" s="11">
        <v>0.32095151297559538</v>
      </c>
      <c r="Z842" s="6">
        <v>-2</v>
      </c>
      <c r="AA842" t="s">
        <v>35</v>
      </c>
    </row>
    <row r="843" spans="1:27" x14ac:dyDescent="0.25">
      <c r="A843" t="s">
        <v>984</v>
      </c>
      <c r="B843">
        <v>78</v>
      </c>
      <c r="C843" s="9">
        <v>46044.610682870371</v>
      </c>
      <c r="D843" t="s">
        <v>92</v>
      </c>
      <c r="E843" t="s">
        <v>93</v>
      </c>
      <c r="F843" t="s">
        <v>52</v>
      </c>
      <c r="G843">
        <v>222</v>
      </c>
      <c r="H843" s="6">
        <v>3</v>
      </c>
      <c r="I843" s="10">
        <v>46.35</v>
      </c>
      <c r="J843" s="10">
        <v>94.96</v>
      </c>
      <c r="L843" s="3">
        <v>0</v>
      </c>
      <c r="M843" t="s">
        <v>39</v>
      </c>
      <c r="N843" s="10">
        <v>42.41</v>
      </c>
      <c r="O843" t="s">
        <v>62</v>
      </c>
      <c r="P843" s="5">
        <v>46045</v>
      </c>
      <c r="Q843" s="5">
        <v>46051</v>
      </c>
      <c r="S843" t="s">
        <v>54</v>
      </c>
      <c r="T843" s="6">
        <v>2</v>
      </c>
      <c r="U843" t="s">
        <v>168</v>
      </c>
      <c r="V843" s="10">
        <v>284.88</v>
      </c>
      <c r="W843" s="10">
        <v>139.05000000000001</v>
      </c>
      <c r="X843" s="10">
        <v>103.42</v>
      </c>
      <c r="Y843" s="11">
        <v>0.36303004773939901</v>
      </c>
      <c r="Z843" s="6"/>
      <c r="AA843" t="s">
        <v>56</v>
      </c>
    </row>
    <row r="844" spans="1:27" x14ac:dyDescent="0.25">
      <c r="A844" t="s">
        <v>985</v>
      </c>
      <c r="B844">
        <v>30</v>
      </c>
      <c r="C844" s="9">
        <v>46044.922384259262</v>
      </c>
      <c r="D844" t="s">
        <v>74</v>
      </c>
      <c r="E844" t="s">
        <v>75</v>
      </c>
      <c r="F844" t="s">
        <v>30</v>
      </c>
      <c r="G844">
        <v>2379</v>
      </c>
      <c r="H844" s="6">
        <v>3</v>
      </c>
      <c r="I844" s="10">
        <v>2609.8200000000002</v>
      </c>
      <c r="J844" s="10">
        <v>4263.25</v>
      </c>
      <c r="L844" s="3">
        <v>0</v>
      </c>
      <c r="M844" t="s">
        <v>39</v>
      </c>
      <c r="N844" s="10">
        <v>118.7</v>
      </c>
      <c r="O844" t="s">
        <v>47</v>
      </c>
      <c r="P844" s="5">
        <v>46046</v>
      </c>
      <c r="Q844" s="5">
        <v>46054</v>
      </c>
      <c r="R844" s="5">
        <v>46050</v>
      </c>
      <c r="S844" t="s">
        <v>33</v>
      </c>
      <c r="T844" s="6">
        <v>5</v>
      </c>
      <c r="U844" t="s">
        <v>211</v>
      </c>
      <c r="V844" s="10">
        <v>12789.75</v>
      </c>
      <c r="W844" s="10">
        <v>7829.4600000000009</v>
      </c>
      <c r="X844" s="10">
        <v>4841.5899999999992</v>
      </c>
      <c r="Y844" s="11">
        <v>0.37855235637913159</v>
      </c>
      <c r="Z844" s="6">
        <v>-4</v>
      </c>
      <c r="AA844" t="s">
        <v>35</v>
      </c>
    </row>
    <row r="845" spans="1:27" x14ac:dyDescent="0.25">
      <c r="A845" t="s">
        <v>986</v>
      </c>
      <c r="B845">
        <v>61</v>
      </c>
      <c r="C845" s="9">
        <v>46045.054224537038</v>
      </c>
      <c r="D845" t="s">
        <v>92</v>
      </c>
      <c r="E845" t="s">
        <v>93</v>
      </c>
      <c r="F845" t="s">
        <v>52</v>
      </c>
      <c r="G845">
        <v>288</v>
      </c>
      <c r="H845" s="6">
        <v>1</v>
      </c>
      <c r="I845" s="10">
        <v>34.54</v>
      </c>
      <c r="J845" s="10">
        <v>110.59</v>
      </c>
      <c r="L845" s="3">
        <v>0</v>
      </c>
      <c r="M845" t="s">
        <v>31</v>
      </c>
      <c r="N845" s="10">
        <v>38.200000000000003</v>
      </c>
      <c r="O845" t="s">
        <v>47</v>
      </c>
      <c r="P845" s="5">
        <v>46046</v>
      </c>
      <c r="Q845" s="5">
        <v>46055</v>
      </c>
      <c r="R845" s="5">
        <v>46055</v>
      </c>
      <c r="S845" t="s">
        <v>33</v>
      </c>
      <c r="T845" s="6">
        <v>4</v>
      </c>
      <c r="U845" t="s">
        <v>41</v>
      </c>
      <c r="V845" s="10">
        <v>110.59</v>
      </c>
      <c r="W845" s="10">
        <v>34.54</v>
      </c>
      <c r="X845" s="10">
        <v>37.850000000000009</v>
      </c>
      <c r="Y845" s="11">
        <v>0.34225517677909401</v>
      </c>
      <c r="Z845" s="6">
        <v>0</v>
      </c>
      <c r="AA845" t="s">
        <v>35</v>
      </c>
    </row>
    <row r="846" spans="1:27" x14ac:dyDescent="0.25">
      <c r="A846" t="s">
        <v>987</v>
      </c>
      <c r="B846">
        <v>12</v>
      </c>
      <c r="C846" s="9">
        <v>46045.373287037037</v>
      </c>
      <c r="D846" t="s">
        <v>43</v>
      </c>
      <c r="E846" t="s">
        <v>44</v>
      </c>
      <c r="F846" t="s">
        <v>45</v>
      </c>
      <c r="G846">
        <v>0</v>
      </c>
      <c r="H846" s="6">
        <v>1</v>
      </c>
      <c r="I846" s="10">
        <v>40.64</v>
      </c>
      <c r="J846" s="10">
        <v>54.2</v>
      </c>
      <c r="L846" s="3">
        <v>0</v>
      </c>
      <c r="M846" t="s">
        <v>31</v>
      </c>
      <c r="N846" s="10">
        <v>21.22</v>
      </c>
      <c r="O846" t="s">
        <v>97</v>
      </c>
      <c r="P846" s="5">
        <v>46047</v>
      </c>
      <c r="Q846" s="5">
        <v>46057</v>
      </c>
      <c r="S846" t="s">
        <v>54</v>
      </c>
      <c r="T846" s="6">
        <v>3</v>
      </c>
      <c r="U846" t="s">
        <v>352</v>
      </c>
      <c r="V846" s="10">
        <v>54.2</v>
      </c>
      <c r="W846" s="10">
        <v>40.64</v>
      </c>
      <c r="X846" s="10">
        <v>-7.6599999999999966</v>
      </c>
      <c r="Y846" s="11">
        <v>-0.14132841328413279</v>
      </c>
      <c r="Z846" s="6"/>
      <c r="AA846" t="s">
        <v>56</v>
      </c>
    </row>
    <row r="847" spans="1:27" x14ac:dyDescent="0.25">
      <c r="A847" t="s">
        <v>988</v>
      </c>
      <c r="B847">
        <v>114</v>
      </c>
      <c r="C847" s="9">
        <v>46045.617662037039</v>
      </c>
      <c r="D847" t="s">
        <v>177</v>
      </c>
      <c r="E847" t="s">
        <v>178</v>
      </c>
      <c r="F847" t="s">
        <v>116</v>
      </c>
      <c r="G847">
        <v>0</v>
      </c>
      <c r="H847" s="6">
        <v>2</v>
      </c>
      <c r="I847" s="10">
        <v>164.53</v>
      </c>
      <c r="J847" s="10">
        <v>464.64</v>
      </c>
      <c r="K847" t="s">
        <v>60</v>
      </c>
      <c r="L847" s="3">
        <v>0.2</v>
      </c>
      <c r="M847" t="s">
        <v>31</v>
      </c>
      <c r="N847" s="10">
        <v>26.54</v>
      </c>
      <c r="O847" t="s">
        <v>40</v>
      </c>
      <c r="P847" s="5">
        <v>46046</v>
      </c>
      <c r="Q847" s="5">
        <v>46052</v>
      </c>
      <c r="R847" s="5">
        <v>46048</v>
      </c>
      <c r="S847" t="s">
        <v>33</v>
      </c>
      <c r="T847" s="6">
        <v>4</v>
      </c>
      <c r="U847" t="s">
        <v>166</v>
      </c>
      <c r="V847" s="10">
        <v>743.42399999999998</v>
      </c>
      <c r="W847" s="10">
        <v>329.06</v>
      </c>
      <c r="X847" s="10">
        <v>387.82400000000001</v>
      </c>
      <c r="Y847" s="11">
        <v>0.52167269283746553</v>
      </c>
      <c r="Z847" s="6">
        <v>-4</v>
      </c>
      <c r="AA847" t="s">
        <v>35</v>
      </c>
    </row>
    <row r="848" spans="1:27" x14ac:dyDescent="0.25">
      <c r="A848" t="s">
        <v>989</v>
      </c>
      <c r="B848">
        <v>182</v>
      </c>
      <c r="C848" s="9">
        <v>46045.777013888888</v>
      </c>
      <c r="D848" t="s">
        <v>95</v>
      </c>
      <c r="E848" t="s">
        <v>96</v>
      </c>
      <c r="F848" t="s">
        <v>52</v>
      </c>
      <c r="G848">
        <v>394</v>
      </c>
      <c r="H848" s="6">
        <v>2</v>
      </c>
      <c r="I848" s="10">
        <v>33.76</v>
      </c>
      <c r="J848" s="10">
        <v>69.55</v>
      </c>
      <c r="K848" t="s">
        <v>46</v>
      </c>
      <c r="L848" s="3">
        <v>0.1</v>
      </c>
      <c r="M848" t="s">
        <v>31</v>
      </c>
      <c r="N848" s="10">
        <v>56.19</v>
      </c>
      <c r="O848" t="s">
        <v>40</v>
      </c>
      <c r="P848" s="5">
        <v>46047</v>
      </c>
      <c r="Q848" s="5">
        <v>46056</v>
      </c>
      <c r="R848" s="5">
        <v>46054</v>
      </c>
      <c r="S848" t="s">
        <v>33</v>
      </c>
      <c r="T848" s="6">
        <v>5</v>
      </c>
      <c r="U848" t="s">
        <v>211</v>
      </c>
      <c r="V848" s="10">
        <v>125.19</v>
      </c>
      <c r="W848" s="10">
        <v>67.52</v>
      </c>
      <c r="X848" s="10">
        <v>1.480000000000004</v>
      </c>
      <c r="Y848" s="11">
        <v>1.182203051361933E-2</v>
      </c>
      <c r="Z848" s="6">
        <v>-2</v>
      </c>
      <c r="AA848" t="s">
        <v>35</v>
      </c>
    </row>
    <row r="849" spans="1:27" x14ac:dyDescent="0.25">
      <c r="A849" t="s">
        <v>990</v>
      </c>
      <c r="B849">
        <v>156</v>
      </c>
      <c r="C849" s="9">
        <v>46046.015914351847</v>
      </c>
      <c r="D849" t="s">
        <v>198</v>
      </c>
      <c r="E849" t="s">
        <v>199</v>
      </c>
      <c r="F849" t="s">
        <v>116</v>
      </c>
      <c r="G849">
        <v>0</v>
      </c>
      <c r="H849" s="6">
        <v>1</v>
      </c>
      <c r="I849" s="10">
        <v>341.83</v>
      </c>
      <c r="J849" s="10">
        <v>616.11</v>
      </c>
      <c r="L849" s="3">
        <v>0</v>
      </c>
      <c r="M849" t="s">
        <v>31</v>
      </c>
      <c r="N849" s="10">
        <v>22.76</v>
      </c>
      <c r="O849" t="s">
        <v>62</v>
      </c>
      <c r="P849" s="5">
        <v>46047</v>
      </c>
      <c r="Q849" s="5">
        <v>46052</v>
      </c>
      <c r="S849" t="s">
        <v>54</v>
      </c>
      <c r="T849" s="6">
        <v>2</v>
      </c>
      <c r="U849" t="s">
        <v>258</v>
      </c>
      <c r="V849" s="10">
        <v>616.11</v>
      </c>
      <c r="W849" s="10">
        <v>341.83</v>
      </c>
      <c r="X849" s="10">
        <v>251.52</v>
      </c>
      <c r="Y849" s="11">
        <v>0.40823878852802259</v>
      </c>
      <c r="Z849" s="6"/>
      <c r="AA849" t="s">
        <v>56</v>
      </c>
    </row>
    <row r="850" spans="1:27" x14ac:dyDescent="0.25">
      <c r="A850" t="s">
        <v>991</v>
      </c>
      <c r="B850">
        <v>137</v>
      </c>
      <c r="C850" s="9">
        <v>46046.185474537036</v>
      </c>
      <c r="D850" t="s">
        <v>155</v>
      </c>
      <c r="E850" t="s">
        <v>156</v>
      </c>
      <c r="F850" t="s">
        <v>30</v>
      </c>
      <c r="G850">
        <v>3834</v>
      </c>
      <c r="H850" s="6">
        <v>3</v>
      </c>
      <c r="I850" s="10">
        <v>671.71</v>
      </c>
      <c r="J850" s="10">
        <v>1533.2</v>
      </c>
      <c r="L850" s="3">
        <v>0</v>
      </c>
      <c r="M850" t="s">
        <v>61</v>
      </c>
      <c r="N850" s="10">
        <v>90.54</v>
      </c>
      <c r="O850" t="s">
        <v>99</v>
      </c>
      <c r="P850" s="5">
        <v>46047</v>
      </c>
      <c r="Q850" s="5">
        <v>46056</v>
      </c>
      <c r="R850" s="5">
        <v>46049</v>
      </c>
      <c r="S850" t="s">
        <v>33</v>
      </c>
      <c r="T850" s="6">
        <v>5</v>
      </c>
      <c r="U850" t="s">
        <v>34</v>
      </c>
      <c r="V850" s="10">
        <v>4599.6000000000004</v>
      </c>
      <c r="W850" s="10">
        <v>2015.13</v>
      </c>
      <c r="X850" s="10">
        <v>2493.9299999999998</v>
      </c>
      <c r="Y850" s="11">
        <v>0.54220584398643368</v>
      </c>
      <c r="Z850" s="6">
        <v>-7</v>
      </c>
      <c r="AA850" t="s">
        <v>35</v>
      </c>
    </row>
    <row r="851" spans="1:27" x14ac:dyDescent="0.25">
      <c r="A851" t="s">
        <v>992</v>
      </c>
      <c r="B851">
        <v>154</v>
      </c>
      <c r="C851" s="9">
        <v>46047.35864583333</v>
      </c>
      <c r="D851" t="s">
        <v>198</v>
      </c>
      <c r="E851" t="s">
        <v>199</v>
      </c>
      <c r="F851" t="s">
        <v>116</v>
      </c>
      <c r="G851">
        <v>0</v>
      </c>
      <c r="H851" s="6">
        <v>1</v>
      </c>
      <c r="I851" s="10">
        <v>399.68</v>
      </c>
      <c r="J851" s="10">
        <v>641.16999999999996</v>
      </c>
      <c r="K851" t="s">
        <v>46</v>
      </c>
      <c r="L851" s="3">
        <v>0.1</v>
      </c>
      <c r="M851" t="s">
        <v>39</v>
      </c>
      <c r="N851" s="10">
        <v>20.16</v>
      </c>
      <c r="O851" t="s">
        <v>97</v>
      </c>
      <c r="P851" s="5">
        <v>46048</v>
      </c>
      <c r="Q851" s="5">
        <v>46054</v>
      </c>
      <c r="R851" s="5">
        <v>46054</v>
      </c>
      <c r="S851" t="s">
        <v>33</v>
      </c>
      <c r="T851" s="6">
        <v>4</v>
      </c>
      <c r="U851" t="s">
        <v>211</v>
      </c>
      <c r="V851" s="10">
        <v>577.053</v>
      </c>
      <c r="W851" s="10">
        <v>399.68</v>
      </c>
      <c r="X851" s="10">
        <v>157.21299999999999</v>
      </c>
      <c r="Y851" s="11">
        <v>0.27244117957969199</v>
      </c>
      <c r="Z851" s="6">
        <v>0</v>
      </c>
      <c r="AA851" t="s">
        <v>35</v>
      </c>
    </row>
    <row r="852" spans="1:27" x14ac:dyDescent="0.25">
      <c r="A852" t="s">
        <v>993</v>
      </c>
      <c r="B852">
        <v>58</v>
      </c>
      <c r="C852" s="9">
        <v>46047.39199074074</v>
      </c>
      <c r="D852" t="s">
        <v>71</v>
      </c>
      <c r="E852" t="s">
        <v>72</v>
      </c>
      <c r="F852" t="s">
        <v>52</v>
      </c>
      <c r="G852">
        <v>285</v>
      </c>
      <c r="H852" s="6">
        <v>3</v>
      </c>
      <c r="I852" s="10">
        <v>49.77</v>
      </c>
      <c r="J852" s="10">
        <v>138.81</v>
      </c>
      <c r="L852" s="3">
        <v>0</v>
      </c>
      <c r="M852" t="s">
        <v>76</v>
      </c>
      <c r="N852" s="10">
        <v>29.35</v>
      </c>
      <c r="O852" t="s">
        <v>47</v>
      </c>
      <c r="P852" s="5">
        <v>46049</v>
      </c>
      <c r="Q852" s="5">
        <v>46054</v>
      </c>
      <c r="R852" s="5">
        <v>46053</v>
      </c>
      <c r="S852" t="s">
        <v>33</v>
      </c>
      <c r="T852" s="6">
        <v>5</v>
      </c>
      <c r="U852" t="s">
        <v>48</v>
      </c>
      <c r="V852" s="10">
        <v>416.43</v>
      </c>
      <c r="W852" s="10">
        <v>149.31</v>
      </c>
      <c r="X852" s="10">
        <v>237.77</v>
      </c>
      <c r="Y852" s="11">
        <v>0.57097231227337131</v>
      </c>
      <c r="Z852" s="6">
        <v>-1</v>
      </c>
      <c r="AA852" t="s">
        <v>35</v>
      </c>
    </row>
    <row r="853" spans="1:27" x14ac:dyDescent="0.25">
      <c r="A853" t="s">
        <v>994</v>
      </c>
      <c r="B853">
        <v>97</v>
      </c>
      <c r="C853" s="9">
        <v>46047.519375000003</v>
      </c>
      <c r="D853" t="s">
        <v>74</v>
      </c>
      <c r="E853" t="s">
        <v>75</v>
      </c>
      <c r="F853" t="s">
        <v>30</v>
      </c>
      <c r="G853">
        <v>2257</v>
      </c>
      <c r="H853" s="6">
        <v>1</v>
      </c>
      <c r="I853" s="10">
        <v>2329.63</v>
      </c>
      <c r="J853" s="10">
        <v>4137.8999999999996</v>
      </c>
      <c r="K853" t="s">
        <v>46</v>
      </c>
      <c r="L853" s="3">
        <v>0.1</v>
      </c>
      <c r="M853" t="s">
        <v>31</v>
      </c>
      <c r="N853" s="10">
        <v>60.79</v>
      </c>
      <c r="O853" t="s">
        <v>83</v>
      </c>
      <c r="P853" s="5">
        <v>46049</v>
      </c>
      <c r="Q853" s="5">
        <v>46057</v>
      </c>
      <c r="S853" t="s">
        <v>63</v>
      </c>
      <c r="T853" s="6">
        <v>2</v>
      </c>
      <c r="U853" t="s">
        <v>180</v>
      </c>
      <c r="V853" s="10">
        <v>3724.11</v>
      </c>
      <c r="W853" s="10">
        <v>2329.63</v>
      </c>
      <c r="X853" s="10">
        <v>1333.69</v>
      </c>
      <c r="Y853" s="11">
        <v>0.35812314888657948</v>
      </c>
      <c r="Z853" s="6"/>
      <c r="AA853" t="s">
        <v>56</v>
      </c>
    </row>
    <row r="854" spans="1:27" x14ac:dyDescent="0.25">
      <c r="A854" t="s">
        <v>995</v>
      </c>
      <c r="B854">
        <v>49</v>
      </c>
      <c r="C854" s="9">
        <v>46048.237384259257</v>
      </c>
      <c r="D854" t="s">
        <v>105</v>
      </c>
      <c r="E854" t="s">
        <v>106</v>
      </c>
      <c r="F854" t="s">
        <v>30</v>
      </c>
      <c r="G854">
        <v>2063</v>
      </c>
      <c r="H854" s="6">
        <v>2</v>
      </c>
      <c r="I854" s="10">
        <v>210.2</v>
      </c>
      <c r="J854" s="10">
        <v>378.81</v>
      </c>
      <c r="K854" t="s">
        <v>46</v>
      </c>
      <c r="L854" s="3">
        <v>0.1</v>
      </c>
      <c r="M854" t="s">
        <v>76</v>
      </c>
      <c r="N854" s="10">
        <v>108.44</v>
      </c>
      <c r="O854" t="s">
        <v>157</v>
      </c>
      <c r="P854" s="5">
        <v>46049</v>
      </c>
      <c r="Q854" s="5">
        <v>46056</v>
      </c>
      <c r="S854" t="s">
        <v>54</v>
      </c>
      <c r="T854" s="6">
        <v>3</v>
      </c>
      <c r="U854" t="s">
        <v>121</v>
      </c>
      <c r="V854" s="10">
        <v>681.85800000000006</v>
      </c>
      <c r="W854" s="10">
        <v>420.4</v>
      </c>
      <c r="X854" s="10">
        <v>153.01800000000009</v>
      </c>
      <c r="Y854" s="11">
        <v>0.22441329426361509</v>
      </c>
      <c r="Z854" s="6"/>
      <c r="AA854" t="s">
        <v>56</v>
      </c>
    </row>
    <row r="855" spans="1:27" x14ac:dyDescent="0.25">
      <c r="A855" t="s">
        <v>996</v>
      </c>
      <c r="B855">
        <v>197</v>
      </c>
      <c r="C855" s="9">
        <v>46048.504872685182</v>
      </c>
      <c r="D855" t="s">
        <v>89</v>
      </c>
      <c r="E855" t="s">
        <v>90</v>
      </c>
      <c r="F855" t="s">
        <v>52</v>
      </c>
      <c r="G855">
        <v>329</v>
      </c>
      <c r="H855" s="6">
        <v>1</v>
      </c>
      <c r="I855" s="10">
        <v>114.63</v>
      </c>
      <c r="J855" s="10">
        <v>217.32</v>
      </c>
      <c r="L855" s="3">
        <v>0</v>
      </c>
      <c r="M855" t="s">
        <v>76</v>
      </c>
      <c r="N855" s="10">
        <v>36.29</v>
      </c>
      <c r="O855" t="s">
        <v>47</v>
      </c>
      <c r="P855" s="5">
        <v>46050</v>
      </c>
      <c r="Q855" s="5">
        <v>46058</v>
      </c>
      <c r="R855" s="5">
        <v>46052</v>
      </c>
      <c r="S855" t="s">
        <v>33</v>
      </c>
      <c r="T855" s="6">
        <v>4</v>
      </c>
      <c r="U855" t="s">
        <v>77</v>
      </c>
      <c r="V855" s="10">
        <v>217.32</v>
      </c>
      <c r="W855" s="10">
        <v>114.63</v>
      </c>
      <c r="X855" s="10">
        <v>66.400000000000006</v>
      </c>
      <c r="Y855" s="11">
        <v>0.30554021719123869</v>
      </c>
      <c r="Z855" s="6">
        <v>-6</v>
      </c>
      <c r="AA855" t="s">
        <v>35</v>
      </c>
    </row>
    <row r="856" spans="1:27" x14ac:dyDescent="0.25">
      <c r="A856" t="s">
        <v>997</v>
      </c>
      <c r="B856">
        <v>57</v>
      </c>
      <c r="C856" s="9">
        <v>46048.802870370368</v>
      </c>
      <c r="D856" t="s">
        <v>50</v>
      </c>
      <c r="E856" t="s">
        <v>51</v>
      </c>
      <c r="F856" t="s">
        <v>52</v>
      </c>
      <c r="G856">
        <v>747</v>
      </c>
      <c r="H856" s="6">
        <v>1</v>
      </c>
      <c r="I856" s="10">
        <v>120.85</v>
      </c>
      <c r="J856" s="10">
        <v>158.72999999999999</v>
      </c>
      <c r="L856" s="3">
        <v>0</v>
      </c>
      <c r="M856" t="s">
        <v>39</v>
      </c>
      <c r="N856" s="10">
        <v>36.67</v>
      </c>
      <c r="O856" t="s">
        <v>47</v>
      </c>
      <c r="P856" s="5">
        <v>46049</v>
      </c>
      <c r="Q856" s="5">
        <v>46058</v>
      </c>
      <c r="R856" s="5">
        <v>46052</v>
      </c>
      <c r="S856" t="s">
        <v>33</v>
      </c>
      <c r="T856" s="6">
        <v>5</v>
      </c>
      <c r="U856" t="s">
        <v>69</v>
      </c>
      <c r="V856" s="10">
        <v>158.72999999999999</v>
      </c>
      <c r="W856" s="10">
        <v>120.85</v>
      </c>
      <c r="X856" s="10">
        <v>1.209999999999994</v>
      </c>
      <c r="Y856" s="11">
        <v>7.6230076230075841E-3</v>
      </c>
      <c r="Z856" s="6">
        <v>-6</v>
      </c>
      <c r="AA856" t="s">
        <v>35</v>
      </c>
    </row>
    <row r="857" spans="1:27" x14ac:dyDescent="0.25">
      <c r="A857" t="s">
        <v>998</v>
      </c>
      <c r="B857">
        <v>10</v>
      </c>
      <c r="C857" s="9">
        <v>46050.001261574071</v>
      </c>
      <c r="D857" t="s">
        <v>95</v>
      </c>
      <c r="E857" t="s">
        <v>96</v>
      </c>
      <c r="F857" t="s">
        <v>52</v>
      </c>
      <c r="G857">
        <v>598</v>
      </c>
      <c r="H857" s="6">
        <v>1</v>
      </c>
      <c r="I857" s="10">
        <v>41.51</v>
      </c>
      <c r="J857" s="10">
        <v>74.180000000000007</v>
      </c>
      <c r="L857" s="3">
        <v>0</v>
      </c>
      <c r="M857" t="s">
        <v>76</v>
      </c>
      <c r="N857" s="10">
        <v>30.2</v>
      </c>
      <c r="O857" t="s">
        <v>68</v>
      </c>
      <c r="P857" s="5">
        <v>46051</v>
      </c>
      <c r="Q857" s="5">
        <v>46056</v>
      </c>
      <c r="R857" s="5">
        <v>46055</v>
      </c>
      <c r="S857" t="s">
        <v>33</v>
      </c>
      <c r="T857" s="6">
        <v>5</v>
      </c>
      <c r="U857" t="s">
        <v>172</v>
      </c>
      <c r="V857" s="10">
        <v>74.180000000000007</v>
      </c>
      <c r="W857" s="10">
        <v>41.51</v>
      </c>
      <c r="X857" s="10">
        <v>2.47000000000001</v>
      </c>
      <c r="Y857" s="11">
        <v>3.3297384739822182E-2</v>
      </c>
      <c r="Z857" s="6">
        <v>-1</v>
      </c>
      <c r="AA857" t="s">
        <v>35</v>
      </c>
    </row>
    <row r="858" spans="1:27" x14ac:dyDescent="0.25">
      <c r="A858" t="s">
        <v>999</v>
      </c>
      <c r="B858">
        <v>121</v>
      </c>
      <c r="C858" s="9">
        <v>46050.334537037037</v>
      </c>
      <c r="D858" t="s">
        <v>155</v>
      </c>
      <c r="E858" t="s">
        <v>156</v>
      </c>
      <c r="F858" t="s">
        <v>30</v>
      </c>
      <c r="G858">
        <v>4796</v>
      </c>
      <c r="H858" s="6">
        <v>1</v>
      </c>
      <c r="I858" s="10">
        <v>774.58</v>
      </c>
      <c r="J858" s="10">
        <v>1287.33</v>
      </c>
      <c r="K858" t="s">
        <v>60</v>
      </c>
      <c r="L858" s="3">
        <v>0.2</v>
      </c>
      <c r="M858" t="s">
        <v>31</v>
      </c>
      <c r="N858" s="10">
        <v>100.92</v>
      </c>
      <c r="O858" t="s">
        <v>62</v>
      </c>
      <c r="P858" s="5">
        <v>46051</v>
      </c>
      <c r="Q858" s="5">
        <v>46061</v>
      </c>
      <c r="R858" s="5">
        <v>46063</v>
      </c>
      <c r="S858" t="s">
        <v>33</v>
      </c>
      <c r="T858" s="6">
        <v>2</v>
      </c>
      <c r="U858" t="s">
        <v>170</v>
      </c>
      <c r="V858" s="10">
        <v>1029.864</v>
      </c>
      <c r="W858" s="10">
        <v>774.58</v>
      </c>
      <c r="X858" s="10">
        <v>154.364</v>
      </c>
      <c r="Y858" s="11">
        <v>0.1498877521692184</v>
      </c>
      <c r="Z858" s="6">
        <v>2</v>
      </c>
      <c r="AA858" t="s">
        <v>103</v>
      </c>
    </row>
    <row r="859" spans="1:27" x14ac:dyDescent="0.25">
      <c r="A859" t="s">
        <v>1000</v>
      </c>
      <c r="B859">
        <v>169</v>
      </c>
      <c r="C859" s="9">
        <v>46050.440752314818</v>
      </c>
      <c r="D859" t="s">
        <v>155</v>
      </c>
      <c r="E859" t="s">
        <v>156</v>
      </c>
      <c r="F859" t="s">
        <v>30</v>
      </c>
      <c r="G859">
        <v>4641</v>
      </c>
      <c r="H859" s="6">
        <v>1</v>
      </c>
      <c r="I859" s="10">
        <v>1039.18</v>
      </c>
      <c r="J859" s="10">
        <v>1817.6</v>
      </c>
      <c r="K859" t="s">
        <v>46</v>
      </c>
      <c r="L859" s="3">
        <v>0.1</v>
      </c>
      <c r="M859" t="s">
        <v>76</v>
      </c>
      <c r="N859" s="10">
        <v>132.72</v>
      </c>
      <c r="O859" t="s">
        <v>62</v>
      </c>
      <c r="P859" s="5">
        <v>46052</v>
      </c>
      <c r="Q859" s="5">
        <v>46058</v>
      </c>
      <c r="S859" t="s">
        <v>54</v>
      </c>
      <c r="T859" s="6">
        <v>4</v>
      </c>
      <c r="U859" t="s">
        <v>112</v>
      </c>
      <c r="V859" s="10">
        <v>1635.84</v>
      </c>
      <c r="W859" s="10">
        <v>1039.18</v>
      </c>
      <c r="X859" s="10">
        <v>463.93999999999983</v>
      </c>
      <c r="Y859" s="11">
        <v>0.2836096439749608</v>
      </c>
      <c r="Z859" s="6"/>
      <c r="AA859" t="s">
        <v>56</v>
      </c>
    </row>
    <row r="860" spans="1:27" x14ac:dyDescent="0.25">
      <c r="A860" t="s">
        <v>1001</v>
      </c>
      <c r="B860">
        <v>62</v>
      </c>
      <c r="C860" s="9">
        <v>46050.566458333327</v>
      </c>
      <c r="D860" t="s">
        <v>148</v>
      </c>
      <c r="E860" t="s">
        <v>149</v>
      </c>
      <c r="F860" t="s">
        <v>30</v>
      </c>
      <c r="G860">
        <v>3222</v>
      </c>
      <c r="H860" s="6">
        <v>1</v>
      </c>
      <c r="I860" s="10">
        <v>372.84</v>
      </c>
      <c r="J860" s="10">
        <v>761.31</v>
      </c>
      <c r="K860" t="s">
        <v>60</v>
      </c>
      <c r="L860" s="3">
        <v>0.2</v>
      </c>
      <c r="M860" t="s">
        <v>39</v>
      </c>
      <c r="N860" s="10">
        <v>107.8</v>
      </c>
      <c r="O860" t="s">
        <v>97</v>
      </c>
      <c r="P860" s="5">
        <v>46052</v>
      </c>
      <c r="Q860" s="5">
        <v>46061</v>
      </c>
      <c r="R860" s="5">
        <v>46058</v>
      </c>
      <c r="S860" t="s">
        <v>33</v>
      </c>
      <c r="T860" s="6">
        <v>5</v>
      </c>
      <c r="U860" t="s">
        <v>119</v>
      </c>
      <c r="V860" s="10">
        <v>609.048</v>
      </c>
      <c r="W860" s="10">
        <v>372.84</v>
      </c>
      <c r="X860" s="10">
        <v>128.40799999999999</v>
      </c>
      <c r="Y860" s="11">
        <v>0.21083395725788451</v>
      </c>
      <c r="Z860" s="6">
        <v>-3</v>
      </c>
      <c r="AA860" t="s">
        <v>35</v>
      </c>
    </row>
    <row r="861" spans="1:27" x14ac:dyDescent="0.25">
      <c r="A861" t="s">
        <v>1002</v>
      </c>
      <c r="B861">
        <v>130</v>
      </c>
      <c r="C861" s="9">
        <v>46050.910115740742</v>
      </c>
      <c r="D861" t="s">
        <v>155</v>
      </c>
      <c r="E861" t="s">
        <v>156</v>
      </c>
      <c r="F861" t="s">
        <v>30</v>
      </c>
      <c r="G861">
        <v>3784</v>
      </c>
      <c r="H861" s="6">
        <v>2</v>
      </c>
      <c r="I861" s="10">
        <v>543.66</v>
      </c>
      <c r="J861" s="10">
        <v>1288.5</v>
      </c>
      <c r="L861" s="3">
        <v>0</v>
      </c>
      <c r="M861" t="s">
        <v>31</v>
      </c>
      <c r="N861" s="10">
        <v>123.01</v>
      </c>
      <c r="O861" t="s">
        <v>32</v>
      </c>
      <c r="P861" s="5">
        <v>46051</v>
      </c>
      <c r="Q861" s="5">
        <v>46058</v>
      </c>
      <c r="S861" t="s">
        <v>54</v>
      </c>
      <c r="T861" s="6">
        <v>2</v>
      </c>
      <c r="U861" t="s">
        <v>162</v>
      </c>
      <c r="V861" s="10">
        <v>2577</v>
      </c>
      <c r="W861" s="10">
        <v>1087.32</v>
      </c>
      <c r="X861" s="10">
        <v>1366.67</v>
      </c>
      <c r="Y861" s="11">
        <v>0.5303337213814513</v>
      </c>
      <c r="Z861" s="6"/>
      <c r="AA861" t="s">
        <v>56</v>
      </c>
    </row>
    <row r="862" spans="1:27" x14ac:dyDescent="0.25">
      <c r="A862" t="s">
        <v>1003</v>
      </c>
      <c r="B862">
        <v>139</v>
      </c>
      <c r="C862" s="9">
        <v>46051.254212962973</v>
      </c>
      <c r="D862" t="s">
        <v>86</v>
      </c>
      <c r="E862" t="s">
        <v>87</v>
      </c>
      <c r="F862" t="s">
        <v>45</v>
      </c>
      <c r="G862">
        <v>0</v>
      </c>
      <c r="H862" s="6">
        <v>3</v>
      </c>
      <c r="I862" s="10">
        <v>43.47</v>
      </c>
      <c r="J862" s="10">
        <v>195.32</v>
      </c>
      <c r="L862" s="3">
        <v>0</v>
      </c>
      <c r="M862" t="s">
        <v>31</v>
      </c>
      <c r="N862" s="10">
        <v>26.81</v>
      </c>
      <c r="O862" t="s">
        <v>47</v>
      </c>
      <c r="P862" s="5">
        <v>46052</v>
      </c>
      <c r="Q862" s="5">
        <v>46062</v>
      </c>
      <c r="R862" s="5">
        <v>46058</v>
      </c>
      <c r="S862" t="s">
        <v>33</v>
      </c>
      <c r="T862" s="6">
        <v>4</v>
      </c>
      <c r="U862" t="s">
        <v>77</v>
      </c>
      <c r="V862" s="10">
        <v>585.96</v>
      </c>
      <c r="W862" s="10">
        <v>130.41</v>
      </c>
      <c r="X862" s="10">
        <v>428.74000000000012</v>
      </c>
      <c r="Y862" s="11">
        <v>0.73168816984094487</v>
      </c>
      <c r="Z862" s="6">
        <v>-4</v>
      </c>
      <c r="AA862" t="s">
        <v>35</v>
      </c>
    </row>
    <row r="863" spans="1:27" x14ac:dyDescent="0.25">
      <c r="A863" t="s">
        <v>1004</v>
      </c>
      <c r="B863">
        <v>61</v>
      </c>
      <c r="C863" s="9">
        <v>46051.401990740742</v>
      </c>
      <c r="D863" t="s">
        <v>43</v>
      </c>
      <c r="E863" t="s">
        <v>44</v>
      </c>
      <c r="F863" t="s">
        <v>45</v>
      </c>
      <c r="G863">
        <v>0</v>
      </c>
      <c r="H863" s="6">
        <v>3</v>
      </c>
      <c r="I863" s="10">
        <v>68.010000000000005</v>
      </c>
      <c r="J863" s="10">
        <v>111.66</v>
      </c>
      <c r="L863" s="3">
        <v>0</v>
      </c>
      <c r="M863" t="s">
        <v>76</v>
      </c>
      <c r="N863" s="10">
        <v>21.24</v>
      </c>
      <c r="O863" t="s">
        <v>157</v>
      </c>
      <c r="P863" s="5">
        <v>46052</v>
      </c>
      <c r="Q863" s="5">
        <v>46057</v>
      </c>
      <c r="S863" t="s">
        <v>54</v>
      </c>
      <c r="T863" s="6">
        <v>4</v>
      </c>
      <c r="U863" t="s">
        <v>127</v>
      </c>
      <c r="V863" s="10">
        <v>334.98</v>
      </c>
      <c r="W863" s="10">
        <v>204.03</v>
      </c>
      <c r="X863" s="10">
        <v>109.71</v>
      </c>
      <c r="Y863" s="11">
        <v>0.32751209027404621</v>
      </c>
      <c r="Z863" s="6"/>
      <c r="AA863" t="s">
        <v>56</v>
      </c>
    </row>
    <row r="864" spans="1:27" x14ac:dyDescent="0.25">
      <c r="A864" t="s">
        <v>1005</v>
      </c>
      <c r="B864">
        <v>185</v>
      </c>
      <c r="C864" s="9">
        <v>46051.696423611109</v>
      </c>
      <c r="D864" t="s">
        <v>105</v>
      </c>
      <c r="E864" t="s">
        <v>106</v>
      </c>
      <c r="F864" t="s">
        <v>30</v>
      </c>
      <c r="G864">
        <v>2049</v>
      </c>
      <c r="H864" s="6">
        <v>3</v>
      </c>
      <c r="I864" s="10">
        <v>390.34</v>
      </c>
      <c r="J864" s="10">
        <v>454.07</v>
      </c>
      <c r="L864" s="3">
        <v>0</v>
      </c>
      <c r="M864" t="s">
        <v>76</v>
      </c>
      <c r="N864" s="10">
        <v>59.89</v>
      </c>
      <c r="O864" t="s">
        <v>47</v>
      </c>
      <c r="P864" s="5">
        <v>46053</v>
      </c>
      <c r="Q864" s="5">
        <v>46058</v>
      </c>
      <c r="R864" s="5">
        <v>46055</v>
      </c>
      <c r="S864" t="s">
        <v>33</v>
      </c>
      <c r="T864" s="6">
        <v>5</v>
      </c>
      <c r="U864" t="s">
        <v>112</v>
      </c>
      <c r="V864" s="10">
        <v>1362.21</v>
      </c>
      <c r="W864" s="10">
        <v>1171.02</v>
      </c>
      <c r="X864" s="10">
        <v>131.3000000000001</v>
      </c>
      <c r="Y864" s="11">
        <v>9.6387487979092842E-2</v>
      </c>
      <c r="Z864" s="6">
        <v>-3</v>
      </c>
      <c r="AA864" t="s">
        <v>35</v>
      </c>
    </row>
    <row r="865" spans="1:27" x14ac:dyDescent="0.25">
      <c r="A865" t="s">
        <v>1006</v>
      </c>
      <c r="B865">
        <v>40</v>
      </c>
      <c r="C865" s="9">
        <v>46051.898344907408</v>
      </c>
      <c r="D865" t="s">
        <v>105</v>
      </c>
      <c r="E865" t="s">
        <v>106</v>
      </c>
      <c r="F865" t="s">
        <v>30</v>
      </c>
      <c r="G865">
        <v>2051</v>
      </c>
      <c r="H865" s="6">
        <v>1</v>
      </c>
      <c r="I865" s="10">
        <v>365.17</v>
      </c>
      <c r="J865" s="10">
        <v>694.02</v>
      </c>
      <c r="L865" s="3">
        <v>0</v>
      </c>
      <c r="M865" t="s">
        <v>61</v>
      </c>
      <c r="N865" s="10">
        <v>118.13</v>
      </c>
      <c r="O865" t="s">
        <v>68</v>
      </c>
      <c r="P865" s="5">
        <v>46052</v>
      </c>
      <c r="Q865" s="5">
        <v>46060</v>
      </c>
      <c r="S865" t="s">
        <v>161</v>
      </c>
      <c r="T865" s="6">
        <v>1</v>
      </c>
      <c r="U865" t="s">
        <v>102</v>
      </c>
      <c r="V865" s="10">
        <v>694.02</v>
      </c>
      <c r="W865" s="10">
        <v>365.17</v>
      </c>
      <c r="X865" s="10">
        <v>210.72</v>
      </c>
      <c r="Y865" s="11">
        <v>0.30362237399498571</v>
      </c>
      <c r="Z865" s="6"/>
      <c r="AA865" t="s">
        <v>56</v>
      </c>
    </row>
    <row r="866" spans="1:27" x14ac:dyDescent="0.25">
      <c r="A866" t="s">
        <v>1007</v>
      </c>
      <c r="B866">
        <v>65</v>
      </c>
      <c r="C866" s="9">
        <v>46052.176631944443</v>
      </c>
      <c r="D866" t="s">
        <v>58</v>
      </c>
      <c r="E866" t="s">
        <v>59</v>
      </c>
      <c r="F866" t="s">
        <v>30</v>
      </c>
      <c r="G866">
        <v>4385</v>
      </c>
      <c r="H866" s="6">
        <v>2</v>
      </c>
      <c r="I866" s="10">
        <v>442.5</v>
      </c>
      <c r="J866" s="10">
        <v>522.66999999999996</v>
      </c>
      <c r="L866" s="3">
        <v>0</v>
      </c>
      <c r="M866" t="s">
        <v>61</v>
      </c>
      <c r="N866" s="10">
        <v>76.510000000000005</v>
      </c>
      <c r="O866" t="s">
        <v>97</v>
      </c>
      <c r="P866" s="5">
        <v>46053</v>
      </c>
      <c r="Q866" s="5">
        <v>46058</v>
      </c>
      <c r="R866" s="5">
        <v>46056</v>
      </c>
      <c r="S866" t="s">
        <v>33</v>
      </c>
      <c r="T866" s="6">
        <v>4</v>
      </c>
      <c r="U866" t="s">
        <v>112</v>
      </c>
      <c r="V866" s="10">
        <v>1045.3399999999999</v>
      </c>
      <c r="W866" s="10">
        <v>885</v>
      </c>
      <c r="X866" s="10">
        <v>83.829999999999913</v>
      </c>
      <c r="Y866" s="11">
        <v>8.0194003864771199E-2</v>
      </c>
      <c r="Z866" s="6">
        <v>-2</v>
      </c>
      <c r="AA866" t="s">
        <v>35</v>
      </c>
    </row>
    <row r="867" spans="1:27" x14ac:dyDescent="0.25">
      <c r="A867" t="s">
        <v>1008</v>
      </c>
      <c r="B867">
        <v>60</v>
      </c>
      <c r="C867" s="9">
        <v>46052.640740740739</v>
      </c>
      <c r="D867" t="s">
        <v>37</v>
      </c>
      <c r="E867" t="s">
        <v>38</v>
      </c>
      <c r="F867" t="s">
        <v>30</v>
      </c>
      <c r="G867">
        <v>2384</v>
      </c>
      <c r="H867" s="6">
        <v>1</v>
      </c>
      <c r="I867" s="10">
        <v>553.36</v>
      </c>
      <c r="J867" s="10">
        <v>769.65</v>
      </c>
      <c r="K867" t="s">
        <v>60</v>
      </c>
      <c r="L867" s="3">
        <v>0.2</v>
      </c>
      <c r="M867" t="s">
        <v>31</v>
      </c>
      <c r="N867" s="10">
        <v>88.21</v>
      </c>
      <c r="O867" t="s">
        <v>47</v>
      </c>
      <c r="P867" s="5">
        <v>46054</v>
      </c>
      <c r="Q867" s="5">
        <v>46062</v>
      </c>
      <c r="R867" s="5">
        <v>46067</v>
      </c>
      <c r="S867" t="s">
        <v>33</v>
      </c>
      <c r="T867" s="6">
        <v>1</v>
      </c>
      <c r="U867" t="s">
        <v>129</v>
      </c>
      <c r="V867" s="10">
        <v>615.72</v>
      </c>
      <c r="W867" s="10">
        <v>553.36</v>
      </c>
      <c r="X867" s="10">
        <v>-25.84999999999998</v>
      </c>
      <c r="Y867" s="11">
        <v>-4.198336906386016E-2</v>
      </c>
      <c r="Z867" s="6">
        <v>5</v>
      </c>
      <c r="AA867" t="s">
        <v>103</v>
      </c>
    </row>
    <row r="868" spans="1:27" x14ac:dyDescent="0.25">
      <c r="A868" t="s">
        <v>1009</v>
      </c>
      <c r="B868">
        <v>68</v>
      </c>
      <c r="C868" s="9">
        <v>46052.874120370368</v>
      </c>
      <c r="D868" t="s">
        <v>137</v>
      </c>
      <c r="E868" t="s">
        <v>138</v>
      </c>
      <c r="F868" t="s">
        <v>52</v>
      </c>
      <c r="G868">
        <v>358</v>
      </c>
      <c r="H868" s="6">
        <v>2</v>
      </c>
      <c r="I868" s="10">
        <v>110.97</v>
      </c>
      <c r="J868" s="10">
        <v>161.51</v>
      </c>
      <c r="L868" s="3">
        <v>0</v>
      </c>
      <c r="M868" t="s">
        <v>31</v>
      </c>
      <c r="N868" s="10">
        <v>34.56</v>
      </c>
      <c r="O868" t="s">
        <v>47</v>
      </c>
      <c r="P868" s="5">
        <v>46053</v>
      </c>
      <c r="Q868" s="5">
        <v>46063</v>
      </c>
      <c r="S868" t="s">
        <v>54</v>
      </c>
      <c r="T868" s="6">
        <v>3</v>
      </c>
      <c r="U868" t="s">
        <v>243</v>
      </c>
      <c r="V868" s="10">
        <v>323.02</v>
      </c>
      <c r="W868" s="10">
        <v>221.94</v>
      </c>
      <c r="X868" s="10">
        <v>66.519999999999982</v>
      </c>
      <c r="Y868" s="11">
        <v>0.20593152126803291</v>
      </c>
      <c r="Z868" s="6"/>
      <c r="AA868" t="s">
        <v>56</v>
      </c>
    </row>
    <row r="869" spans="1:27" x14ac:dyDescent="0.25">
      <c r="A869" t="s">
        <v>1010</v>
      </c>
      <c r="B869">
        <v>48</v>
      </c>
      <c r="C869" s="9">
        <v>46052.937152777777</v>
      </c>
      <c r="D869" t="s">
        <v>43</v>
      </c>
      <c r="E869" t="s">
        <v>44</v>
      </c>
      <c r="F869" t="s">
        <v>45</v>
      </c>
      <c r="G869">
        <v>0</v>
      </c>
      <c r="H869" s="6">
        <v>2</v>
      </c>
      <c r="I869" s="10">
        <v>45.37</v>
      </c>
      <c r="J869" s="10">
        <v>71.83</v>
      </c>
      <c r="L869" s="3">
        <v>0</v>
      </c>
      <c r="M869" t="s">
        <v>31</v>
      </c>
      <c r="N869" s="10">
        <v>16.59</v>
      </c>
      <c r="O869" t="s">
        <v>264</v>
      </c>
      <c r="P869" s="5">
        <v>46053</v>
      </c>
      <c r="Q869" s="5">
        <v>46063</v>
      </c>
      <c r="R869" s="5">
        <v>46059</v>
      </c>
      <c r="S869" t="s">
        <v>33</v>
      </c>
      <c r="T869" s="6">
        <v>4</v>
      </c>
      <c r="U869" t="s">
        <v>41</v>
      </c>
      <c r="V869" s="10">
        <v>143.66</v>
      </c>
      <c r="W869" s="10">
        <v>90.74</v>
      </c>
      <c r="X869" s="10">
        <v>36.33</v>
      </c>
      <c r="Y869" s="11">
        <v>0.25288876513991371</v>
      </c>
      <c r="Z869" s="6">
        <v>-4</v>
      </c>
      <c r="AA869" t="s">
        <v>35</v>
      </c>
    </row>
    <row r="870" spans="1:27" x14ac:dyDescent="0.25">
      <c r="A870" t="s">
        <v>1011</v>
      </c>
      <c r="B870">
        <v>93</v>
      </c>
      <c r="C870" s="9">
        <v>46053.385833333326</v>
      </c>
      <c r="D870" t="s">
        <v>43</v>
      </c>
      <c r="E870" t="s">
        <v>44</v>
      </c>
      <c r="F870" t="s">
        <v>45</v>
      </c>
      <c r="G870">
        <v>0</v>
      </c>
      <c r="H870" s="6">
        <v>3</v>
      </c>
      <c r="I870" s="10">
        <v>75.45</v>
      </c>
      <c r="J870" s="10">
        <v>142.58000000000001</v>
      </c>
      <c r="L870" s="3">
        <v>0</v>
      </c>
      <c r="M870" t="s">
        <v>76</v>
      </c>
      <c r="N870" s="10">
        <v>18.88</v>
      </c>
      <c r="O870" t="s">
        <v>126</v>
      </c>
      <c r="P870" s="5">
        <v>46055</v>
      </c>
      <c r="Q870" s="5">
        <v>46064</v>
      </c>
      <c r="R870" s="5">
        <v>46065</v>
      </c>
      <c r="S870" t="s">
        <v>33</v>
      </c>
      <c r="T870" s="6">
        <v>1</v>
      </c>
      <c r="U870" t="s">
        <v>461</v>
      </c>
      <c r="V870" s="10">
        <v>427.74</v>
      </c>
      <c r="W870" s="10">
        <v>226.35</v>
      </c>
      <c r="X870" s="10">
        <v>182.51</v>
      </c>
      <c r="Y870" s="11">
        <v>0.42668443446953752</v>
      </c>
      <c r="Z870" s="6">
        <v>1</v>
      </c>
      <c r="AA870" t="s">
        <v>103</v>
      </c>
    </row>
    <row r="871" spans="1:27" x14ac:dyDescent="0.25">
      <c r="A871" t="s">
        <v>1012</v>
      </c>
      <c r="B871">
        <v>28</v>
      </c>
      <c r="C871" s="9">
        <v>46053.900590277779</v>
      </c>
      <c r="D871" t="s">
        <v>81</v>
      </c>
      <c r="E871" t="s">
        <v>82</v>
      </c>
      <c r="F871" t="s">
        <v>45</v>
      </c>
      <c r="G871">
        <v>0</v>
      </c>
      <c r="H871" s="6">
        <v>2</v>
      </c>
      <c r="I871" s="10">
        <v>43.08</v>
      </c>
      <c r="J871" s="10">
        <v>160.97</v>
      </c>
      <c r="K871" t="s">
        <v>46</v>
      </c>
      <c r="L871" s="3">
        <v>0.1</v>
      </c>
      <c r="M871" t="s">
        <v>31</v>
      </c>
      <c r="N871" s="10">
        <v>19.23</v>
      </c>
      <c r="O871" t="s">
        <v>62</v>
      </c>
      <c r="P871" s="5">
        <v>46054</v>
      </c>
      <c r="Q871" s="5">
        <v>46064</v>
      </c>
      <c r="R871" s="5">
        <v>46064</v>
      </c>
      <c r="S871" t="s">
        <v>33</v>
      </c>
      <c r="T871" s="6">
        <v>4</v>
      </c>
      <c r="U871" t="s">
        <v>127</v>
      </c>
      <c r="V871" s="10">
        <v>289.74599999999998</v>
      </c>
      <c r="W871" s="10">
        <v>86.16</v>
      </c>
      <c r="X871" s="10">
        <v>184.35599999999999</v>
      </c>
      <c r="Y871" s="11">
        <v>0.6362676275082314</v>
      </c>
      <c r="Z871" s="6">
        <v>0</v>
      </c>
      <c r="AA871" t="s">
        <v>35</v>
      </c>
    </row>
    <row r="872" spans="1:27" x14ac:dyDescent="0.25">
      <c r="A872" t="s">
        <v>1013</v>
      </c>
      <c r="B872">
        <v>73</v>
      </c>
      <c r="C872" s="9">
        <v>46053.908506944441</v>
      </c>
      <c r="D872" t="s">
        <v>81</v>
      </c>
      <c r="E872" t="s">
        <v>82</v>
      </c>
      <c r="F872" t="s">
        <v>45</v>
      </c>
      <c r="G872">
        <v>0</v>
      </c>
      <c r="H872" s="6">
        <v>3</v>
      </c>
      <c r="I872" s="10">
        <v>26.41</v>
      </c>
      <c r="J872" s="10">
        <v>221.07</v>
      </c>
      <c r="L872" s="3">
        <v>0</v>
      </c>
      <c r="M872" t="s">
        <v>39</v>
      </c>
      <c r="N872" s="10">
        <v>17.82</v>
      </c>
      <c r="O872" t="s">
        <v>47</v>
      </c>
      <c r="P872" s="5">
        <v>46054</v>
      </c>
      <c r="Q872" s="5">
        <v>46062</v>
      </c>
      <c r="R872" s="5">
        <v>46065</v>
      </c>
      <c r="S872" t="s">
        <v>33</v>
      </c>
      <c r="T872" s="6">
        <v>3</v>
      </c>
      <c r="U872" t="s">
        <v>146</v>
      </c>
      <c r="V872" s="10">
        <v>663.21</v>
      </c>
      <c r="W872" s="10">
        <v>79.23</v>
      </c>
      <c r="X872" s="10">
        <v>566.16</v>
      </c>
      <c r="Y872" s="11">
        <v>0.85366625955579667</v>
      </c>
      <c r="Z872" s="6">
        <v>3</v>
      </c>
      <c r="AA872" t="s">
        <v>103</v>
      </c>
    </row>
    <row r="873" spans="1:27" x14ac:dyDescent="0.25">
      <c r="A873" t="s">
        <v>1014</v>
      </c>
      <c r="B873">
        <v>185</v>
      </c>
      <c r="C873" s="9">
        <v>46054.149131944447</v>
      </c>
      <c r="D873" t="s">
        <v>71</v>
      </c>
      <c r="E873" t="s">
        <v>72</v>
      </c>
      <c r="F873" t="s">
        <v>52</v>
      </c>
      <c r="G873">
        <v>282</v>
      </c>
      <c r="H873" s="6">
        <v>3</v>
      </c>
      <c r="I873" s="10">
        <v>59.97</v>
      </c>
      <c r="J873" s="10">
        <v>116.55</v>
      </c>
      <c r="L873" s="3">
        <v>0</v>
      </c>
      <c r="M873" t="s">
        <v>31</v>
      </c>
      <c r="N873" s="10">
        <v>29.67</v>
      </c>
      <c r="O873" t="s">
        <v>62</v>
      </c>
      <c r="P873" s="5">
        <v>46056</v>
      </c>
      <c r="Q873" s="5">
        <v>46061</v>
      </c>
      <c r="S873" t="s">
        <v>54</v>
      </c>
      <c r="T873" s="6">
        <v>4</v>
      </c>
      <c r="U873" t="s">
        <v>34</v>
      </c>
      <c r="V873" s="10">
        <v>349.65</v>
      </c>
      <c r="W873" s="10">
        <v>179.91</v>
      </c>
      <c r="X873" s="10">
        <v>140.07</v>
      </c>
      <c r="Y873" s="11">
        <v>0.4006006006006006</v>
      </c>
      <c r="Z873" s="6"/>
      <c r="AA873" t="s">
        <v>56</v>
      </c>
    </row>
    <row r="874" spans="1:27" x14ac:dyDescent="0.25">
      <c r="A874" t="s">
        <v>1015</v>
      </c>
      <c r="B874">
        <v>190</v>
      </c>
      <c r="C874" s="9">
        <v>46054.182581018518</v>
      </c>
      <c r="D874" t="s">
        <v>105</v>
      </c>
      <c r="E874" t="s">
        <v>106</v>
      </c>
      <c r="F874" t="s">
        <v>30</v>
      </c>
      <c r="G874">
        <v>2046</v>
      </c>
      <c r="H874" s="6">
        <v>3</v>
      </c>
      <c r="I874" s="10">
        <v>362.13</v>
      </c>
      <c r="J874" s="10">
        <v>542.42999999999995</v>
      </c>
      <c r="L874" s="3">
        <v>0</v>
      </c>
      <c r="M874" t="s">
        <v>61</v>
      </c>
      <c r="N874" s="10">
        <v>64.34</v>
      </c>
      <c r="O874" t="s">
        <v>53</v>
      </c>
      <c r="P874" s="5">
        <v>46056</v>
      </c>
      <c r="Q874" s="5">
        <v>46065</v>
      </c>
      <c r="R874" s="5">
        <v>46068</v>
      </c>
      <c r="S874" t="s">
        <v>33</v>
      </c>
      <c r="T874" s="6">
        <v>2</v>
      </c>
      <c r="U874" t="s">
        <v>153</v>
      </c>
      <c r="V874" s="10">
        <v>1627.29</v>
      </c>
      <c r="W874" s="10">
        <v>1086.3900000000001</v>
      </c>
      <c r="X874" s="10">
        <v>476.56000000000012</v>
      </c>
      <c r="Y874" s="11">
        <v>0.29285499204198401</v>
      </c>
      <c r="Z874" s="6">
        <v>3</v>
      </c>
      <c r="AA874" t="s">
        <v>103</v>
      </c>
    </row>
    <row r="875" spans="1:27" x14ac:dyDescent="0.25">
      <c r="A875" t="s">
        <v>1016</v>
      </c>
      <c r="B875">
        <v>143</v>
      </c>
      <c r="C875" s="9">
        <v>46055.067430555559</v>
      </c>
      <c r="D875" t="s">
        <v>66</v>
      </c>
      <c r="E875" t="s">
        <v>67</v>
      </c>
      <c r="F875" t="s">
        <v>52</v>
      </c>
      <c r="G875">
        <v>225</v>
      </c>
      <c r="H875" s="6">
        <v>3</v>
      </c>
      <c r="I875" s="10">
        <v>46.57</v>
      </c>
      <c r="J875" s="10">
        <v>74.5</v>
      </c>
      <c r="K875" t="s">
        <v>60</v>
      </c>
      <c r="L875" s="3">
        <v>0.2</v>
      </c>
      <c r="M875" t="s">
        <v>61</v>
      </c>
      <c r="N875" s="10">
        <v>48.95</v>
      </c>
      <c r="O875" t="s">
        <v>133</v>
      </c>
      <c r="P875" s="5">
        <v>46057</v>
      </c>
      <c r="Q875" s="5">
        <v>46064</v>
      </c>
      <c r="S875" t="s">
        <v>54</v>
      </c>
      <c r="T875" s="6">
        <v>3</v>
      </c>
      <c r="U875" t="s">
        <v>121</v>
      </c>
      <c r="V875" s="10">
        <v>178.8</v>
      </c>
      <c r="W875" s="10">
        <v>139.71</v>
      </c>
      <c r="X875" s="10">
        <v>-9.86</v>
      </c>
      <c r="Y875" s="11">
        <v>-5.5145413870246081E-2</v>
      </c>
      <c r="Z875" s="6"/>
      <c r="AA875" t="s">
        <v>56</v>
      </c>
    </row>
    <row r="876" spans="1:27" x14ac:dyDescent="0.25">
      <c r="A876" t="s">
        <v>1017</v>
      </c>
      <c r="B876">
        <v>72</v>
      </c>
      <c r="C876" s="9">
        <v>46055.188379629632</v>
      </c>
      <c r="D876" t="s">
        <v>37</v>
      </c>
      <c r="E876" t="s">
        <v>38</v>
      </c>
      <c r="F876" t="s">
        <v>30</v>
      </c>
      <c r="G876">
        <v>2483</v>
      </c>
      <c r="H876" s="6">
        <v>2</v>
      </c>
      <c r="I876" s="10">
        <v>896.43</v>
      </c>
      <c r="J876" s="10">
        <v>1295.96</v>
      </c>
      <c r="K876" t="s">
        <v>46</v>
      </c>
      <c r="L876" s="3">
        <v>0.1</v>
      </c>
      <c r="M876" t="s">
        <v>39</v>
      </c>
      <c r="N876" s="10">
        <v>86.83</v>
      </c>
      <c r="O876" t="s">
        <v>99</v>
      </c>
      <c r="P876" s="5">
        <v>46056</v>
      </c>
      <c r="Q876" s="5">
        <v>46065</v>
      </c>
      <c r="R876" s="5">
        <v>46065</v>
      </c>
      <c r="S876" t="s">
        <v>33</v>
      </c>
      <c r="T876" s="6">
        <v>5</v>
      </c>
      <c r="U876" t="s">
        <v>79</v>
      </c>
      <c r="V876" s="10">
        <v>2332.7280000000001</v>
      </c>
      <c r="W876" s="10">
        <v>1792.86</v>
      </c>
      <c r="X876" s="10">
        <v>453.03800000000018</v>
      </c>
      <c r="Y876" s="11">
        <v>0.1942095263571236</v>
      </c>
      <c r="Z876" s="6">
        <v>0</v>
      </c>
      <c r="AA876" t="s">
        <v>35</v>
      </c>
    </row>
    <row r="877" spans="1:27" x14ac:dyDescent="0.25">
      <c r="A877" t="s">
        <v>1018</v>
      </c>
      <c r="B877">
        <v>23</v>
      </c>
      <c r="C877" s="9">
        <v>46055.694745370369</v>
      </c>
      <c r="D877" t="s">
        <v>105</v>
      </c>
      <c r="E877" t="s">
        <v>106</v>
      </c>
      <c r="F877" t="s">
        <v>30</v>
      </c>
      <c r="G877">
        <v>2070</v>
      </c>
      <c r="H877" s="6">
        <v>1</v>
      </c>
      <c r="I877" s="10">
        <v>311.39999999999998</v>
      </c>
      <c r="J877" s="10">
        <v>640.58000000000004</v>
      </c>
      <c r="L877" s="3">
        <v>0</v>
      </c>
      <c r="M877" t="s">
        <v>61</v>
      </c>
      <c r="N877" s="10">
        <v>61.7</v>
      </c>
      <c r="O877" t="s">
        <v>126</v>
      </c>
      <c r="P877" s="5">
        <v>46056</v>
      </c>
      <c r="Q877" s="5">
        <v>46066</v>
      </c>
      <c r="R877" s="5">
        <v>46067</v>
      </c>
      <c r="S877" t="s">
        <v>33</v>
      </c>
      <c r="T877" s="6">
        <v>1</v>
      </c>
      <c r="U877" t="s">
        <v>64</v>
      </c>
      <c r="V877" s="10">
        <v>640.58000000000004</v>
      </c>
      <c r="W877" s="10">
        <v>311.39999999999998</v>
      </c>
      <c r="X877" s="10">
        <v>267.48000000000008</v>
      </c>
      <c r="Y877" s="11">
        <v>0.41755908707733619</v>
      </c>
      <c r="Z877" s="6">
        <v>1</v>
      </c>
      <c r="AA877" t="s">
        <v>103</v>
      </c>
    </row>
    <row r="878" spans="1:27" x14ac:dyDescent="0.25">
      <c r="A878" t="s">
        <v>1019</v>
      </c>
      <c r="B878">
        <v>156</v>
      </c>
      <c r="C878" s="9">
        <v>46055.712638888886</v>
      </c>
      <c r="D878" t="s">
        <v>137</v>
      </c>
      <c r="E878" t="s">
        <v>138</v>
      </c>
      <c r="F878" t="s">
        <v>52</v>
      </c>
      <c r="G878">
        <v>317</v>
      </c>
      <c r="H878" s="6">
        <v>2</v>
      </c>
      <c r="I878" s="10">
        <v>111.25</v>
      </c>
      <c r="J878" s="10">
        <v>204.15</v>
      </c>
      <c r="K878" t="s">
        <v>46</v>
      </c>
      <c r="L878" s="3">
        <v>0.1</v>
      </c>
      <c r="M878" t="s">
        <v>61</v>
      </c>
      <c r="N878" s="10">
        <v>47.02</v>
      </c>
      <c r="O878" t="s">
        <v>62</v>
      </c>
      <c r="P878" s="5">
        <v>46056</v>
      </c>
      <c r="Q878" s="5">
        <v>46062</v>
      </c>
      <c r="S878" t="s">
        <v>161</v>
      </c>
      <c r="T878" s="6">
        <v>1</v>
      </c>
      <c r="U878" t="s">
        <v>64</v>
      </c>
      <c r="V878" s="10">
        <v>367.47</v>
      </c>
      <c r="W878" s="10">
        <v>222.5</v>
      </c>
      <c r="X878" s="10">
        <v>97.950000000000017</v>
      </c>
      <c r="Y878" s="11">
        <v>0.26655237162217332</v>
      </c>
      <c r="Z878" s="6"/>
      <c r="AA878" t="s">
        <v>56</v>
      </c>
    </row>
    <row r="879" spans="1:27" x14ac:dyDescent="0.25">
      <c r="A879" t="s">
        <v>1020</v>
      </c>
      <c r="B879">
        <v>171</v>
      </c>
      <c r="C879" s="9">
        <v>46055.772094907406</v>
      </c>
      <c r="D879" t="s">
        <v>58</v>
      </c>
      <c r="E879" t="s">
        <v>59</v>
      </c>
      <c r="F879" t="s">
        <v>30</v>
      </c>
      <c r="G879">
        <v>4320</v>
      </c>
      <c r="H879" s="6">
        <v>2</v>
      </c>
      <c r="I879" s="10">
        <v>377.96</v>
      </c>
      <c r="J879" s="10">
        <v>485.27</v>
      </c>
      <c r="K879" t="s">
        <v>60</v>
      </c>
      <c r="L879" s="3">
        <v>0.2</v>
      </c>
      <c r="M879" t="s">
        <v>31</v>
      </c>
      <c r="N879" s="10">
        <v>73.48</v>
      </c>
      <c r="O879" t="s">
        <v>157</v>
      </c>
      <c r="P879" s="5">
        <v>46056</v>
      </c>
      <c r="Q879" s="5">
        <v>46064</v>
      </c>
      <c r="S879" t="s">
        <v>161</v>
      </c>
      <c r="T879" s="6">
        <v>2</v>
      </c>
      <c r="U879" t="s">
        <v>129</v>
      </c>
      <c r="V879" s="10">
        <v>776.43200000000002</v>
      </c>
      <c r="W879" s="10">
        <v>755.92</v>
      </c>
      <c r="X879" s="10">
        <v>-52.967999999999947</v>
      </c>
      <c r="Y879" s="11">
        <v>-6.8219753951408418E-2</v>
      </c>
      <c r="Z879" s="6"/>
      <c r="AA879" t="s">
        <v>56</v>
      </c>
    </row>
    <row r="880" spans="1:27" x14ac:dyDescent="0.25">
      <c r="A880" t="s">
        <v>1021</v>
      </c>
      <c r="B880">
        <v>49</v>
      </c>
      <c r="C880" s="9">
        <v>46055.961319444446</v>
      </c>
      <c r="D880" t="s">
        <v>92</v>
      </c>
      <c r="E880" t="s">
        <v>93</v>
      </c>
      <c r="F880" t="s">
        <v>52</v>
      </c>
      <c r="G880">
        <v>232</v>
      </c>
      <c r="H880" s="6">
        <v>3</v>
      </c>
      <c r="I880" s="10">
        <v>45.38</v>
      </c>
      <c r="J880" s="10">
        <v>96.84</v>
      </c>
      <c r="L880" s="3">
        <v>0</v>
      </c>
      <c r="M880" t="s">
        <v>39</v>
      </c>
      <c r="N880" s="10">
        <v>41.9</v>
      </c>
      <c r="O880" t="s">
        <v>47</v>
      </c>
      <c r="P880" s="5">
        <v>46056</v>
      </c>
      <c r="Q880" s="5">
        <v>46066</v>
      </c>
      <c r="R880" s="5">
        <v>46063</v>
      </c>
      <c r="S880" t="s">
        <v>33</v>
      </c>
      <c r="T880" s="6">
        <v>5</v>
      </c>
      <c r="U880" t="s">
        <v>134</v>
      </c>
      <c r="V880" s="10">
        <v>290.52</v>
      </c>
      <c r="W880" s="10">
        <v>136.13999999999999</v>
      </c>
      <c r="X880" s="10">
        <v>112.48</v>
      </c>
      <c r="Y880" s="11">
        <v>0.38716783698196328</v>
      </c>
      <c r="Z880" s="6">
        <v>-3</v>
      </c>
      <c r="AA880" t="s">
        <v>35</v>
      </c>
    </row>
    <row r="881" spans="1:27" x14ac:dyDescent="0.25">
      <c r="A881" t="s">
        <v>1022</v>
      </c>
      <c r="B881">
        <v>91</v>
      </c>
      <c r="C881" s="9">
        <v>46056.078182870369</v>
      </c>
      <c r="D881" t="s">
        <v>105</v>
      </c>
      <c r="E881" t="s">
        <v>106</v>
      </c>
      <c r="F881" t="s">
        <v>30</v>
      </c>
      <c r="G881">
        <v>2058</v>
      </c>
      <c r="H881" s="6">
        <v>2</v>
      </c>
      <c r="I881" s="10">
        <v>334.03</v>
      </c>
      <c r="J881" s="10">
        <v>453.53</v>
      </c>
      <c r="L881" s="3">
        <v>0</v>
      </c>
      <c r="M881" t="s">
        <v>76</v>
      </c>
      <c r="N881" s="10">
        <v>83.59</v>
      </c>
      <c r="O881" t="s">
        <v>47</v>
      </c>
      <c r="P881" s="5">
        <v>46057</v>
      </c>
      <c r="Q881" s="5">
        <v>46066</v>
      </c>
      <c r="R881" s="5">
        <v>46064</v>
      </c>
      <c r="S881" t="s">
        <v>33</v>
      </c>
      <c r="T881" s="6">
        <v>4</v>
      </c>
      <c r="U881" t="s">
        <v>84</v>
      </c>
      <c r="V881" s="10">
        <v>907.06</v>
      </c>
      <c r="W881" s="10">
        <v>668.06</v>
      </c>
      <c r="X881" s="10">
        <v>155.41</v>
      </c>
      <c r="Y881" s="11">
        <v>0.17133375961898881</v>
      </c>
      <c r="Z881" s="6">
        <v>-2</v>
      </c>
      <c r="AA881" t="s">
        <v>35</v>
      </c>
    </row>
    <row r="882" spans="1:27" x14ac:dyDescent="0.25">
      <c r="A882" t="s">
        <v>1023</v>
      </c>
      <c r="B882">
        <v>20</v>
      </c>
      <c r="C882" s="9">
        <v>46056.526006944441</v>
      </c>
      <c r="D882" t="s">
        <v>89</v>
      </c>
      <c r="E882" t="s">
        <v>90</v>
      </c>
      <c r="F882" t="s">
        <v>52</v>
      </c>
      <c r="G882">
        <v>340</v>
      </c>
      <c r="H882" s="6">
        <v>2</v>
      </c>
      <c r="I882" s="10">
        <v>109.87</v>
      </c>
      <c r="J882" s="10">
        <v>215.49</v>
      </c>
      <c r="L882" s="3">
        <v>0</v>
      </c>
      <c r="M882" t="s">
        <v>39</v>
      </c>
      <c r="N882" s="10">
        <v>35.869999999999997</v>
      </c>
      <c r="O882" t="s">
        <v>157</v>
      </c>
      <c r="P882" s="5">
        <v>46057</v>
      </c>
      <c r="Q882" s="5">
        <v>46065</v>
      </c>
      <c r="R882" s="5">
        <v>46068</v>
      </c>
      <c r="S882" t="s">
        <v>33</v>
      </c>
      <c r="T882" s="6">
        <v>3</v>
      </c>
      <c r="U882" t="s">
        <v>121</v>
      </c>
      <c r="V882" s="10">
        <v>430.98</v>
      </c>
      <c r="W882" s="10">
        <v>219.74</v>
      </c>
      <c r="X882" s="10">
        <v>175.37</v>
      </c>
      <c r="Y882" s="11">
        <v>0.40690983340294212</v>
      </c>
      <c r="Z882" s="6">
        <v>3</v>
      </c>
      <c r="AA882" t="s">
        <v>103</v>
      </c>
    </row>
    <row r="883" spans="1:27" x14ac:dyDescent="0.25">
      <c r="A883" t="s">
        <v>1024</v>
      </c>
      <c r="B883">
        <v>198</v>
      </c>
      <c r="C883" s="9">
        <v>46056.709178240737</v>
      </c>
      <c r="D883" t="s">
        <v>155</v>
      </c>
      <c r="E883" t="s">
        <v>156</v>
      </c>
      <c r="F883" t="s">
        <v>30</v>
      </c>
      <c r="G883">
        <v>3682</v>
      </c>
      <c r="H883" s="6">
        <v>3</v>
      </c>
      <c r="I883" s="10">
        <v>905.28</v>
      </c>
      <c r="J883" s="10">
        <v>1568.41</v>
      </c>
      <c r="L883" s="3">
        <v>0</v>
      </c>
      <c r="M883" t="s">
        <v>39</v>
      </c>
      <c r="N883" s="10">
        <v>92.06</v>
      </c>
      <c r="O883" t="s">
        <v>97</v>
      </c>
      <c r="P883" s="5">
        <v>46057</v>
      </c>
      <c r="Q883" s="5">
        <v>46067</v>
      </c>
      <c r="R883" s="5">
        <v>46059</v>
      </c>
      <c r="S883" t="s">
        <v>33</v>
      </c>
      <c r="T883" s="6">
        <v>4</v>
      </c>
      <c r="U883" t="s">
        <v>112</v>
      </c>
      <c r="V883" s="10">
        <v>4705.2299999999996</v>
      </c>
      <c r="W883" s="10">
        <v>2715.84</v>
      </c>
      <c r="X883" s="10">
        <v>1897.33</v>
      </c>
      <c r="Y883" s="11">
        <v>0.40323852394038129</v>
      </c>
      <c r="Z883" s="6">
        <v>-8</v>
      </c>
      <c r="AA883" t="s">
        <v>35</v>
      </c>
    </row>
    <row r="884" spans="1:27" x14ac:dyDescent="0.25">
      <c r="A884" t="s">
        <v>1025</v>
      </c>
      <c r="B884">
        <v>141</v>
      </c>
      <c r="C884" s="9">
        <v>46056.990543981483</v>
      </c>
      <c r="D884" t="s">
        <v>28</v>
      </c>
      <c r="E884" t="s">
        <v>29</v>
      </c>
      <c r="F884" t="s">
        <v>30</v>
      </c>
      <c r="G884">
        <v>2186</v>
      </c>
      <c r="H884" s="6">
        <v>1</v>
      </c>
      <c r="I884" s="10">
        <v>2113.23</v>
      </c>
      <c r="J884" s="10">
        <v>2825.69</v>
      </c>
      <c r="L884" s="3">
        <v>0</v>
      </c>
      <c r="M884" t="s">
        <v>76</v>
      </c>
      <c r="N884" s="10">
        <v>61.19</v>
      </c>
      <c r="O884" t="s">
        <v>40</v>
      </c>
      <c r="P884" s="5">
        <v>46058</v>
      </c>
      <c r="Q884" s="5">
        <v>46068</v>
      </c>
      <c r="R884" s="5">
        <v>46061</v>
      </c>
      <c r="S884" t="s">
        <v>33</v>
      </c>
      <c r="T884" s="6">
        <v>5</v>
      </c>
      <c r="U884" t="s">
        <v>34</v>
      </c>
      <c r="V884" s="10">
        <v>2825.69</v>
      </c>
      <c r="W884" s="10">
        <v>2113.23</v>
      </c>
      <c r="X884" s="10">
        <v>651.27</v>
      </c>
      <c r="Y884" s="11">
        <v>0.23048175843776211</v>
      </c>
      <c r="Z884" s="6">
        <v>-7</v>
      </c>
      <c r="AA884" t="s">
        <v>35</v>
      </c>
    </row>
    <row r="885" spans="1:27" x14ac:dyDescent="0.25">
      <c r="A885" t="s">
        <v>1026</v>
      </c>
      <c r="B885">
        <v>200</v>
      </c>
      <c r="C885" s="9">
        <v>46057.060949074083</v>
      </c>
      <c r="D885" t="s">
        <v>105</v>
      </c>
      <c r="E885" t="s">
        <v>106</v>
      </c>
      <c r="F885" t="s">
        <v>30</v>
      </c>
      <c r="G885">
        <v>2060</v>
      </c>
      <c r="H885" s="6">
        <v>2</v>
      </c>
      <c r="I885" s="10">
        <v>357.57</v>
      </c>
      <c r="J885" s="10">
        <v>416.69</v>
      </c>
      <c r="K885" t="s">
        <v>60</v>
      </c>
      <c r="L885" s="3">
        <v>0.2</v>
      </c>
      <c r="M885" t="s">
        <v>31</v>
      </c>
      <c r="N885" s="10">
        <v>139.84</v>
      </c>
      <c r="O885" t="s">
        <v>99</v>
      </c>
      <c r="P885" s="5">
        <v>46059</v>
      </c>
      <c r="Q885" s="5">
        <v>46069</v>
      </c>
      <c r="R885" s="5">
        <v>46061</v>
      </c>
      <c r="S885" t="s">
        <v>33</v>
      </c>
      <c r="T885" s="6">
        <v>5</v>
      </c>
      <c r="U885" t="s">
        <v>119</v>
      </c>
      <c r="V885" s="10">
        <v>666.70400000000006</v>
      </c>
      <c r="W885" s="10">
        <v>715.14</v>
      </c>
      <c r="X885" s="10">
        <v>-188.2759999999999</v>
      </c>
      <c r="Y885" s="11">
        <v>-0.28239818570160058</v>
      </c>
      <c r="Z885" s="6">
        <v>-8</v>
      </c>
      <c r="AA885" t="s">
        <v>35</v>
      </c>
    </row>
    <row r="886" spans="1:27" x14ac:dyDescent="0.25">
      <c r="A886" t="s">
        <v>1027</v>
      </c>
      <c r="B886">
        <v>175</v>
      </c>
      <c r="C886" s="9">
        <v>46057.354224537034</v>
      </c>
      <c r="D886" t="s">
        <v>28</v>
      </c>
      <c r="E886" t="s">
        <v>29</v>
      </c>
      <c r="F886" t="s">
        <v>30</v>
      </c>
      <c r="G886">
        <v>2312</v>
      </c>
      <c r="H886" s="6">
        <v>1</v>
      </c>
      <c r="I886" s="10">
        <v>2076.1799999999998</v>
      </c>
      <c r="J886" s="10">
        <v>3879.46</v>
      </c>
      <c r="K886" t="s">
        <v>60</v>
      </c>
      <c r="L886" s="3">
        <v>0.2</v>
      </c>
      <c r="M886" t="s">
        <v>39</v>
      </c>
      <c r="N886" s="10">
        <v>138.4</v>
      </c>
      <c r="O886" t="s">
        <v>47</v>
      </c>
      <c r="P886" s="5">
        <v>46059</v>
      </c>
      <c r="Q886" s="5">
        <v>46065</v>
      </c>
      <c r="R886" s="5">
        <v>46063</v>
      </c>
      <c r="S886" t="s">
        <v>33</v>
      </c>
      <c r="T886" s="6">
        <v>5</v>
      </c>
      <c r="U886" t="s">
        <v>69</v>
      </c>
      <c r="V886" s="10">
        <v>3103.5680000000002</v>
      </c>
      <c r="W886" s="10">
        <v>2076.1799999999998</v>
      </c>
      <c r="X886" s="10">
        <v>888.9880000000004</v>
      </c>
      <c r="Y886" s="11">
        <v>0.28644063864558478</v>
      </c>
      <c r="Z886" s="6">
        <v>-2</v>
      </c>
      <c r="AA886" t="s">
        <v>35</v>
      </c>
    </row>
    <row r="887" spans="1:27" x14ac:dyDescent="0.25">
      <c r="A887" t="s">
        <v>1028</v>
      </c>
      <c r="B887">
        <v>130</v>
      </c>
      <c r="C887" s="9">
        <v>46058.218981481477</v>
      </c>
      <c r="D887" t="s">
        <v>58</v>
      </c>
      <c r="E887" t="s">
        <v>59</v>
      </c>
      <c r="F887" t="s">
        <v>30</v>
      </c>
      <c r="G887">
        <v>4516</v>
      </c>
      <c r="H887" s="6">
        <v>2</v>
      </c>
      <c r="I887" s="10">
        <v>239.13</v>
      </c>
      <c r="J887" s="10">
        <v>684.39</v>
      </c>
      <c r="L887" s="3">
        <v>0</v>
      </c>
      <c r="M887" t="s">
        <v>39</v>
      </c>
      <c r="N887" s="10">
        <v>108.4</v>
      </c>
      <c r="O887" t="s">
        <v>62</v>
      </c>
      <c r="P887" s="5">
        <v>46059</v>
      </c>
      <c r="Q887" s="5">
        <v>46068</v>
      </c>
      <c r="R887" s="5">
        <v>46069</v>
      </c>
      <c r="S887" t="s">
        <v>33</v>
      </c>
      <c r="T887" s="6">
        <v>1</v>
      </c>
      <c r="U887" t="s">
        <v>258</v>
      </c>
      <c r="V887" s="10">
        <v>1368.78</v>
      </c>
      <c r="W887" s="10">
        <v>478.26</v>
      </c>
      <c r="X887" s="10">
        <v>782.12</v>
      </c>
      <c r="Y887" s="11">
        <v>0.57139934832478556</v>
      </c>
      <c r="Z887" s="6">
        <v>1</v>
      </c>
      <c r="AA887" t="s">
        <v>103</v>
      </c>
    </row>
    <row r="888" spans="1:27" x14ac:dyDescent="0.25">
      <c r="A888" t="s">
        <v>1029</v>
      </c>
      <c r="B888">
        <v>12</v>
      </c>
      <c r="C888" s="9">
        <v>46058.237384259257</v>
      </c>
      <c r="D888" t="s">
        <v>74</v>
      </c>
      <c r="E888" t="s">
        <v>75</v>
      </c>
      <c r="F888" t="s">
        <v>30</v>
      </c>
      <c r="G888">
        <v>2925</v>
      </c>
      <c r="H888" s="6">
        <v>3</v>
      </c>
      <c r="I888" s="10">
        <v>2452.13</v>
      </c>
      <c r="J888" s="10">
        <v>4632.54</v>
      </c>
      <c r="K888" t="s">
        <v>60</v>
      </c>
      <c r="L888" s="3">
        <v>0.2</v>
      </c>
      <c r="M888" t="s">
        <v>61</v>
      </c>
      <c r="N888" s="10">
        <v>99.2</v>
      </c>
      <c r="O888" t="s">
        <v>47</v>
      </c>
      <c r="P888" s="5">
        <v>46060</v>
      </c>
      <c r="Q888" s="5">
        <v>46070</v>
      </c>
      <c r="R888" s="5">
        <v>46063</v>
      </c>
      <c r="S888" t="s">
        <v>33</v>
      </c>
      <c r="T888" s="6">
        <v>5</v>
      </c>
      <c r="U888" t="s">
        <v>112</v>
      </c>
      <c r="V888" s="10">
        <v>11118.096</v>
      </c>
      <c r="W888" s="10">
        <v>7356.39</v>
      </c>
      <c r="X888" s="10">
        <v>3662.5059999999989</v>
      </c>
      <c r="Y888" s="11">
        <v>0.32941845438283668</v>
      </c>
      <c r="Z888" s="6">
        <v>-7</v>
      </c>
      <c r="AA888" t="s">
        <v>35</v>
      </c>
    </row>
    <row r="889" spans="1:27" x14ac:dyDescent="0.25">
      <c r="A889" t="s">
        <v>1030</v>
      </c>
      <c r="B889">
        <v>13</v>
      </c>
      <c r="C889" s="9">
        <v>46058.296377314808</v>
      </c>
      <c r="D889" t="s">
        <v>137</v>
      </c>
      <c r="E889" t="s">
        <v>138</v>
      </c>
      <c r="F889" t="s">
        <v>52</v>
      </c>
      <c r="G889">
        <v>396</v>
      </c>
      <c r="H889" s="6">
        <v>2</v>
      </c>
      <c r="I889" s="10">
        <v>79.459999999999994</v>
      </c>
      <c r="J889" s="10">
        <v>106.29</v>
      </c>
      <c r="K889" t="s">
        <v>60</v>
      </c>
      <c r="L889" s="3">
        <v>0.2</v>
      </c>
      <c r="M889" t="s">
        <v>76</v>
      </c>
      <c r="N889" s="10">
        <v>46.82</v>
      </c>
      <c r="O889" t="s">
        <v>47</v>
      </c>
      <c r="P889" s="5">
        <v>46060</v>
      </c>
      <c r="Q889" s="5">
        <v>46067</v>
      </c>
      <c r="R889" s="5">
        <v>46062</v>
      </c>
      <c r="S889" t="s">
        <v>33</v>
      </c>
      <c r="T889" s="6">
        <v>5</v>
      </c>
      <c r="U889" t="s">
        <v>84</v>
      </c>
      <c r="V889" s="10">
        <v>170.06399999999999</v>
      </c>
      <c r="W889" s="10">
        <v>158.91999999999999</v>
      </c>
      <c r="X889" s="10">
        <v>-35.675999999999974</v>
      </c>
      <c r="Y889" s="11">
        <v>-0.20977984758679061</v>
      </c>
      <c r="Z889" s="6">
        <v>-5</v>
      </c>
      <c r="AA889" t="s">
        <v>35</v>
      </c>
    </row>
    <row r="890" spans="1:27" x14ac:dyDescent="0.25">
      <c r="A890" t="s">
        <v>1031</v>
      </c>
      <c r="B890">
        <v>85</v>
      </c>
      <c r="C890" s="9">
        <v>46058.347939814812</v>
      </c>
      <c r="D890" t="s">
        <v>50</v>
      </c>
      <c r="E890" t="s">
        <v>51</v>
      </c>
      <c r="F890" t="s">
        <v>52</v>
      </c>
      <c r="G890">
        <v>757</v>
      </c>
      <c r="H890" s="6">
        <v>1</v>
      </c>
      <c r="I890" s="10">
        <v>80.3</v>
      </c>
      <c r="J890" s="10">
        <v>309.52999999999997</v>
      </c>
      <c r="L890" s="3">
        <v>0</v>
      </c>
      <c r="M890" t="s">
        <v>61</v>
      </c>
      <c r="N890" s="10">
        <v>57.79</v>
      </c>
      <c r="O890" t="s">
        <v>99</v>
      </c>
      <c r="P890" s="5">
        <v>46060</v>
      </c>
      <c r="Q890" s="5">
        <v>46068</v>
      </c>
      <c r="R890" s="5">
        <v>46062</v>
      </c>
      <c r="S890" t="s">
        <v>33</v>
      </c>
      <c r="T890" s="6">
        <v>4</v>
      </c>
      <c r="U890" t="s">
        <v>127</v>
      </c>
      <c r="V890" s="10">
        <v>309.52999999999997</v>
      </c>
      <c r="W890" s="10">
        <v>80.3</v>
      </c>
      <c r="X890" s="10">
        <v>171.44</v>
      </c>
      <c r="Y890" s="11">
        <v>0.55387199948308719</v>
      </c>
      <c r="Z890" s="6">
        <v>-6</v>
      </c>
      <c r="AA890" t="s">
        <v>35</v>
      </c>
    </row>
    <row r="891" spans="1:27" x14ac:dyDescent="0.25">
      <c r="A891" t="s">
        <v>1032</v>
      </c>
      <c r="B891">
        <v>26</v>
      </c>
      <c r="C891" s="9">
        <v>46059.132916666669</v>
      </c>
      <c r="D891" t="s">
        <v>92</v>
      </c>
      <c r="E891" t="s">
        <v>93</v>
      </c>
      <c r="F891" t="s">
        <v>52</v>
      </c>
      <c r="G891">
        <v>265</v>
      </c>
      <c r="H891" s="6">
        <v>3</v>
      </c>
      <c r="I891" s="10">
        <v>38.44</v>
      </c>
      <c r="J891" s="10">
        <v>55.9</v>
      </c>
      <c r="L891" s="3">
        <v>0</v>
      </c>
      <c r="M891" t="s">
        <v>61</v>
      </c>
      <c r="N891" s="10">
        <v>58.21</v>
      </c>
      <c r="O891" t="s">
        <v>83</v>
      </c>
      <c r="P891" s="5">
        <v>46060</v>
      </c>
      <c r="Q891" s="5">
        <v>46068</v>
      </c>
      <c r="S891" t="s">
        <v>54</v>
      </c>
      <c r="T891" s="6">
        <v>2</v>
      </c>
      <c r="U891" t="s">
        <v>102</v>
      </c>
      <c r="V891" s="10">
        <v>167.7</v>
      </c>
      <c r="W891" s="10">
        <v>115.32</v>
      </c>
      <c r="X891" s="10">
        <v>-5.8300000000000054</v>
      </c>
      <c r="Y891" s="11">
        <v>-3.476446034585573E-2</v>
      </c>
      <c r="Z891" s="6"/>
      <c r="AA891" t="s">
        <v>56</v>
      </c>
    </row>
    <row r="892" spans="1:27" x14ac:dyDescent="0.25">
      <c r="A892" t="s">
        <v>1033</v>
      </c>
      <c r="B892">
        <v>72</v>
      </c>
      <c r="C892" s="9">
        <v>46059.779629629629</v>
      </c>
      <c r="D892" t="s">
        <v>114</v>
      </c>
      <c r="E892" t="s">
        <v>115</v>
      </c>
      <c r="F892" t="s">
        <v>116</v>
      </c>
      <c r="G892">
        <v>0</v>
      </c>
      <c r="H892" s="6">
        <v>3</v>
      </c>
      <c r="I892" s="10">
        <v>441.11</v>
      </c>
      <c r="J892" s="10">
        <v>721.82</v>
      </c>
      <c r="K892" t="s">
        <v>46</v>
      </c>
      <c r="L892" s="3">
        <v>0.1</v>
      </c>
      <c r="M892" t="s">
        <v>31</v>
      </c>
      <c r="N892" s="10">
        <v>26.76</v>
      </c>
      <c r="O892" t="s">
        <v>47</v>
      </c>
      <c r="P892" s="5">
        <v>46061</v>
      </c>
      <c r="Q892" s="5">
        <v>46066</v>
      </c>
      <c r="R892" s="5">
        <v>46065</v>
      </c>
      <c r="S892" t="s">
        <v>33</v>
      </c>
      <c r="T892" s="6">
        <v>5</v>
      </c>
      <c r="U892" t="s">
        <v>48</v>
      </c>
      <c r="V892" s="10">
        <v>1948.914</v>
      </c>
      <c r="W892" s="10">
        <v>1323.33</v>
      </c>
      <c r="X892" s="10">
        <v>598.82400000000007</v>
      </c>
      <c r="Y892" s="11">
        <v>0.30726035114940942</v>
      </c>
      <c r="Z892" s="6">
        <v>-1</v>
      </c>
      <c r="AA892" t="s">
        <v>35</v>
      </c>
    </row>
    <row r="893" spans="1:27" x14ac:dyDescent="0.25">
      <c r="A893" t="s">
        <v>1034</v>
      </c>
      <c r="B893">
        <v>146</v>
      </c>
      <c r="C893" s="9">
        <v>46060.190254629633</v>
      </c>
      <c r="D893" t="s">
        <v>81</v>
      </c>
      <c r="E893" t="s">
        <v>82</v>
      </c>
      <c r="F893" t="s">
        <v>45</v>
      </c>
      <c r="G893">
        <v>0</v>
      </c>
      <c r="H893" s="6">
        <v>1</v>
      </c>
      <c r="I893" s="10">
        <v>61.73</v>
      </c>
      <c r="J893" s="10">
        <v>235.92</v>
      </c>
      <c r="K893" t="s">
        <v>46</v>
      </c>
      <c r="L893" s="3">
        <v>0.1</v>
      </c>
      <c r="M893" t="s">
        <v>61</v>
      </c>
      <c r="N893" s="10">
        <v>18.46</v>
      </c>
      <c r="O893" t="s">
        <v>47</v>
      </c>
      <c r="P893" s="5">
        <v>46062</v>
      </c>
      <c r="Q893" s="5">
        <v>46071</v>
      </c>
      <c r="R893" s="5">
        <v>46068</v>
      </c>
      <c r="S893" t="s">
        <v>33</v>
      </c>
      <c r="T893" s="6">
        <v>4</v>
      </c>
      <c r="U893" t="s">
        <v>77</v>
      </c>
      <c r="V893" s="10">
        <v>212.328</v>
      </c>
      <c r="W893" s="10">
        <v>61.73</v>
      </c>
      <c r="X893" s="10">
        <v>132.13800000000001</v>
      </c>
      <c r="Y893" s="11">
        <v>0.62232960325534081</v>
      </c>
      <c r="Z893" s="6">
        <v>-3</v>
      </c>
      <c r="AA893" t="s">
        <v>35</v>
      </c>
    </row>
    <row r="894" spans="1:27" x14ac:dyDescent="0.25">
      <c r="A894" t="s">
        <v>1035</v>
      </c>
      <c r="B894">
        <v>174</v>
      </c>
      <c r="C894" s="9">
        <v>46060.282835648148</v>
      </c>
      <c r="D894" t="s">
        <v>28</v>
      </c>
      <c r="E894" t="s">
        <v>29</v>
      </c>
      <c r="F894" t="s">
        <v>30</v>
      </c>
      <c r="G894">
        <v>2204</v>
      </c>
      <c r="H894" s="6">
        <v>3</v>
      </c>
      <c r="I894" s="10">
        <v>2195.65</v>
      </c>
      <c r="J894" s="10">
        <v>3394.19</v>
      </c>
      <c r="K894" t="s">
        <v>60</v>
      </c>
      <c r="L894" s="3">
        <v>0.2</v>
      </c>
      <c r="M894" t="s">
        <v>61</v>
      </c>
      <c r="N894" s="10">
        <v>77.53</v>
      </c>
      <c r="O894" t="s">
        <v>264</v>
      </c>
      <c r="P894" s="5">
        <v>46062</v>
      </c>
      <c r="Q894" s="5">
        <v>46072</v>
      </c>
      <c r="R894" s="5">
        <v>46064</v>
      </c>
      <c r="S894" t="s">
        <v>33</v>
      </c>
      <c r="T894" s="6">
        <v>5</v>
      </c>
      <c r="U894" t="s">
        <v>84</v>
      </c>
      <c r="V894" s="10">
        <v>8146.0559999999996</v>
      </c>
      <c r="W894" s="10">
        <v>6586.9500000000007</v>
      </c>
      <c r="X894" s="10">
        <v>1481.576</v>
      </c>
      <c r="Y894" s="11">
        <v>0.18187648108483409</v>
      </c>
      <c r="Z894" s="6">
        <v>-8</v>
      </c>
      <c r="AA894" t="s">
        <v>35</v>
      </c>
    </row>
    <row r="895" spans="1:27" x14ac:dyDescent="0.25">
      <c r="A895" t="s">
        <v>1036</v>
      </c>
      <c r="B895">
        <v>176</v>
      </c>
      <c r="C895" s="9">
        <v>46060.328773148147</v>
      </c>
      <c r="D895" t="s">
        <v>43</v>
      </c>
      <c r="E895" t="s">
        <v>44</v>
      </c>
      <c r="F895" t="s">
        <v>45</v>
      </c>
      <c r="G895">
        <v>0</v>
      </c>
      <c r="H895" s="6">
        <v>1</v>
      </c>
      <c r="I895" s="10">
        <v>33.86</v>
      </c>
      <c r="J895" s="10">
        <v>132.75</v>
      </c>
      <c r="L895" s="3">
        <v>0</v>
      </c>
      <c r="M895" t="s">
        <v>31</v>
      </c>
      <c r="N895" s="10">
        <v>20.74</v>
      </c>
      <c r="O895" t="s">
        <v>47</v>
      </c>
      <c r="P895" s="5">
        <v>46061</v>
      </c>
      <c r="Q895" s="5">
        <v>46071</v>
      </c>
      <c r="R895" s="5">
        <v>46069</v>
      </c>
      <c r="S895" t="s">
        <v>33</v>
      </c>
      <c r="T895" s="6">
        <v>4</v>
      </c>
      <c r="U895" t="s">
        <v>84</v>
      </c>
      <c r="V895" s="10">
        <v>132.75</v>
      </c>
      <c r="W895" s="10">
        <v>33.86</v>
      </c>
      <c r="X895" s="10">
        <v>78.150000000000006</v>
      </c>
      <c r="Y895" s="11">
        <v>0.58870056497175149</v>
      </c>
      <c r="Z895" s="6">
        <v>-2</v>
      </c>
      <c r="AA895" t="s">
        <v>35</v>
      </c>
    </row>
    <row r="896" spans="1:27" x14ac:dyDescent="0.25">
      <c r="A896" t="s">
        <v>1037</v>
      </c>
      <c r="B896">
        <v>131</v>
      </c>
      <c r="C896" s="9">
        <v>46061.483564814807</v>
      </c>
      <c r="D896" t="s">
        <v>105</v>
      </c>
      <c r="E896" t="s">
        <v>106</v>
      </c>
      <c r="F896" t="s">
        <v>30</v>
      </c>
      <c r="G896">
        <v>2048</v>
      </c>
      <c r="H896" s="6">
        <v>3</v>
      </c>
      <c r="I896" s="10">
        <v>277.12</v>
      </c>
      <c r="J896" s="10">
        <v>366.62</v>
      </c>
      <c r="L896" s="3">
        <v>0</v>
      </c>
      <c r="M896" t="s">
        <v>31</v>
      </c>
      <c r="N896" s="10">
        <v>82.9</v>
      </c>
      <c r="O896" t="s">
        <v>62</v>
      </c>
      <c r="P896" s="5">
        <v>46063</v>
      </c>
      <c r="Q896" s="5">
        <v>46071</v>
      </c>
      <c r="R896" s="5">
        <v>46069</v>
      </c>
      <c r="S896" t="s">
        <v>33</v>
      </c>
      <c r="T896" s="6">
        <v>4</v>
      </c>
      <c r="U896" t="s">
        <v>77</v>
      </c>
      <c r="V896" s="10">
        <v>1099.8599999999999</v>
      </c>
      <c r="W896" s="10">
        <v>831.36</v>
      </c>
      <c r="X896" s="10">
        <v>185.60000000000011</v>
      </c>
      <c r="Y896" s="11">
        <v>0.16874874984088889</v>
      </c>
      <c r="Z896" s="6">
        <v>-2</v>
      </c>
      <c r="AA896" t="s">
        <v>35</v>
      </c>
    </row>
    <row r="897" spans="1:27" x14ac:dyDescent="0.25">
      <c r="A897" t="s">
        <v>1038</v>
      </c>
      <c r="B897">
        <v>136</v>
      </c>
      <c r="C897" s="9">
        <v>46061.802071759259</v>
      </c>
      <c r="D897" t="s">
        <v>105</v>
      </c>
      <c r="E897" t="s">
        <v>106</v>
      </c>
      <c r="F897" t="s">
        <v>30</v>
      </c>
      <c r="G897">
        <v>2081</v>
      </c>
      <c r="H897" s="6">
        <v>3</v>
      </c>
      <c r="I897" s="10">
        <v>214.72</v>
      </c>
      <c r="J897" s="10">
        <v>365.24</v>
      </c>
      <c r="L897" s="3">
        <v>0</v>
      </c>
      <c r="M897" t="s">
        <v>61</v>
      </c>
      <c r="N897" s="10">
        <v>83.52</v>
      </c>
      <c r="O897" t="s">
        <v>62</v>
      </c>
      <c r="P897" s="5">
        <v>46062</v>
      </c>
      <c r="Q897" s="5">
        <v>46071</v>
      </c>
      <c r="R897" s="5">
        <v>46067</v>
      </c>
      <c r="S897" t="s">
        <v>33</v>
      </c>
      <c r="T897" s="6">
        <v>5</v>
      </c>
      <c r="U897" t="s">
        <v>79</v>
      </c>
      <c r="V897" s="10">
        <v>1095.72</v>
      </c>
      <c r="W897" s="10">
        <v>644.16</v>
      </c>
      <c r="X897" s="10">
        <v>368.04000000000008</v>
      </c>
      <c r="Y897" s="11">
        <v>0.33588873069762348</v>
      </c>
      <c r="Z897" s="6">
        <v>-4</v>
      </c>
      <c r="AA897" t="s">
        <v>35</v>
      </c>
    </row>
    <row r="898" spans="1:27" x14ac:dyDescent="0.25">
      <c r="A898" t="s">
        <v>1039</v>
      </c>
      <c r="B898">
        <v>96</v>
      </c>
      <c r="C898" s="9">
        <v>46062.966805555552</v>
      </c>
      <c r="D898" t="s">
        <v>123</v>
      </c>
      <c r="E898" t="s">
        <v>124</v>
      </c>
      <c r="F898" t="s">
        <v>45</v>
      </c>
      <c r="G898">
        <v>0</v>
      </c>
      <c r="H898" s="6">
        <v>1</v>
      </c>
      <c r="I898" s="10">
        <v>297.57</v>
      </c>
      <c r="J898" s="10">
        <v>408.58</v>
      </c>
      <c r="K898" t="s">
        <v>60</v>
      </c>
      <c r="L898" s="3">
        <v>0.2</v>
      </c>
      <c r="M898" t="s">
        <v>76</v>
      </c>
      <c r="N898" s="10">
        <v>21.2</v>
      </c>
      <c r="O898" t="s">
        <v>62</v>
      </c>
      <c r="P898" s="5">
        <v>46064</v>
      </c>
      <c r="Q898" s="5">
        <v>46071</v>
      </c>
      <c r="S898" t="s">
        <v>54</v>
      </c>
      <c r="T898" s="6">
        <v>2</v>
      </c>
      <c r="U898" t="s">
        <v>168</v>
      </c>
      <c r="V898" s="10">
        <v>326.86399999999998</v>
      </c>
      <c r="W898" s="10">
        <v>297.57</v>
      </c>
      <c r="X898" s="10">
        <v>8.0940000000000403</v>
      </c>
      <c r="Y898" s="11">
        <v>2.4762592393166701E-2</v>
      </c>
      <c r="Z898" s="6"/>
      <c r="AA898" t="s">
        <v>56</v>
      </c>
    </row>
    <row r="899" spans="1:27" x14ac:dyDescent="0.25">
      <c r="A899" t="s">
        <v>1040</v>
      </c>
      <c r="B899">
        <v>66</v>
      </c>
      <c r="C899" s="9">
        <v>46063.824328703697</v>
      </c>
      <c r="D899" t="s">
        <v>71</v>
      </c>
      <c r="E899" t="s">
        <v>72</v>
      </c>
      <c r="F899" t="s">
        <v>52</v>
      </c>
      <c r="G899">
        <v>257</v>
      </c>
      <c r="H899" s="6">
        <v>1</v>
      </c>
      <c r="I899" s="10">
        <v>66.59</v>
      </c>
      <c r="J899" s="10">
        <v>90.8</v>
      </c>
      <c r="L899" s="3">
        <v>0</v>
      </c>
      <c r="M899" t="s">
        <v>31</v>
      </c>
      <c r="N899" s="10">
        <v>45.94</v>
      </c>
      <c r="O899" t="s">
        <v>133</v>
      </c>
      <c r="P899" s="5">
        <v>46064</v>
      </c>
      <c r="Q899" s="5">
        <v>46072</v>
      </c>
      <c r="R899" s="5">
        <v>46069</v>
      </c>
      <c r="S899" t="s">
        <v>33</v>
      </c>
      <c r="T899" s="6">
        <v>4</v>
      </c>
      <c r="U899" t="s">
        <v>172</v>
      </c>
      <c r="V899" s="10">
        <v>90.8</v>
      </c>
      <c r="W899" s="10">
        <v>66.59</v>
      </c>
      <c r="X899" s="10">
        <v>-21.73</v>
      </c>
      <c r="Y899" s="11">
        <v>-0.23931718061674009</v>
      </c>
      <c r="Z899" s="6">
        <v>-3</v>
      </c>
      <c r="AA899" t="s">
        <v>35</v>
      </c>
    </row>
    <row r="900" spans="1:27" x14ac:dyDescent="0.25">
      <c r="A900" t="s">
        <v>1041</v>
      </c>
      <c r="B900">
        <v>163</v>
      </c>
      <c r="C900" s="9">
        <v>46064.28806712963</v>
      </c>
      <c r="D900" t="s">
        <v>81</v>
      </c>
      <c r="E900" t="s">
        <v>82</v>
      </c>
      <c r="F900" t="s">
        <v>45</v>
      </c>
      <c r="G900">
        <v>0</v>
      </c>
      <c r="H900" s="6">
        <v>1</v>
      </c>
      <c r="I900" s="10">
        <v>113.16</v>
      </c>
      <c r="J900" s="10">
        <v>149.33000000000001</v>
      </c>
      <c r="K900" t="s">
        <v>46</v>
      </c>
      <c r="L900" s="3">
        <v>0.1</v>
      </c>
      <c r="M900" t="s">
        <v>61</v>
      </c>
      <c r="N900" s="10">
        <v>19.059999999999999</v>
      </c>
      <c r="O900" t="s">
        <v>32</v>
      </c>
      <c r="P900" s="5">
        <v>46065</v>
      </c>
      <c r="Q900" s="5">
        <v>46073</v>
      </c>
      <c r="R900" s="5">
        <v>46073</v>
      </c>
      <c r="S900" t="s">
        <v>33</v>
      </c>
      <c r="T900" s="6">
        <v>5</v>
      </c>
      <c r="U900" t="s">
        <v>134</v>
      </c>
      <c r="V900" s="10">
        <v>134.39699999999999</v>
      </c>
      <c r="W900" s="10">
        <v>113.16</v>
      </c>
      <c r="X900" s="10">
        <v>2.177000000000024</v>
      </c>
      <c r="Y900" s="11">
        <v>1.6198278235377461E-2</v>
      </c>
      <c r="Z900" s="6">
        <v>0</v>
      </c>
      <c r="AA900" t="s">
        <v>35</v>
      </c>
    </row>
    <row r="901" spans="1:27" x14ac:dyDescent="0.25">
      <c r="A901" t="s">
        <v>1042</v>
      </c>
      <c r="B901">
        <v>112</v>
      </c>
      <c r="C901" s="9">
        <v>46064.401909722219</v>
      </c>
      <c r="D901" t="s">
        <v>28</v>
      </c>
      <c r="E901" t="s">
        <v>29</v>
      </c>
      <c r="F901" t="s">
        <v>30</v>
      </c>
      <c r="G901">
        <v>2269</v>
      </c>
      <c r="H901" s="6">
        <v>3</v>
      </c>
      <c r="I901" s="10">
        <v>2101.67</v>
      </c>
      <c r="J901" s="10">
        <v>3331.2</v>
      </c>
      <c r="L901" s="3">
        <v>0</v>
      </c>
      <c r="M901" t="s">
        <v>76</v>
      </c>
      <c r="N901" s="10">
        <v>121.82</v>
      </c>
      <c r="O901" t="s">
        <v>97</v>
      </c>
      <c r="P901" s="5">
        <v>46066</v>
      </c>
      <c r="Q901" s="5">
        <v>46074</v>
      </c>
      <c r="R901" s="5">
        <v>46069</v>
      </c>
      <c r="S901" t="s">
        <v>33</v>
      </c>
      <c r="T901" s="6">
        <v>5</v>
      </c>
      <c r="U901" t="s">
        <v>34</v>
      </c>
      <c r="V901" s="10">
        <v>9993.5999999999985</v>
      </c>
      <c r="W901" s="10">
        <v>6305.01</v>
      </c>
      <c r="X901" s="10">
        <v>3566.7699999999982</v>
      </c>
      <c r="Y901" s="11">
        <v>0.35690541946845972</v>
      </c>
      <c r="Z901" s="6">
        <v>-5</v>
      </c>
      <c r="AA901" t="s">
        <v>35</v>
      </c>
    </row>
    <row r="902" spans="1:27" x14ac:dyDescent="0.25">
      <c r="A902" t="s">
        <v>1043</v>
      </c>
      <c r="B902">
        <v>115</v>
      </c>
      <c r="C902" s="9">
        <v>46064.446423611109</v>
      </c>
      <c r="D902" t="s">
        <v>148</v>
      </c>
      <c r="E902" t="s">
        <v>149</v>
      </c>
      <c r="F902" t="s">
        <v>30</v>
      </c>
      <c r="G902">
        <v>3349</v>
      </c>
      <c r="H902" s="6">
        <v>3</v>
      </c>
      <c r="I902" s="10">
        <v>495.37</v>
      </c>
      <c r="J902" s="10">
        <v>860.93</v>
      </c>
      <c r="K902" t="s">
        <v>46</v>
      </c>
      <c r="L902" s="3">
        <v>0.1</v>
      </c>
      <c r="M902" t="s">
        <v>61</v>
      </c>
      <c r="N902" s="10">
        <v>53.67</v>
      </c>
      <c r="O902" t="s">
        <v>150</v>
      </c>
      <c r="P902" s="5">
        <v>46065</v>
      </c>
      <c r="Q902" s="5">
        <v>46074</v>
      </c>
      <c r="R902" s="5">
        <v>46073</v>
      </c>
      <c r="S902" t="s">
        <v>33</v>
      </c>
      <c r="T902" s="6">
        <v>5</v>
      </c>
      <c r="U902" t="s">
        <v>211</v>
      </c>
      <c r="V902" s="10">
        <v>2324.511</v>
      </c>
      <c r="W902" s="10">
        <v>1486.11</v>
      </c>
      <c r="X902" s="10">
        <v>784.73099999999988</v>
      </c>
      <c r="Y902" s="11">
        <v>0.33758971241693408</v>
      </c>
      <c r="Z902" s="6">
        <v>-1</v>
      </c>
      <c r="AA902" t="s">
        <v>35</v>
      </c>
    </row>
    <row r="903" spans="1:27" x14ac:dyDescent="0.25">
      <c r="A903" t="s">
        <v>1044</v>
      </c>
      <c r="B903">
        <v>170</v>
      </c>
      <c r="C903" s="9">
        <v>46065.299571759257</v>
      </c>
      <c r="D903" t="s">
        <v>43</v>
      </c>
      <c r="E903" t="s">
        <v>44</v>
      </c>
      <c r="F903" t="s">
        <v>45</v>
      </c>
      <c r="G903">
        <v>0</v>
      </c>
      <c r="H903" s="6">
        <v>2</v>
      </c>
      <c r="I903" s="10">
        <v>36.200000000000003</v>
      </c>
      <c r="J903" s="10">
        <v>145.54</v>
      </c>
      <c r="K903" t="s">
        <v>60</v>
      </c>
      <c r="L903" s="3">
        <v>0.2</v>
      </c>
      <c r="M903" t="s">
        <v>61</v>
      </c>
      <c r="N903" s="10">
        <v>16.850000000000001</v>
      </c>
      <c r="O903" t="s">
        <v>264</v>
      </c>
      <c r="P903" s="5">
        <v>46066</v>
      </c>
      <c r="Q903" s="5">
        <v>46075</v>
      </c>
      <c r="R903" s="5">
        <v>46069</v>
      </c>
      <c r="S903" t="s">
        <v>33</v>
      </c>
      <c r="T903" s="6">
        <v>4</v>
      </c>
      <c r="U903" t="s">
        <v>84</v>
      </c>
      <c r="V903" s="10">
        <v>232.864</v>
      </c>
      <c r="W903" s="10">
        <v>72.400000000000006</v>
      </c>
      <c r="X903" s="10">
        <v>143.614</v>
      </c>
      <c r="Y903" s="11">
        <v>0.61672907791672393</v>
      </c>
      <c r="Z903" s="6">
        <v>-6</v>
      </c>
      <c r="AA903" t="s">
        <v>35</v>
      </c>
    </row>
    <row r="904" spans="1:27" x14ac:dyDescent="0.25">
      <c r="A904" t="s">
        <v>1045</v>
      </c>
      <c r="B904">
        <v>108</v>
      </c>
      <c r="C904" s="9">
        <v>46066.39502314815</v>
      </c>
      <c r="D904" t="s">
        <v>198</v>
      </c>
      <c r="E904" t="s">
        <v>199</v>
      </c>
      <c r="F904" t="s">
        <v>116</v>
      </c>
      <c r="G904">
        <v>0</v>
      </c>
      <c r="H904" s="6">
        <v>3</v>
      </c>
      <c r="I904" s="10">
        <v>338.86</v>
      </c>
      <c r="J904" s="10">
        <v>660.81</v>
      </c>
      <c r="L904" s="3">
        <v>0</v>
      </c>
      <c r="M904" t="s">
        <v>31</v>
      </c>
      <c r="N904" s="10">
        <v>26.66</v>
      </c>
      <c r="O904" t="s">
        <v>47</v>
      </c>
      <c r="P904" s="5">
        <v>46067</v>
      </c>
      <c r="Q904" s="5">
        <v>46074</v>
      </c>
      <c r="R904" s="5">
        <v>46070</v>
      </c>
      <c r="S904" t="s">
        <v>33</v>
      </c>
      <c r="T904" s="6">
        <v>4</v>
      </c>
      <c r="U904" t="s">
        <v>77</v>
      </c>
      <c r="V904" s="10">
        <v>1982.43</v>
      </c>
      <c r="W904" s="10">
        <v>1016.58</v>
      </c>
      <c r="X904" s="10">
        <v>939.18999999999983</v>
      </c>
      <c r="Y904" s="11">
        <v>0.47375695484834263</v>
      </c>
      <c r="Z904" s="6">
        <v>-4</v>
      </c>
      <c r="AA904" t="s">
        <v>35</v>
      </c>
    </row>
    <row r="905" spans="1:27" x14ac:dyDescent="0.25">
      <c r="A905" t="s">
        <v>1046</v>
      </c>
      <c r="B905">
        <v>192</v>
      </c>
      <c r="C905" s="9">
        <v>46066.534918981481</v>
      </c>
      <c r="D905" t="s">
        <v>89</v>
      </c>
      <c r="E905" t="s">
        <v>90</v>
      </c>
      <c r="F905" t="s">
        <v>52</v>
      </c>
      <c r="G905">
        <v>338</v>
      </c>
      <c r="H905" s="6">
        <v>1</v>
      </c>
      <c r="I905" s="10">
        <v>105.65</v>
      </c>
      <c r="J905" s="10">
        <v>155.19</v>
      </c>
      <c r="L905" s="3">
        <v>0</v>
      </c>
      <c r="M905" t="s">
        <v>31</v>
      </c>
      <c r="N905" s="10">
        <v>27.97</v>
      </c>
      <c r="O905" t="s">
        <v>62</v>
      </c>
      <c r="P905" s="5">
        <v>46068</v>
      </c>
      <c r="Q905" s="5">
        <v>46074</v>
      </c>
      <c r="S905" t="s">
        <v>63</v>
      </c>
      <c r="T905" s="6">
        <v>2</v>
      </c>
      <c r="U905" t="s">
        <v>108</v>
      </c>
      <c r="V905" s="10">
        <v>155.19</v>
      </c>
      <c r="W905" s="10">
        <v>105.65</v>
      </c>
      <c r="X905" s="10">
        <v>21.56999999999999</v>
      </c>
      <c r="Y905" s="11">
        <v>0.13899091436303879</v>
      </c>
      <c r="Z905" s="6"/>
      <c r="AA905" t="s">
        <v>56</v>
      </c>
    </row>
    <row r="906" spans="1:27" x14ac:dyDescent="0.25">
      <c r="A906" t="s">
        <v>1047</v>
      </c>
      <c r="B906">
        <v>44</v>
      </c>
      <c r="C906" s="9">
        <v>46066.887430555558</v>
      </c>
      <c r="D906" t="s">
        <v>177</v>
      </c>
      <c r="E906" t="s">
        <v>178</v>
      </c>
      <c r="F906" t="s">
        <v>116</v>
      </c>
      <c r="G906">
        <v>0</v>
      </c>
      <c r="H906" s="6">
        <v>1</v>
      </c>
      <c r="I906" s="10">
        <v>198.88</v>
      </c>
      <c r="J906" s="10">
        <v>573.86</v>
      </c>
      <c r="K906" t="s">
        <v>60</v>
      </c>
      <c r="L906" s="3">
        <v>0.2</v>
      </c>
      <c r="M906" t="s">
        <v>61</v>
      </c>
      <c r="N906" s="10">
        <v>27.51</v>
      </c>
      <c r="O906" t="s">
        <v>47</v>
      </c>
      <c r="P906" s="5">
        <v>46067</v>
      </c>
      <c r="Q906" s="5">
        <v>46075</v>
      </c>
      <c r="R906" s="5">
        <v>46077</v>
      </c>
      <c r="S906" t="s">
        <v>33</v>
      </c>
      <c r="T906" s="6">
        <v>2</v>
      </c>
      <c r="U906" t="s">
        <v>131</v>
      </c>
      <c r="V906" s="10">
        <v>459.08800000000002</v>
      </c>
      <c r="W906" s="10">
        <v>198.88</v>
      </c>
      <c r="X906" s="10">
        <v>232.69800000000001</v>
      </c>
      <c r="Y906" s="11">
        <v>0.50687014254347751</v>
      </c>
      <c r="Z906" s="6">
        <v>2</v>
      </c>
      <c r="AA906" t="s">
        <v>103</v>
      </c>
    </row>
    <row r="907" spans="1:27" x14ac:dyDescent="0.25">
      <c r="A907" t="s">
        <v>1048</v>
      </c>
      <c r="B907">
        <v>156</v>
      </c>
      <c r="C907" s="9">
        <v>46067.653113425928</v>
      </c>
      <c r="D907" t="s">
        <v>58</v>
      </c>
      <c r="E907" t="s">
        <v>59</v>
      </c>
      <c r="F907" t="s">
        <v>30</v>
      </c>
      <c r="G907">
        <v>4282</v>
      </c>
      <c r="H907" s="6">
        <v>1</v>
      </c>
      <c r="I907" s="10">
        <v>398.54</v>
      </c>
      <c r="J907" s="10">
        <v>472.16</v>
      </c>
      <c r="L907" s="3">
        <v>0</v>
      </c>
      <c r="M907" t="s">
        <v>39</v>
      </c>
      <c r="N907" s="10">
        <v>129.16999999999999</v>
      </c>
      <c r="O907" t="s">
        <v>47</v>
      </c>
      <c r="P907" s="5">
        <v>46068</v>
      </c>
      <c r="Q907" s="5">
        <v>46075</v>
      </c>
      <c r="R907" s="5">
        <v>46074</v>
      </c>
      <c r="S907" t="s">
        <v>33</v>
      </c>
      <c r="T907" s="6">
        <v>5</v>
      </c>
      <c r="U907" t="s">
        <v>41</v>
      </c>
      <c r="V907" s="10">
        <v>472.16</v>
      </c>
      <c r="W907" s="10">
        <v>398.54</v>
      </c>
      <c r="X907" s="10">
        <v>-55.549999999999983</v>
      </c>
      <c r="Y907" s="11">
        <v>-0.1176507963402236</v>
      </c>
      <c r="Z907" s="6">
        <v>-1</v>
      </c>
      <c r="AA907" t="s">
        <v>35</v>
      </c>
    </row>
    <row r="908" spans="1:27" x14ac:dyDescent="0.25">
      <c r="A908" t="s">
        <v>1049</v>
      </c>
      <c r="B908">
        <v>37</v>
      </c>
      <c r="C908" s="9">
        <v>46068.546585648153</v>
      </c>
      <c r="D908" t="s">
        <v>198</v>
      </c>
      <c r="E908" t="s">
        <v>199</v>
      </c>
      <c r="F908" t="s">
        <v>116</v>
      </c>
      <c r="G908">
        <v>0</v>
      </c>
      <c r="H908" s="6">
        <v>3</v>
      </c>
      <c r="I908" s="10">
        <v>354.7</v>
      </c>
      <c r="J908" s="10">
        <v>736.55</v>
      </c>
      <c r="L908" s="3">
        <v>0</v>
      </c>
      <c r="M908" t="s">
        <v>61</v>
      </c>
      <c r="N908" s="10">
        <v>26.95</v>
      </c>
      <c r="O908" t="s">
        <v>47</v>
      </c>
      <c r="P908" s="5">
        <v>46070</v>
      </c>
      <c r="Q908" s="5">
        <v>46075</v>
      </c>
      <c r="S908" t="s">
        <v>63</v>
      </c>
      <c r="T908" s="6">
        <v>3</v>
      </c>
      <c r="U908" t="s">
        <v>55</v>
      </c>
      <c r="V908" s="10">
        <v>2209.65</v>
      </c>
      <c r="W908" s="10">
        <v>1064.0999999999999</v>
      </c>
      <c r="X908" s="10">
        <v>1118.5999999999999</v>
      </c>
      <c r="Y908" s="11">
        <v>0.50623401896227904</v>
      </c>
      <c r="Z908" s="6"/>
      <c r="AA908" t="s">
        <v>56</v>
      </c>
    </row>
    <row r="909" spans="1:27" x14ac:dyDescent="0.25">
      <c r="A909" t="s">
        <v>1050</v>
      </c>
      <c r="B909">
        <v>61</v>
      </c>
      <c r="C909" s="9">
        <v>46068.646990740737</v>
      </c>
      <c r="D909" t="s">
        <v>137</v>
      </c>
      <c r="E909" t="s">
        <v>138</v>
      </c>
      <c r="F909" t="s">
        <v>52</v>
      </c>
      <c r="G909">
        <v>382</v>
      </c>
      <c r="H909" s="6">
        <v>2</v>
      </c>
      <c r="I909" s="10">
        <v>90.45</v>
      </c>
      <c r="J909" s="10">
        <v>262.20999999999998</v>
      </c>
      <c r="K909" t="s">
        <v>46</v>
      </c>
      <c r="L909" s="3">
        <v>0.1</v>
      </c>
      <c r="M909" t="s">
        <v>39</v>
      </c>
      <c r="N909" s="10">
        <v>33.54</v>
      </c>
      <c r="O909" t="s">
        <v>32</v>
      </c>
      <c r="P909" s="5">
        <v>46069</v>
      </c>
      <c r="Q909" s="5">
        <v>46078</v>
      </c>
      <c r="R909" s="5">
        <v>46076</v>
      </c>
      <c r="S909" t="s">
        <v>33</v>
      </c>
      <c r="T909" s="6">
        <v>4</v>
      </c>
      <c r="U909" t="s">
        <v>84</v>
      </c>
      <c r="V909" s="10">
        <v>471.97800000000001</v>
      </c>
      <c r="W909" s="10">
        <v>180.9</v>
      </c>
      <c r="X909" s="10">
        <v>257.53800000000001</v>
      </c>
      <c r="Y909" s="11">
        <v>0.54565678908762694</v>
      </c>
      <c r="Z909" s="6">
        <v>-2</v>
      </c>
      <c r="AA909" t="s">
        <v>35</v>
      </c>
    </row>
    <row r="910" spans="1:27" x14ac:dyDescent="0.25">
      <c r="A910" t="s">
        <v>1051</v>
      </c>
      <c r="B910">
        <v>66</v>
      </c>
      <c r="C910" s="9">
        <v>46069.827048611107</v>
      </c>
      <c r="D910" t="s">
        <v>198</v>
      </c>
      <c r="E910" t="s">
        <v>199</v>
      </c>
      <c r="F910" t="s">
        <v>116</v>
      </c>
      <c r="G910">
        <v>0</v>
      </c>
      <c r="H910" s="6">
        <v>3</v>
      </c>
      <c r="I910" s="10">
        <v>386.86</v>
      </c>
      <c r="J910" s="10">
        <v>660.67</v>
      </c>
      <c r="K910" t="s">
        <v>60</v>
      </c>
      <c r="L910" s="3">
        <v>0.2</v>
      </c>
      <c r="M910" t="s">
        <v>76</v>
      </c>
      <c r="N910" s="10">
        <v>16.14</v>
      </c>
      <c r="O910" t="s">
        <v>47</v>
      </c>
      <c r="P910" s="5">
        <v>46071</v>
      </c>
      <c r="Q910" s="5">
        <v>46076</v>
      </c>
      <c r="R910" s="5">
        <v>46075</v>
      </c>
      <c r="S910" t="s">
        <v>33</v>
      </c>
      <c r="T910" s="6">
        <v>5</v>
      </c>
      <c r="U910" t="s">
        <v>134</v>
      </c>
      <c r="V910" s="10">
        <v>1585.6079999999999</v>
      </c>
      <c r="W910" s="10">
        <v>1160.58</v>
      </c>
      <c r="X910" s="10">
        <v>408.88799999999998</v>
      </c>
      <c r="Y910" s="11">
        <v>0.25787458186386553</v>
      </c>
      <c r="Z910" s="6">
        <v>-1</v>
      </c>
      <c r="AA910" t="s">
        <v>35</v>
      </c>
    </row>
    <row r="911" spans="1:27" x14ac:dyDescent="0.25">
      <c r="A911" t="s">
        <v>1052</v>
      </c>
      <c r="B911">
        <v>147</v>
      </c>
      <c r="C911" s="9">
        <v>46070.113703703697</v>
      </c>
      <c r="D911" t="s">
        <v>86</v>
      </c>
      <c r="E911" t="s">
        <v>87</v>
      </c>
      <c r="F911" t="s">
        <v>45</v>
      </c>
      <c r="G911">
        <v>0</v>
      </c>
      <c r="H911" s="6">
        <v>2</v>
      </c>
      <c r="I911" s="10">
        <v>92.73</v>
      </c>
      <c r="J911" s="10">
        <v>163.26</v>
      </c>
      <c r="K911" t="s">
        <v>60</v>
      </c>
      <c r="L911" s="3">
        <v>0.2</v>
      </c>
      <c r="M911" t="s">
        <v>31</v>
      </c>
      <c r="N911" s="10">
        <v>15.77</v>
      </c>
      <c r="O911" t="s">
        <v>32</v>
      </c>
      <c r="P911" s="5">
        <v>46072</v>
      </c>
      <c r="Q911" s="5">
        <v>46080</v>
      </c>
      <c r="R911" s="5">
        <v>46075</v>
      </c>
      <c r="S911" t="s">
        <v>33</v>
      </c>
      <c r="T911" s="6">
        <v>4</v>
      </c>
      <c r="U911" t="s">
        <v>117</v>
      </c>
      <c r="V911" s="10">
        <v>261.21600000000001</v>
      </c>
      <c r="W911" s="10">
        <v>185.46</v>
      </c>
      <c r="X911" s="10">
        <v>59.985999999999997</v>
      </c>
      <c r="Y911" s="11">
        <v>0.22964136959451181</v>
      </c>
      <c r="Z911" s="6">
        <v>-5</v>
      </c>
      <c r="AA911" t="s">
        <v>35</v>
      </c>
    </row>
    <row r="912" spans="1:27" x14ac:dyDescent="0.25">
      <c r="A912" t="s">
        <v>1053</v>
      </c>
      <c r="B912">
        <v>138</v>
      </c>
      <c r="C912" s="9">
        <v>46071.848020833328</v>
      </c>
      <c r="D912" t="s">
        <v>66</v>
      </c>
      <c r="E912" t="s">
        <v>67</v>
      </c>
      <c r="F912" t="s">
        <v>52</v>
      </c>
      <c r="G912">
        <v>233</v>
      </c>
      <c r="H912" s="6">
        <v>3</v>
      </c>
      <c r="I912" s="10">
        <v>37.6</v>
      </c>
      <c r="J912" s="10">
        <v>82.34</v>
      </c>
      <c r="K912" t="s">
        <v>60</v>
      </c>
      <c r="L912" s="3">
        <v>0.2</v>
      </c>
      <c r="M912" t="s">
        <v>39</v>
      </c>
      <c r="N912" s="10">
        <v>47.13</v>
      </c>
      <c r="O912" t="s">
        <v>62</v>
      </c>
      <c r="P912" s="5">
        <v>46072</v>
      </c>
      <c r="Q912" s="5">
        <v>46082</v>
      </c>
      <c r="S912" t="s">
        <v>63</v>
      </c>
      <c r="T912" s="6">
        <v>1</v>
      </c>
      <c r="U912" t="s">
        <v>248</v>
      </c>
      <c r="V912" s="10">
        <v>197.61600000000001</v>
      </c>
      <c r="W912" s="10">
        <v>112.8</v>
      </c>
      <c r="X912" s="10">
        <v>37.686</v>
      </c>
      <c r="Y912" s="11">
        <v>0.19070318192858879</v>
      </c>
      <c r="Z912" s="6"/>
      <c r="AA912" t="s">
        <v>56</v>
      </c>
    </row>
    <row r="913" spans="1:27" x14ac:dyDescent="0.25">
      <c r="A913" t="s">
        <v>1054</v>
      </c>
      <c r="B913">
        <v>133</v>
      </c>
      <c r="C913" s="9">
        <v>46072.189166666663</v>
      </c>
      <c r="D913" t="s">
        <v>92</v>
      </c>
      <c r="E913" t="s">
        <v>93</v>
      </c>
      <c r="F913" t="s">
        <v>52</v>
      </c>
      <c r="G913">
        <v>228</v>
      </c>
      <c r="H913" s="6">
        <v>1</v>
      </c>
      <c r="I913" s="10">
        <v>40.549999999999997</v>
      </c>
      <c r="J913" s="10">
        <v>108.84</v>
      </c>
      <c r="K913" t="s">
        <v>60</v>
      </c>
      <c r="L913" s="3">
        <v>0.2</v>
      </c>
      <c r="M913" t="s">
        <v>39</v>
      </c>
      <c r="N913" s="10">
        <v>51.79</v>
      </c>
      <c r="O913" t="s">
        <v>47</v>
      </c>
      <c r="P913" s="5">
        <v>46073</v>
      </c>
      <c r="Q913" s="5">
        <v>46082</v>
      </c>
      <c r="R913" s="5">
        <v>46078</v>
      </c>
      <c r="S913" t="s">
        <v>33</v>
      </c>
      <c r="T913" s="6">
        <v>4</v>
      </c>
      <c r="U913" t="s">
        <v>119</v>
      </c>
      <c r="V913" s="10">
        <v>87.072000000000003</v>
      </c>
      <c r="W913" s="10">
        <v>40.549999999999997</v>
      </c>
      <c r="X913" s="10">
        <v>-5.2679999999999936</v>
      </c>
      <c r="Y913" s="11">
        <v>-6.0501653803748549E-2</v>
      </c>
      <c r="Z913" s="6">
        <v>-4</v>
      </c>
      <c r="AA913" t="s">
        <v>35</v>
      </c>
    </row>
    <row r="914" spans="1:27" x14ac:dyDescent="0.25">
      <c r="A914" t="s">
        <v>1055</v>
      </c>
      <c r="B914">
        <v>164</v>
      </c>
      <c r="C914" s="9">
        <v>46072.300393518519</v>
      </c>
      <c r="D914" t="s">
        <v>198</v>
      </c>
      <c r="E914" t="s">
        <v>199</v>
      </c>
      <c r="F914" t="s">
        <v>116</v>
      </c>
      <c r="G914">
        <v>0</v>
      </c>
      <c r="H914" s="6">
        <v>2</v>
      </c>
      <c r="I914" s="10">
        <v>432.84</v>
      </c>
      <c r="J914" s="10">
        <v>685.54</v>
      </c>
      <c r="L914" s="3">
        <v>0</v>
      </c>
      <c r="M914" t="s">
        <v>76</v>
      </c>
      <c r="N914" s="10">
        <v>17.239999999999998</v>
      </c>
      <c r="O914" t="s">
        <v>40</v>
      </c>
      <c r="P914" s="5">
        <v>46074</v>
      </c>
      <c r="Q914" s="5">
        <v>46083</v>
      </c>
      <c r="R914" s="5">
        <v>46085</v>
      </c>
      <c r="S914" t="s">
        <v>33</v>
      </c>
      <c r="T914" s="6">
        <v>2</v>
      </c>
      <c r="U914" t="s">
        <v>185</v>
      </c>
      <c r="V914" s="10">
        <v>1371.08</v>
      </c>
      <c r="W914" s="10">
        <v>865.68</v>
      </c>
      <c r="X914" s="10">
        <v>488.16</v>
      </c>
      <c r="Y914" s="11">
        <v>0.35604049362546308</v>
      </c>
      <c r="Z914" s="6">
        <v>2</v>
      </c>
      <c r="AA914" t="s">
        <v>103</v>
      </c>
    </row>
    <row r="915" spans="1:27" x14ac:dyDescent="0.25">
      <c r="A915" t="s">
        <v>1056</v>
      </c>
      <c r="B915">
        <v>171</v>
      </c>
      <c r="C915" s="9">
        <v>46072.703773148147</v>
      </c>
      <c r="D915" t="s">
        <v>123</v>
      </c>
      <c r="E915" t="s">
        <v>124</v>
      </c>
      <c r="F915" t="s">
        <v>45</v>
      </c>
      <c r="G915">
        <v>0</v>
      </c>
      <c r="H915" s="6">
        <v>3</v>
      </c>
      <c r="I915" s="10">
        <v>214.25</v>
      </c>
      <c r="J915" s="10">
        <v>312.29000000000002</v>
      </c>
      <c r="L915" s="3">
        <v>0</v>
      </c>
      <c r="M915" t="s">
        <v>76</v>
      </c>
      <c r="N915" s="10">
        <v>21.69</v>
      </c>
      <c r="O915" t="s">
        <v>157</v>
      </c>
      <c r="P915" s="5">
        <v>46074</v>
      </c>
      <c r="Q915" s="5">
        <v>46083</v>
      </c>
      <c r="R915" s="5">
        <v>46078</v>
      </c>
      <c r="S915" t="s">
        <v>33</v>
      </c>
      <c r="T915" s="6">
        <v>5</v>
      </c>
      <c r="U915" t="s">
        <v>84</v>
      </c>
      <c r="V915" s="10">
        <v>936.87000000000012</v>
      </c>
      <c r="W915" s="10">
        <v>642.75</v>
      </c>
      <c r="X915" s="10">
        <v>272.43000000000012</v>
      </c>
      <c r="Y915" s="11">
        <v>0.29078740913894152</v>
      </c>
      <c r="Z915" s="6">
        <v>-5</v>
      </c>
      <c r="AA915" t="s">
        <v>35</v>
      </c>
    </row>
    <row r="916" spans="1:27" x14ac:dyDescent="0.25">
      <c r="A916" t="s">
        <v>1057</v>
      </c>
      <c r="B916">
        <v>161</v>
      </c>
      <c r="C916" s="9">
        <v>46073.208043981482</v>
      </c>
      <c r="D916" t="s">
        <v>89</v>
      </c>
      <c r="E916" t="s">
        <v>90</v>
      </c>
      <c r="F916" t="s">
        <v>52</v>
      </c>
      <c r="G916">
        <v>345</v>
      </c>
      <c r="H916" s="6">
        <v>2</v>
      </c>
      <c r="I916" s="10">
        <v>95.09</v>
      </c>
      <c r="J916" s="10">
        <v>173.65</v>
      </c>
      <c r="L916" s="3">
        <v>0</v>
      </c>
      <c r="M916" t="s">
        <v>76</v>
      </c>
      <c r="N916" s="10">
        <v>32.71</v>
      </c>
      <c r="O916" t="s">
        <v>47</v>
      </c>
      <c r="P916" s="5">
        <v>46075</v>
      </c>
      <c r="Q916" s="5">
        <v>46080</v>
      </c>
      <c r="R916" s="5">
        <v>46082</v>
      </c>
      <c r="S916" t="s">
        <v>33</v>
      </c>
      <c r="T916" s="6">
        <v>1</v>
      </c>
      <c r="U916" t="s">
        <v>64</v>
      </c>
      <c r="V916" s="10">
        <v>347.3</v>
      </c>
      <c r="W916" s="10">
        <v>190.18</v>
      </c>
      <c r="X916" s="10">
        <v>124.41</v>
      </c>
      <c r="Y916" s="11">
        <v>0.35822055859487473</v>
      </c>
      <c r="Z916" s="6">
        <v>2</v>
      </c>
      <c r="AA916" t="s">
        <v>103</v>
      </c>
    </row>
    <row r="917" spans="1:27" x14ac:dyDescent="0.25">
      <c r="A917" t="s">
        <v>1058</v>
      </c>
      <c r="B917">
        <v>128</v>
      </c>
      <c r="C917" s="9">
        <v>46074.217152777783</v>
      </c>
      <c r="D917" t="s">
        <v>95</v>
      </c>
      <c r="E917" t="s">
        <v>96</v>
      </c>
      <c r="F917" t="s">
        <v>52</v>
      </c>
      <c r="G917">
        <v>410</v>
      </c>
      <c r="H917" s="6">
        <v>1</v>
      </c>
      <c r="I917" s="10">
        <v>22.87</v>
      </c>
      <c r="J917" s="10">
        <v>53.26</v>
      </c>
      <c r="K917" t="s">
        <v>60</v>
      </c>
      <c r="L917" s="3">
        <v>0.2</v>
      </c>
      <c r="M917" t="s">
        <v>31</v>
      </c>
      <c r="N917" s="10">
        <v>38.74</v>
      </c>
      <c r="O917" t="s">
        <v>62</v>
      </c>
      <c r="P917" s="5">
        <v>46075</v>
      </c>
      <c r="Q917" s="5">
        <v>46084</v>
      </c>
      <c r="R917" s="5">
        <v>46082</v>
      </c>
      <c r="S917" t="s">
        <v>33</v>
      </c>
      <c r="T917" s="6">
        <v>5</v>
      </c>
      <c r="U917" t="s">
        <v>69</v>
      </c>
      <c r="V917" s="10">
        <v>42.607999999999997</v>
      </c>
      <c r="W917" s="10">
        <v>22.87</v>
      </c>
      <c r="X917" s="10">
        <v>-19.001999999999999</v>
      </c>
      <c r="Y917" s="11">
        <v>-0.4459725873075478</v>
      </c>
      <c r="Z917" s="6">
        <v>-2</v>
      </c>
      <c r="AA917" t="s">
        <v>35</v>
      </c>
    </row>
    <row r="918" spans="1:27" x14ac:dyDescent="0.25">
      <c r="A918" t="s">
        <v>1059</v>
      </c>
      <c r="B918">
        <v>34</v>
      </c>
      <c r="C918" s="9">
        <v>46074.229166666657</v>
      </c>
      <c r="D918" t="s">
        <v>74</v>
      </c>
      <c r="E918" t="s">
        <v>75</v>
      </c>
      <c r="F918" t="s">
        <v>30</v>
      </c>
      <c r="G918">
        <v>2944</v>
      </c>
      <c r="H918" s="6">
        <v>3</v>
      </c>
      <c r="I918" s="10">
        <v>2126.36</v>
      </c>
      <c r="J918" s="10">
        <v>3506.97</v>
      </c>
      <c r="L918" s="3">
        <v>0</v>
      </c>
      <c r="M918" t="s">
        <v>39</v>
      </c>
      <c r="N918" s="10">
        <v>144.41999999999999</v>
      </c>
      <c r="O918" t="s">
        <v>99</v>
      </c>
      <c r="P918" s="5">
        <v>46076</v>
      </c>
      <c r="Q918" s="5">
        <v>46082</v>
      </c>
      <c r="R918" s="5">
        <v>46086</v>
      </c>
      <c r="S918" t="s">
        <v>33</v>
      </c>
      <c r="T918" s="6">
        <v>3</v>
      </c>
      <c r="U918" t="s">
        <v>230</v>
      </c>
      <c r="V918" s="10">
        <v>10520.91</v>
      </c>
      <c r="W918" s="10">
        <v>6379.08</v>
      </c>
      <c r="X918" s="10">
        <v>3997.41</v>
      </c>
      <c r="Y918" s="11">
        <v>0.37994907284636031</v>
      </c>
      <c r="Z918" s="6">
        <v>4</v>
      </c>
      <c r="AA918" t="s">
        <v>103</v>
      </c>
    </row>
    <row r="919" spans="1:27" x14ac:dyDescent="0.25">
      <c r="A919" t="s">
        <v>1060</v>
      </c>
      <c r="B919">
        <v>137</v>
      </c>
      <c r="C919" s="9">
        <v>46074.232557870368</v>
      </c>
      <c r="D919" t="s">
        <v>66</v>
      </c>
      <c r="E919" t="s">
        <v>67</v>
      </c>
      <c r="F919" t="s">
        <v>52</v>
      </c>
      <c r="G919">
        <v>203</v>
      </c>
      <c r="H919" s="6">
        <v>2</v>
      </c>
      <c r="I919" s="10">
        <v>51.94</v>
      </c>
      <c r="J919" s="10">
        <v>128.87</v>
      </c>
      <c r="K919" t="s">
        <v>60</v>
      </c>
      <c r="L919" s="3">
        <v>0.2</v>
      </c>
      <c r="M919" t="s">
        <v>61</v>
      </c>
      <c r="N919" s="10">
        <v>36.590000000000003</v>
      </c>
      <c r="O919" t="s">
        <v>150</v>
      </c>
      <c r="P919" s="5">
        <v>46075</v>
      </c>
      <c r="Q919" s="5">
        <v>46082</v>
      </c>
      <c r="R919" s="5">
        <v>46079</v>
      </c>
      <c r="S919" t="s">
        <v>33</v>
      </c>
      <c r="T919" s="6">
        <v>5</v>
      </c>
      <c r="U919" t="s">
        <v>69</v>
      </c>
      <c r="V919" s="10">
        <v>206.19200000000001</v>
      </c>
      <c r="W919" s="10">
        <v>103.88</v>
      </c>
      <c r="X919" s="10">
        <v>65.722000000000008</v>
      </c>
      <c r="Y919" s="11">
        <v>0.31874175525723603</v>
      </c>
      <c r="Z919" s="6">
        <v>-3</v>
      </c>
      <c r="AA919" t="s">
        <v>35</v>
      </c>
    </row>
    <row r="920" spans="1:27" x14ac:dyDescent="0.25">
      <c r="A920" t="s">
        <v>1061</v>
      </c>
      <c r="B920">
        <v>31</v>
      </c>
      <c r="C920" s="9">
        <v>46074.348703703698</v>
      </c>
      <c r="D920" t="s">
        <v>66</v>
      </c>
      <c r="E920" t="s">
        <v>67</v>
      </c>
      <c r="F920" t="s">
        <v>52</v>
      </c>
      <c r="G920">
        <v>207</v>
      </c>
      <c r="H920" s="6">
        <v>2</v>
      </c>
      <c r="I920" s="10">
        <v>29.8</v>
      </c>
      <c r="J920" s="10">
        <v>59.29</v>
      </c>
      <c r="K920" t="s">
        <v>46</v>
      </c>
      <c r="L920" s="3">
        <v>0.1</v>
      </c>
      <c r="M920" t="s">
        <v>61</v>
      </c>
      <c r="N920" s="10">
        <v>27.01</v>
      </c>
      <c r="O920" t="s">
        <v>99</v>
      </c>
      <c r="P920" s="5">
        <v>46076</v>
      </c>
      <c r="Q920" s="5">
        <v>46083</v>
      </c>
      <c r="S920" t="s">
        <v>63</v>
      </c>
      <c r="T920" s="6">
        <v>3</v>
      </c>
      <c r="U920" t="s">
        <v>405</v>
      </c>
      <c r="V920" s="10">
        <v>106.72199999999999</v>
      </c>
      <c r="W920" s="10">
        <v>59.6</v>
      </c>
      <c r="X920" s="10">
        <v>20.111999999999991</v>
      </c>
      <c r="Y920" s="11">
        <v>0.18845224040029229</v>
      </c>
      <c r="Z920" s="6"/>
      <c r="AA920" t="s">
        <v>56</v>
      </c>
    </row>
    <row r="921" spans="1:27" x14ac:dyDescent="0.25">
      <c r="A921" t="s">
        <v>1062</v>
      </c>
      <c r="B921">
        <v>55</v>
      </c>
      <c r="C921" s="9">
        <v>46074.585729166669</v>
      </c>
      <c r="D921" t="s">
        <v>164</v>
      </c>
      <c r="E921" t="s">
        <v>165</v>
      </c>
      <c r="F921" t="s">
        <v>116</v>
      </c>
      <c r="G921">
        <v>0</v>
      </c>
      <c r="H921" s="6">
        <v>1</v>
      </c>
      <c r="I921" s="10">
        <v>362.4</v>
      </c>
      <c r="J921" s="10">
        <v>704.25</v>
      </c>
      <c r="L921" s="3">
        <v>0</v>
      </c>
      <c r="M921" t="s">
        <v>31</v>
      </c>
      <c r="N921" s="10">
        <v>20.76</v>
      </c>
      <c r="O921" t="s">
        <v>97</v>
      </c>
      <c r="P921" s="5">
        <v>46075</v>
      </c>
      <c r="Q921" s="5">
        <v>46085</v>
      </c>
      <c r="R921" s="5">
        <v>46085</v>
      </c>
      <c r="S921" t="s">
        <v>33</v>
      </c>
      <c r="T921" s="6">
        <v>5</v>
      </c>
      <c r="U921" t="s">
        <v>117</v>
      </c>
      <c r="V921" s="10">
        <v>704.25</v>
      </c>
      <c r="W921" s="10">
        <v>362.4</v>
      </c>
      <c r="X921" s="10">
        <v>321.08999999999997</v>
      </c>
      <c r="Y921" s="11">
        <v>0.45593184238551648</v>
      </c>
      <c r="Z921" s="6">
        <v>0</v>
      </c>
      <c r="AA921" t="s">
        <v>35</v>
      </c>
    </row>
    <row r="922" spans="1:27" x14ac:dyDescent="0.25">
      <c r="A922" t="s">
        <v>1063</v>
      </c>
      <c r="B922">
        <v>108</v>
      </c>
      <c r="C922" s="9">
        <v>46074.725312499999</v>
      </c>
      <c r="D922" t="s">
        <v>28</v>
      </c>
      <c r="E922" t="s">
        <v>29</v>
      </c>
      <c r="F922" t="s">
        <v>30</v>
      </c>
      <c r="G922">
        <v>2446</v>
      </c>
      <c r="H922" s="6">
        <v>1</v>
      </c>
      <c r="I922" s="10">
        <v>1864.07</v>
      </c>
      <c r="J922" s="10">
        <v>2509.2199999999998</v>
      </c>
      <c r="K922" t="s">
        <v>46</v>
      </c>
      <c r="L922" s="3">
        <v>0.1</v>
      </c>
      <c r="M922" t="s">
        <v>61</v>
      </c>
      <c r="N922" s="10">
        <v>119.59</v>
      </c>
      <c r="O922" t="s">
        <v>150</v>
      </c>
      <c r="P922" s="5">
        <v>46075</v>
      </c>
      <c r="Q922" s="5">
        <v>46081</v>
      </c>
      <c r="R922" s="5">
        <v>46078</v>
      </c>
      <c r="S922" t="s">
        <v>33</v>
      </c>
      <c r="T922" s="6">
        <v>5</v>
      </c>
      <c r="U922" t="s">
        <v>172</v>
      </c>
      <c r="V922" s="10">
        <v>2258.2979999999998</v>
      </c>
      <c r="W922" s="10">
        <v>1864.07</v>
      </c>
      <c r="X922" s="10">
        <v>274.63799999999981</v>
      </c>
      <c r="Y922" s="11">
        <v>0.12161282523387069</v>
      </c>
      <c r="Z922" s="6">
        <v>-3</v>
      </c>
      <c r="AA922" t="s">
        <v>35</v>
      </c>
    </row>
    <row r="923" spans="1:27" x14ac:dyDescent="0.25">
      <c r="A923" t="s">
        <v>1064</v>
      </c>
      <c r="B923">
        <v>123</v>
      </c>
      <c r="C923" s="9">
        <v>46075.007939814823</v>
      </c>
      <c r="D923" t="s">
        <v>81</v>
      </c>
      <c r="E923" t="s">
        <v>82</v>
      </c>
      <c r="F923" t="s">
        <v>45</v>
      </c>
      <c r="G923">
        <v>0</v>
      </c>
      <c r="H923" s="6">
        <v>3</v>
      </c>
      <c r="I923" s="10">
        <v>102.04</v>
      </c>
      <c r="J923" s="10">
        <v>133.34</v>
      </c>
      <c r="L923" s="3">
        <v>0</v>
      </c>
      <c r="M923" t="s">
        <v>61</v>
      </c>
      <c r="N923" s="10">
        <v>17.329999999999998</v>
      </c>
      <c r="O923" t="s">
        <v>97</v>
      </c>
      <c r="P923" s="5">
        <v>46076</v>
      </c>
      <c r="Q923" s="5">
        <v>46083</v>
      </c>
      <c r="R923" s="5">
        <v>46080</v>
      </c>
      <c r="S923" t="s">
        <v>33</v>
      </c>
      <c r="T923" s="6">
        <v>5</v>
      </c>
      <c r="U923" t="s">
        <v>127</v>
      </c>
      <c r="V923" s="10">
        <v>400.02</v>
      </c>
      <c r="W923" s="10">
        <v>306.12</v>
      </c>
      <c r="X923" s="10">
        <v>76.569999999999979</v>
      </c>
      <c r="Y923" s="11">
        <v>0.19141542922853849</v>
      </c>
      <c r="Z923" s="6">
        <v>-3</v>
      </c>
      <c r="AA923" t="s">
        <v>35</v>
      </c>
    </row>
    <row r="924" spans="1:27" x14ac:dyDescent="0.25">
      <c r="A924" t="s">
        <v>1065</v>
      </c>
      <c r="B924">
        <v>140</v>
      </c>
      <c r="C924" s="9">
        <v>46075.304016203707</v>
      </c>
      <c r="D924" t="s">
        <v>148</v>
      </c>
      <c r="E924" t="s">
        <v>149</v>
      </c>
      <c r="F924" t="s">
        <v>30</v>
      </c>
      <c r="G924">
        <v>2695</v>
      </c>
      <c r="H924" s="6">
        <v>1</v>
      </c>
      <c r="I924" s="10">
        <v>587.83000000000004</v>
      </c>
      <c r="J924" s="10">
        <v>727.99</v>
      </c>
      <c r="K924" t="s">
        <v>46</v>
      </c>
      <c r="L924" s="3">
        <v>0.1</v>
      </c>
      <c r="M924" t="s">
        <v>39</v>
      </c>
      <c r="N924" s="10">
        <v>98.72</v>
      </c>
      <c r="O924" t="s">
        <v>83</v>
      </c>
      <c r="P924" s="5">
        <v>46076</v>
      </c>
      <c r="Q924" s="5">
        <v>46086</v>
      </c>
      <c r="R924" s="5">
        <v>46079</v>
      </c>
      <c r="S924" t="s">
        <v>33</v>
      </c>
      <c r="T924" s="6">
        <v>4</v>
      </c>
      <c r="U924" t="s">
        <v>127</v>
      </c>
      <c r="V924" s="10">
        <v>655.19100000000003</v>
      </c>
      <c r="W924" s="10">
        <v>587.83000000000004</v>
      </c>
      <c r="X924" s="10">
        <v>-31.359000000000009</v>
      </c>
      <c r="Y924" s="11">
        <v>-4.7862379061983457E-2</v>
      </c>
      <c r="Z924" s="6">
        <v>-7</v>
      </c>
      <c r="AA924" t="s">
        <v>35</v>
      </c>
    </row>
    <row r="925" spans="1:27" x14ac:dyDescent="0.25">
      <c r="A925" t="s">
        <v>1066</v>
      </c>
      <c r="B925">
        <v>71</v>
      </c>
      <c r="C925" s="9">
        <v>46075.407337962963</v>
      </c>
      <c r="D925" t="s">
        <v>81</v>
      </c>
      <c r="E925" t="s">
        <v>82</v>
      </c>
      <c r="F925" t="s">
        <v>45</v>
      </c>
      <c r="G925">
        <v>0</v>
      </c>
      <c r="H925" s="6">
        <v>3</v>
      </c>
      <c r="I925" s="10">
        <v>103.19</v>
      </c>
      <c r="J925" s="10">
        <v>243.38</v>
      </c>
      <c r="K925" t="s">
        <v>60</v>
      </c>
      <c r="L925" s="3">
        <v>0.2</v>
      </c>
      <c r="M925" t="s">
        <v>61</v>
      </c>
      <c r="N925" s="10">
        <v>17.3</v>
      </c>
      <c r="O925" t="s">
        <v>62</v>
      </c>
      <c r="P925" s="5">
        <v>46077</v>
      </c>
      <c r="Q925" s="5">
        <v>46087</v>
      </c>
      <c r="R925" s="5">
        <v>46085</v>
      </c>
      <c r="S925" t="s">
        <v>33</v>
      </c>
      <c r="T925" s="6">
        <v>5</v>
      </c>
      <c r="U925" t="s">
        <v>77</v>
      </c>
      <c r="V925" s="10">
        <v>584.11199999999997</v>
      </c>
      <c r="W925" s="10">
        <v>309.57</v>
      </c>
      <c r="X925" s="10">
        <v>257.24200000000002</v>
      </c>
      <c r="Y925" s="11">
        <v>0.44039841674199459</v>
      </c>
      <c r="Z925" s="6">
        <v>-2</v>
      </c>
      <c r="AA925" t="s">
        <v>35</v>
      </c>
    </row>
    <row r="926" spans="1:27" x14ac:dyDescent="0.25">
      <c r="A926" t="s">
        <v>1067</v>
      </c>
      <c r="B926">
        <v>78</v>
      </c>
      <c r="C926" s="9">
        <v>46075.572071759263</v>
      </c>
      <c r="D926" t="s">
        <v>95</v>
      </c>
      <c r="E926" t="s">
        <v>96</v>
      </c>
      <c r="F926" t="s">
        <v>52</v>
      </c>
      <c r="G926">
        <v>527</v>
      </c>
      <c r="H926" s="6">
        <v>1</v>
      </c>
      <c r="I926" s="10">
        <v>22.62</v>
      </c>
      <c r="J926" s="10">
        <v>85.44</v>
      </c>
      <c r="K926" t="s">
        <v>60</v>
      </c>
      <c r="L926" s="3">
        <v>0.2</v>
      </c>
      <c r="M926" t="s">
        <v>31</v>
      </c>
      <c r="N926" s="10">
        <v>59.62</v>
      </c>
      <c r="O926" t="s">
        <v>97</v>
      </c>
      <c r="P926" s="5">
        <v>46076</v>
      </c>
      <c r="Q926" s="5">
        <v>46082</v>
      </c>
      <c r="R926" s="5">
        <v>46080</v>
      </c>
      <c r="S926" t="s">
        <v>33</v>
      </c>
      <c r="T926" s="6">
        <v>4</v>
      </c>
      <c r="U926" t="s">
        <v>112</v>
      </c>
      <c r="V926" s="10">
        <v>68.352000000000004</v>
      </c>
      <c r="W926" s="10">
        <v>22.62</v>
      </c>
      <c r="X926" s="10">
        <v>-13.888</v>
      </c>
      <c r="Y926" s="11">
        <v>-0.20318352059925091</v>
      </c>
      <c r="Z926" s="6">
        <v>-2</v>
      </c>
      <c r="AA926" t="s">
        <v>35</v>
      </c>
    </row>
    <row r="927" spans="1:27" x14ac:dyDescent="0.25">
      <c r="A927" t="s">
        <v>1068</v>
      </c>
      <c r="B927">
        <v>111</v>
      </c>
      <c r="C927" s="9">
        <v>46075.573530092603</v>
      </c>
      <c r="D927" t="s">
        <v>28</v>
      </c>
      <c r="E927" t="s">
        <v>29</v>
      </c>
      <c r="F927" t="s">
        <v>30</v>
      </c>
      <c r="G927">
        <v>2748</v>
      </c>
      <c r="H927" s="6">
        <v>1</v>
      </c>
      <c r="I927" s="10">
        <v>1955.12</v>
      </c>
      <c r="J927" s="10">
        <v>2637.74</v>
      </c>
      <c r="K927" t="s">
        <v>60</v>
      </c>
      <c r="L927" s="3">
        <v>0.2</v>
      </c>
      <c r="M927" t="s">
        <v>76</v>
      </c>
      <c r="N927" s="10">
        <v>86.17</v>
      </c>
      <c r="O927" t="s">
        <v>68</v>
      </c>
      <c r="P927" s="5">
        <v>46077</v>
      </c>
      <c r="Q927" s="5">
        <v>46083</v>
      </c>
      <c r="R927" s="5">
        <v>46087</v>
      </c>
      <c r="S927" t="s">
        <v>33</v>
      </c>
      <c r="T927" s="6">
        <v>3</v>
      </c>
      <c r="U927" t="s">
        <v>146</v>
      </c>
      <c r="V927" s="10">
        <v>2110.192</v>
      </c>
      <c r="W927" s="10">
        <v>1955.12</v>
      </c>
      <c r="X927" s="10">
        <v>68.902000000000115</v>
      </c>
      <c r="Y927" s="11">
        <v>3.26520051256E-2</v>
      </c>
      <c r="Z927" s="6">
        <v>4</v>
      </c>
      <c r="AA927" t="s">
        <v>103</v>
      </c>
    </row>
    <row r="928" spans="1:27" x14ac:dyDescent="0.25">
      <c r="A928" t="s">
        <v>1069</v>
      </c>
      <c r="B928">
        <v>131</v>
      </c>
      <c r="C928" s="9">
        <v>46076.36383101852</v>
      </c>
      <c r="D928" t="s">
        <v>66</v>
      </c>
      <c r="E928" t="s">
        <v>67</v>
      </c>
      <c r="F928" t="s">
        <v>52</v>
      </c>
      <c r="G928">
        <v>278</v>
      </c>
      <c r="H928" s="6">
        <v>2</v>
      </c>
      <c r="I928" s="10">
        <v>52.46</v>
      </c>
      <c r="J928" s="10">
        <v>137.55000000000001</v>
      </c>
      <c r="L928" s="3">
        <v>0</v>
      </c>
      <c r="M928" t="s">
        <v>31</v>
      </c>
      <c r="N928" s="10">
        <v>46.52</v>
      </c>
      <c r="O928" t="s">
        <v>62</v>
      </c>
      <c r="P928" s="5">
        <v>46077</v>
      </c>
      <c r="Q928" s="5">
        <v>46083</v>
      </c>
      <c r="S928" t="s">
        <v>54</v>
      </c>
      <c r="T928" s="6">
        <v>2</v>
      </c>
      <c r="U928" t="s">
        <v>153</v>
      </c>
      <c r="V928" s="10">
        <v>275.10000000000002</v>
      </c>
      <c r="W928" s="10">
        <v>104.92</v>
      </c>
      <c r="X928" s="10">
        <v>123.66</v>
      </c>
      <c r="Y928" s="11">
        <v>0.44950926935659757</v>
      </c>
      <c r="Z928" s="6"/>
      <c r="AA928" t="s">
        <v>56</v>
      </c>
    </row>
    <row r="929" spans="1:27" x14ac:dyDescent="0.25">
      <c r="A929" t="s">
        <v>1070</v>
      </c>
      <c r="B929">
        <v>26</v>
      </c>
      <c r="C929" s="9">
        <v>46078.061655092592</v>
      </c>
      <c r="D929" t="s">
        <v>66</v>
      </c>
      <c r="E929" t="s">
        <v>67</v>
      </c>
      <c r="F929" t="s">
        <v>52</v>
      </c>
      <c r="G929">
        <v>268</v>
      </c>
      <c r="H929" s="6">
        <v>3</v>
      </c>
      <c r="I929" s="10">
        <v>34.69</v>
      </c>
      <c r="J929" s="10">
        <v>69.150000000000006</v>
      </c>
      <c r="K929" t="s">
        <v>46</v>
      </c>
      <c r="L929" s="3">
        <v>0.1</v>
      </c>
      <c r="M929" t="s">
        <v>39</v>
      </c>
      <c r="N929" s="10">
        <v>57.6</v>
      </c>
      <c r="O929" t="s">
        <v>47</v>
      </c>
      <c r="P929" s="5">
        <v>46079</v>
      </c>
      <c r="Q929" s="5">
        <v>46085</v>
      </c>
      <c r="R929" s="5">
        <v>46081</v>
      </c>
      <c r="S929" t="s">
        <v>33</v>
      </c>
      <c r="T929" s="6">
        <v>5</v>
      </c>
      <c r="U929" t="s">
        <v>69</v>
      </c>
      <c r="V929" s="10">
        <v>186.70500000000001</v>
      </c>
      <c r="W929" s="10">
        <v>104.07</v>
      </c>
      <c r="X929" s="10">
        <v>25.035000000000021</v>
      </c>
      <c r="Y929" s="11">
        <v>0.13408853539005389</v>
      </c>
      <c r="Z929" s="6">
        <v>-4</v>
      </c>
      <c r="AA929" t="s">
        <v>35</v>
      </c>
    </row>
    <row r="930" spans="1:27" x14ac:dyDescent="0.25">
      <c r="A930" t="s">
        <v>1071</v>
      </c>
      <c r="B930">
        <v>27</v>
      </c>
      <c r="C930" s="9">
        <v>46078.31958333333</v>
      </c>
      <c r="D930" t="s">
        <v>71</v>
      </c>
      <c r="E930" t="s">
        <v>72</v>
      </c>
      <c r="F930" t="s">
        <v>52</v>
      </c>
      <c r="G930">
        <v>234</v>
      </c>
      <c r="H930" s="6">
        <v>1</v>
      </c>
      <c r="I930" s="10">
        <v>40.57</v>
      </c>
      <c r="J930" s="10">
        <v>142.19</v>
      </c>
      <c r="L930" s="3">
        <v>0</v>
      </c>
      <c r="M930" t="s">
        <v>61</v>
      </c>
      <c r="N930" s="10">
        <v>35.01</v>
      </c>
      <c r="O930" t="s">
        <v>99</v>
      </c>
      <c r="P930" s="5">
        <v>46080</v>
      </c>
      <c r="Q930" s="5">
        <v>46087</v>
      </c>
      <c r="R930" s="5">
        <v>46086</v>
      </c>
      <c r="S930" t="s">
        <v>33</v>
      </c>
      <c r="T930" s="6">
        <v>5</v>
      </c>
      <c r="U930" t="s">
        <v>127</v>
      </c>
      <c r="V930" s="10">
        <v>142.19</v>
      </c>
      <c r="W930" s="10">
        <v>40.57</v>
      </c>
      <c r="X930" s="10">
        <v>66.610000000000014</v>
      </c>
      <c r="Y930" s="11">
        <v>0.46845769744707788</v>
      </c>
      <c r="Z930" s="6">
        <v>-1</v>
      </c>
      <c r="AA930" t="s">
        <v>35</v>
      </c>
    </row>
    <row r="931" spans="1:27" x14ac:dyDescent="0.25">
      <c r="A931" t="s">
        <v>1072</v>
      </c>
      <c r="B931">
        <v>188</v>
      </c>
      <c r="C931" s="9">
        <v>46078.501226851848</v>
      </c>
      <c r="D931" t="s">
        <v>50</v>
      </c>
      <c r="E931" t="s">
        <v>51</v>
      </c>
      <c r="F931" t="s">
        <v>52</v>
      </c>
      <c r="G931">
        <v>639</v>
      </c>
      <c r="H931" s="6">
        <v>3</v>
      </c>
      <c r="I931" s="10">
        <v>194.34</v>
      </c>
      <c r="J931" s="10">
        <v>271.61</v>
      </c>
      <c r="K931" t="s">
        <v>60</v>
      </c>
      <c r="L931" s="3">
        <v>0.2</v>
      </c>
      <c r="M931" t="s">
        <v>31</v>
      </c>
      <c r="N931" s="10">
        <v>29.75</v>
      </c>
      <c r="O931" t="s">
        <v>62</v>
      </c>
      <c r="P931" s="5">
        <v>46079</v>
      </c>
      <c r="Q931" s="5">
        <v>46088</v>
      </c>
      <c r="R931" s="5">
        <v>46088</v>
      </c>
      <c r="S931" t="s">
        <v>33</v>
      </c>
      <c r="T931" s="6">
        <v>5</v>
      </c>
      <c r="U931" t="s">
        <v>34</v>
      </c>
      <c r="V931" s="10">
        <v>651.86400000000003</v>
      </c>
      <c r="W931" s="10">
        <v>583.02</v>
      </c>
      <c r="X931" s="10">
        <v>39.094000000000051</v>
      </c>
      <c r="Y931" s="11">
        <v>5.9972632328215779E-2</v>
      </c>
      <c r="Z931" s="6">
        <v>0</v>
      </c>
      <c r="AA931" t="s">
        <v>35</v>
      </c>
    </row>
    <row r="932" spans="1:27" x14ac:dyDescent="0.25">
      <c r="A932" t="s">
        <v>1073</v>
      </c>
      <c r="B932">
        <v>171</v>
      </c>
      <c r="C932" s="9">
        <v>46079.218865740739</v>
      </c>
      <c r="D932" t="s">
        <v>155</v>
      </c>
      <c r="E932" t="s">
        <v>156</v>
      </c>
      <c r="F932" t="s">
        <v>30</v>
      </c>
      <c r="G932">
        <v>4940</v>
      </c>
      <c r="H932" s="6">
        <v>3</v>
      </c>
      <c r="I932" s="10">
        <v>755.99</v>
      </c>
      <c r="J932" s="10">
        <v>1297.6400000000001</v>
      </c>
      <c r="K932" t="s">
        <v>46</v>
      </c>
      <c r="L932" s="3">
        <v>0.1</v>
      </c>
      <c r="M932" t="s">
        <v>76</v>
      </c>
      <c r="N932" s="10">
        <v>143.19</v>
      </c>
      <c r="O932" t="s">
        <v>99</v>
      </c>
      <c r="P932" s="5">
        <v>46080</v>
      </c>
      <c r="Q932" s="5">
        <v>46090</v>
      </c>
      <c r="S932" t="s">
        <v>161</v>
      </c>
      <c r="T932" s="6">
        <v>1</v>
      </c>
      <c r="U932" t="s">
        <v>258</v>
      </c>
      <c r="V932" s="10">
        <v>3503.6280000000002</v>
      </c>
      <c r="W932" s="10">
        <v>2267.9699999999998</v>
      </c>
      <c r="X932" s="10">
        <v>1092.4680000000001</v>
      </c>
      <c r="Y932" s="11">
        <v>0.3118105004298401</v>
      </c>
      <c r="Z932" s="6"/>
      <c r="AA932" t="s">
        <v>56</v>
      </c>
    </row>
    <row r="933" spans="1:27" x14ac:dyDescent="0.25">
      <c r="A933" t="s">
        <v>1074</v>
      </c>
      <c r="B933">
        <v>89</v>
      </c>
      <c r="C933" s="9">
        <v>46079.442685185182</v>
      </c>
      <c r="D933" t="s">
        <v>114</v>
      </c>
      <c r="E933" t="s">
        <v>115</v>
      </c>
      <c r="F933" t="s">
        <v>116</v>
      </c>
      <c r="G933">
        <v>0</v>
      </c>
      <c r="H933" s="6">
        <v>1</v>
      </c>
      <c r="I933" s="10">
        <v>407.36</v>
      </c>
      <c r="J933" s="10">
        <v>574.27</v>
      </c>
      <c r="L933" s="3">
        <v>0</v>
      </c>
      <c r="M933" t="s">
        <v>39</v>
      </c>
      <c r="N933" s="10">
        <v>16.77</v>
      </c>
      <c r="O933" t="s">
        <v>62</v>
      </c>
      <c r="P933" s="5">
        <v>46080</v>
      </c>
      <c r="Q933" s="5">
        <v>46086</v>
      </c>
      <c r="R933" s="5">
        <v>46082</v>
      </c>
      <c r="S933" t="s">
        <v>33</v>
      </c>
      <c r="T933" s="6">
        <v>5</v>
      </c>
      <c r="U933" t="s">
        <v>166</v>
      </c>
      <c r="V933" s="10">
        <v>574.27</v>
      </c>
      <c r="W933" s="10">
        <v>407.36</v>
      </c>
      <c r="X933" s="10">
        <v>150.13999999999999</v>
      </c>
      <c r="Y933" s="11">
        <v>0.26144496491197522</v>
      </c>
      <c r="Z933" s="6">
        <v>-4</v>
      </c>
      <c r="AA933" t="s">
        <v>35</v>
      </c>
    </row>
    <row r="934" spans="1:27" x14ac:dyDescent="0.25">
      <c r="A934" t="s">
        <v>1075</v>
      </c>
      <c r="B934">
        <v>67</v>
      </c>
      <c r="C934" s="9">
        <v>46079.821817129632</v>
      </c>
      <c r="D934" t="s">
        <v>123</v>
      </c>
      <c r="E934" t="s">
        <v>124</v>
      </c>
      <c r="F934" t="s">
        <v>45</v>
      </c>
      <c r="G934">
        <v>0</v>
      </c>
      <c r="H934" s="6">
        <v>3</v>
      </c>
      <c r="I934" s="10">
        <v>176.58</v>
      </c>
      <c r="J934" s="10">
        <v>230.25</v>
      </c>
      <c r="L934" s="3">
        <v>0</v>
      </c>
      <c r="M934" t="s">
        <v>61</v>
      </c>
      <c r="N934" s="10">
        <v>28.51</v>
      </c>
      <c r="O934" t="s">
        <v>62</v>
      </c>
      <c r="P934" s="5">
        <v>46080</v>
      </c>
      <c r="Q934" s="5">
        <v>46085</v>
      </c>
      <c r="S934" t="s">
        <v>54</v>
      </c>
      <c r="T934" s="6">
        <v>3</v>
      </c>
      <c r="U934" t="s">
        <v>243</v>
      </c>
      <c r="V934" s="10">
        <v>690.75</v>
      </c>
      <c r="W934" s="10">
        <v>529.74</v>
      </c>
      <c r="X934" s="10">
        <v>132.5</v>
      </c>
      <c r="Y934" s="11">
        <v>0.1918204849800941</v>
      </c>
      <c r="Z934" s="6"/>
      <c r="AA934" t="s">
        <v>56</v>
      </c>
    </row>
    <row r="935" spans="1:27" x14ac:dyDescent="0.25">
      <c r="A935" t="s">
        <v>1076</v>
      </c>
      <c r="B935">
        <v>25</v>
      </c>
      <c r="C935" s="9">
        <v>46080.08494212963</v>
      </c>
      <c r="D935" t="s">
        <v>74</v>
      </c>
      <c r="E935" t="s">
        <v>75</v>
      </c>
      <c r="F935" t="s">
        <v>30</v>
      </c>
      <c r="G935">
        <v>2978</v>
      </c>
      <c r="H935" s="6">
        <v>2</v>
      </c>
      <c r="I935" s="10">
        <v>2484.48</v>
      </c>
      <c r="J935" s="10">
        <v>4563.91</v>
      </c>
      <c r="K935" t="s">
        <v>46</v>
      </c>
      <c r="L935" s="3">
        <v>0.1</v>
      </c>
      <c r="M935" t="s">
        <v>76</v>
      </c>
      <c r="N935" s="10">
        <v>99.64</v>
      </c>
      <c r="O935" t="s">
        <v>40</v>
      </c>
      <c r="P935" s="5">
        <v>46082</v>
      </c>
      <c r="Q935" s="5">
        <v>46089</v>
      </c>
      <c r="R935" s="5">
        <v>46089</v>
      </c>
      <c r="S935" t="s">
        <v>33</v>
      </c>
      <c r="T935" s="6">
        <v>4</v>
      </c>
      <c r="U935" t="s">
        <v>79</v>
      </c>
      <c r="V935" s="10">
        <v>8215.0380000000005</v>
      </c>
      <c r="W935" s="10">
        <v>4968.96</v>
      </c>
      <c r="X935" s="10">
        <v>3146.438000000001</v>
      </c>
      <c r="Y935" s="11">
        <v>0.3830095490732971</v>
      </c>
      <c r="Z935" s="6">
        <v>0</v>
      </c>
      <c r="AA935" t="s">
        <v>35</v>
      </c>
    </row>
    <row r="936" spans="1:27" x14ac:dyDescent="0.25">
      <c r="A936" t="s">
        <v>1077</v>
      </c>
      <c r="B936">
        <v>10</v>
      </c>
      <c r="C936" s="9">
        <v>46080.259571759263</v>
      </c>
      <c r="D936" t="s">
        <v>66</v>
      </c>
      <c r="E936" t="s">
        <v>67</v>
      </c>
      <c r="F936" t="s">
        <v>52</v>
      </c>
      <c r="G936">
        <v>248</v>
      </c>
      <c r="H936" s="6">
        <v>3</v>
      </c>
      <c r="I936" s="10">
        <v>54.14</v>
      </c>
      <c r="J936" s="10">
        <v>78.19</v>
      </c>
      <c r="K936" t="s">
        <v>60</v>
      </c>
      <c r="L936" s="3">
        <v>0.2</v>
      </c>
      <c r="M936" t="s">
        <v>31</v>
      </c>
      <c r="N936" s="10">
        <v>44.33</v>
      </c>
      <c r="O936" t="s">
        <v>32</v>
      </c>
      <c r="P936" s="5">
        <v>46081</v>
      </c>
      <c r="Q936" s="5">
        <v>46086</v>
      </c>
      <c r="R936" s="5">
        <v>46087</v>
      </c>
      <c r="S936" t="s">
        <v>33</v>
      </c>
      <c r="T936" s="6">
        <v>2</v>
      </c>
      <c r="U936" t="s">
        <v>170</v>
      </c>
      <c r="V936" s="10">
        <v>187.65600000000001</v>
      </c>
      <c r="W936" s="10">
        <v>162.41999999999999</v>
      </c>
      <c r="X936" s="10">
        <v>-19.094000000000008</v>
      </c>
      <c r="Y936" s="11">
        <v>-0.1017500106577994</v>
      </c>
      <c r="Z936" s="6">
        <v>1</v>
      </c>
      <c r="AA936" t="s">
        <v>103</v>
      </c>
    </row>
    <row r="937" spans="1:27" x14ac:dyDescent="0.25">
      <c r="A937" t="s">
        <v>1078</v>
      </c>
      <c r="B937">
        <v>17</v>
      </c>
      <c r="C937" s="9">
        <v>46081.011967592603</v>
      </c>
      <c r="D937" t="s">
        <v>123</v>
      </c>
      <c r="E937" t="s">
        <v>124</v>
      </c>
      <c r="F937" t="s">
        <v>45</v>
      </c>
      <c r="G937">
        <v>0</v>
      </c>
      <c r="H937" s="6">
        <v>3</v>
      </c>
      <c r="I937" s="10">
        <v>242.5</v>
      </c>
      <c r="J937" s="10">
        <v>284.79000000000002</v>
      </c>
      <c r="L937" s="3">
        <v>0</v>
      </c>
      <c r="M937" t="s">
        <v>39</v>
      </c>
      <c r="N937" s="10">
        <v>23.53</v>
      </c>
      <c r="O937" t="s">
        <v>47</v>
      </c>
      <c r="P937" s="5">
        <v>46082</v>
      </c>
      <c r="Q937" s="5">
        <v>46088</v>
      </c>
      <c r="R937" s="5">
        <v>46086</v>
      </c>
      <c r="S937" t="s">
        <v>33</v>
      </c>
      <c r="T937" s="6">
        <v>4</v>
      </c>
      <c r="U937" t="s">
        <v>127</v>
      </c>
      <c r="V937" s="10">
        <v>854.37000000000012</v>
      </c>
      <c r="W937" s="10">
        <v>727.5</v>
      </c>
      <c r="X937" s="10">
        <v>103.3400000000001</v>
      </c>
      <c r="Y937" s="11">
        <v>0.1209546215339959</v>
      </c>
      <c r="Z937" s="6">
        <v>-2</v>
      </c>
      <c r="AA937" t="s">
        <v>35</v>
      </c>
    </row>
    <row r="938" spans="1:27" x14ac:dyDescent="0.25">
      <c r="A938" t="s">
        <v>1079</v>
      </c>
      <c r="B938">
        <v>115</v>
      </c>
      <c r="C938" s="9">
        <v>46081.297268518523</v>
      </c>
      <c r="D938" t="s">
        <v>123</v>
      </c>
      <c r="E938" t="s">
        <v>124</v>
      </c>
      <c r="F938" t="s">
        <v>45</v>
      </c>
      <c r="G938">
        <v>0</v>
      </c>
      <c r="H938" s="6">
        <v>1</v>
      </c>
      <c r="I938" s="10">
        <v>183.63</v>
      </c>
      <c r="J938" s="10">
        <v>224.84</v>
      </c>
      <c r="L938" s="3">
        <v>0</v>
      </c>
      <c r="M938" t="s">
        <v>61</v>
      </c>
      <c r="N938" s="10">
        <v>25.53</v>
      </c>
      <c r="O938" t="s">
        <v>47</v>
      </c>
      <c r="P938" s="5">
        <v>46082</v>
      </c>
      <c r="Q938" s="5">
        <v>46087</v>
      </c>
      <c r="R938" s="5">
        <v>46086</v>
      </c>
      <c r="S938" t="s">
        <v>33</v>
      </c>
      <c r="T938" s="6">
        <v>4</v>
      </c>
      <c r="U938" t="s">
        <v>127</v>
      </c>
      <c r="V938" s="10">
        <v>224.84</v>
      </c>
      <c r="W938" s="10">
        <v>183.63</v>
      </c>
      <c r="X938" s="10">
        <v>15.68000000000001</v>
      </c>
      <c r="Y938" s="11">
        <v>6.9738480697384836E-2</v>
      </c>
      <c r="Z938" s="6">
        <v>-1</v>
      </c>
      <c r="AA938" t="s">
        <v>35</v>
      </c>
    </row>
    <row r="939" spans="1:27" x14ac:dyDescent="0.25">
      <c r="A939" t="s">
        <v>1080</v>
      </c>
      <c r="B939">
        <v>164</v>
      </c>
      <c r="C939" s="9">
        <v>46081.332800925928</v>
      </c>
      <c r="D939" t="s">
        <v>74</v>
      </c>
      <c r="E939" t="s">
        <v>75</v>
      </c>
      <c r="F939" t="s">
        <v>30</v>
      </c>
      <c r="G939">
        <v>2261</v>
      </c>
      <c r="H939" s="6">
        <v>3</v>
      </c>
      <c r="I939" s="10">
        <v>2791.33</v>
      </c>
      <c r="J939" s="10">
        <v>4031.97</v>
      </c>
      <c r="L939" s="3">
        <v>0</v>
      </c>
      <c r="M939" t="s">
        <v>61</v>
      </c>
      <c r="N939" s="10">
        <v>99.3</v>
      </c>
      <c r="O939" t="s">
        <v>40</v>
      </c>
      <c r="P939" s="5">
        <v>46083</v>
      </c>
      <c r="Q939" s="5">
        <v>46090</v>
      </c>
      <c r="R939" s="5">
        <v>46089</v>
      </c>
      <c r="S939" t="s">
        <v>33</v>
      </c>
      <c r="T939" s="6">
        <v>5</v>
      </c>
      <c r="U939" t="s">
        <v>172</v>
      </c>
      <c r="V939" s="10">
        <v>12095.91</v>
      </c>
      <c r="W939" s="10">
        <v>8373.99</v>
      </c>
      <c r="X939" s="10">
        <v>3622.62</v>
      </c>
      <c r="Y939" s="11">
        <v>0.2994913156595907</v>
      </c>
      <c r="Z939" s="6">
        <v>-1</v>
      </c>
      <c r="AA939" t="s">
        <v>35</v>
      </c>
    </row>
    <row r="940" spans="1:27" x14ac:dyDescent="0.25">
      <c r="A940" t="s">
        <v>1081</v>
      </c>
      <c r="B940">
        <v>8</v>
      </c>
      <c r="C940" s="9">
        <v>46081.4065162037</v>
      </c>
      <c r="D940" t="s">
        <v>58</v>
      </c>
      <c r="E940" t="s">
        <v>59</v>
      </c>
      <c r="F940" t="s">
        <v>30</v>
      </c>
      <c r="G940">
        <v>4673</v>
      </c>
      <c r="H940" s="6">
        <v>1</v>
      </c>
      <c r="I940" s="10">
        <v>247.44</v>
      </c>
      <c r="J940" s="10">
        <v>435.21</v>
      </c>
      <c r="L940" s="3">
        <v>0</v>
      </c>
      <c r="M940" t="s">
        <v>61</v>
      </c>
      <c r="N940" s="10">
        <v>82.19</v>
      </c>
      <c r="O940" t="s">
        <v>126</v>
      </c>
      <c r="P940" s="5">
        <v>46082</v>
      </c>
      <c r="Q940" s="5">
        <v>46088</v>
      </c>
      <c r="R940" s="5">
        <v>46089</v>
      </c>
      <c r="S940" t="s">
        <v>33</v>
      </c>
      <c r="T940" s="6">
        <v>1</v>
      </c>
      <c r="U940" t="s">
        <v>185</v>
      </c>
      <c r="V940" s="10">
        <v>435.21</v>
      </c>
      <c r="W940" s="10">
        <v>247.44</v>
      </c>
      <c r="X940" s="10">
        <v>105.58</v>
      </c>
      <c r="Y940" s="11">
        <v>0.24259552859539071</v>
      </c>
      <c r="Z940" s="6">
        <v>1</v>
      </c>
      <c r="AA940" t="s">
        <v>103</v>
      </c>
    </row>
    <row r="941" spans="1:27" x14ac:dyDescent="0.25">
      <c r="A941" t="s">
        <v>1082</v>
      </c>
      <c r="B941">
        <v>150</v>
      </c>
      <c r="C941" s="9">
        <v>46081.773923611108</v>
      </c>
      <c r="D941" t="s">
        <v>50</v>
      </c>
      <c r="E941" t="s">
        <v>51</v>
      </c>
      <c r="F941" t="s">
        <v>52</v>
      </c>
      <c r="G941">
        <v>673</v>
      </c>
      <c r="H941" s="6">
        <v>1</v>
      </c>
      <c r="I941" s="10">
        <v>199.05</v>
      </c>
      <c r="J941" s="10">
        <v>261.87</v>
      </c>
      <c r="L941" s="3">
        <v>0</v>
      </c>
      <c r="M941" t="s">
        <v>39</v>
      </c>
      <c r="N941" s="10">
        <v>26.81</v>
      </c>
      <c r="O941" t="s">
        <v>47</v>
      </c>
      <c r="P941" s="5">
        <v>46082</v>
      </c>
      <c r="Q941" s="5">
        <v>46092</v>
      </c>
      <c r="R941" s="5">
        <v>46088</v>
      </c>
      <c r="S941" t="s">
        <v>33</v>
      </c>
      <c r="T941" s="6">
        <v>5</v>
      </c>
      <c r="U941" t="s">
        <v>166</v>
      </c>
      <c r="V941" s="10">
        <v>261.87</v>
      </c>
      <c r="W941" s="10">
        <v>199.05</v>
      </c>
      <c r="X941" s="10">
        <v>36.009999999999991</v>
      </c>
      <c r="Y941" s="11">
        <v>0.13751097872990409</v>
      </c>
      <c r="Z941" s="6">
        <v>-4</v>
      </c>
      <c r="AA941" t="s">
        <v>35</v>
      </c>
    </row>
    <row r="942" spans="1:27" x14ac:dyDescent="0.25">
      <c r="A942" t="s">
        <v>1083</v>
      </c>
      <c r="B942">
        <v>61</v>
      </c>
      <c r="C942" s="9">
        <v>46081.808796296304</v>
      </c>
      <c r="D942" t="s">
        <v>37</v>
      </c>
      <c r="E942" t="s">
        <v>38</v>
      </c>
      <c r="F942" t="s">
        <v>30</v>
      </c>
      <c r="G942">
        <v>2589</v>
      </c>
      <c r="H942" s="6">
        <v>2</v>
      </c>
      <c r="I942" s="10">
        <v>644.22</v>
      </c>
      <c r="J942" s="10">
        <v>921.23</v>
      </c>
      <c r="K942" t="s">
        <v>46</v>
      </c>
      <c r="L942" s="3">
        <v>0.1</v>
      </c>
      <c r="M942" t="s">
        <v>76</v>
      </c>
      <c r="N942" s="10">
        <v>136.66</v>
      </c>
      <c r="O942" t="s">
        <v>97</v>
      </c>
      <c r="P942" s="5">
        <v>46082</v>
      </c>
      <c r="Q942" s="5">
        <v>46087</v>
      </c>
      <c r="R942" s="5">
        <v>46086</v>
      </c>
      <c r="S942" t="s">
        <v>33</v>
      </c>
      <c r="T942" s="6">
        <v>4</v>
      </c>
      <c r="U942" t="s">
        <v>48</v>
      </c>
      <c r="V942" s="10">
        <v>1658.2139999999999</v>
      </c>
      <c r="W942" s="10">
        <v>1288.44</v>
      </c>
      <c r="X942" s="10">
        <v>233.11400000000009</v>
      </c>
      <c r="Y942" s="11">
        <v>0.1405813724887138</v>
      </c>
      <c r="Z942" s="6">
        <v>-1</v>
      </c>
      <c r="AA942" t="s">
        <v>35</v>
      </c>
    </row>
    <row r="943" spans="1:27" x14ac:dyDescent="0.25">
      <c r="A943" t="s">
        <v>1084</v>
      </c>
      <c r="B943">
        <v>82</v>
      </c>
      <c r="C943" s="9">
        <v>46081.951273148137</v>
      </c>
      <c r="D943" t="s">
        <v>92</v>
      </c>
      <c r="E943" t="s">
        <v>93</v>
      </c>
      <c r="F943" t="s">
        <v>52</v>
      </c>
      <c r="G943">
        <v>258</v>
      </c>
      <c r="H943" s="6">
        <v>2</v>
      </c>
      <c r="I943" s="10">
        <v>49.33</v>
      </c>
      <c r="J943" s="10">
        <v>115</v>
      </c>
      <c r="L943" s="3">
        <v>0</v>
      </c>
      <c r="M943" t="s">
        <v>61</v>
      </c>
      <c r="N943" s="10">
        <v>37.26</v>
      </c>
      <c r="O943" t="s">
        <v>97</v>
      </c>
      <c r="P943" s="5">
        <v>46083</v>
      </c>
      <c r="Q943" s="5">
        <v>46089</v>
      </c>
      <c r="R943" s="5">
        <v>46087</v>
      </c>
      <c r="S943" t="s">
        <v>33</v>
      </c>
      <c r="T943" s="6">
        <v>5</v>
      </c>
      <c r="U943" t="s">
        <v>117</v>
      </c>
      <c r="V943" s="10">
        <v>230</v>
      </c>
      <c r="W943" s="10">
        <v>98.66</v>
      </c>
      <c r="X943" s="10">
        <v>94.080000000000013</v>
      </c>
      <c r="Y943" s="11">
        <v>0.40904347826086962</v>
      </c>
      <c r="Z943" s="6">
        <v>-2</v>
      </c>
      <c r="AA943" t="s">
        <v>35</v>
      </c>
    </row>
    <row r="944" spans="1:27" x14ac:dyDescent="0.25">
      <c r="A944" t="s">
        <v>1085</v>
      </c>
      <c r="B944">
        <v>175</v>
      </c>
      <c r="C944" s="9">
        <v>46082.032650462963</v>
      </c>
      <c r="D944" t="s">
        <v>37</v>
      </c>
      <c r="E944" t="s">
        <v>38</v>
      </c>
      <c r="F944" t="s">
        <v>30</v>
      </c>
      <c r="G944">
        <v>2375</v>
      </c>
      <c r="H944" s="6">
        <v>1</v>
      </c>
      <c r="I944" s="10">
        <v>846.51</v>
      </c>
      <c r="J944" s="10">
        <v>1487.49</v>
      </c>
      <c r="L944" s="3">
        <v>0</v>
      </c>
      <c r="M944" t="s">
        <v>76</v>
      </c>
      <c r="N944" s="10">
        <v>88.75</v>
      </c>
      <c r="O944" t="s">
        <v>62</v>
      </c>
      <c r="P944" s="5">
        <v>46084</v>
      </c>
      <c r="Q944" s="5">
        <v>46091</v>
      </c>
      <c r="R944" s="5">
        <v>46089</v>
      </c>
      <c r="S944" t="s">
        <v>33</v>
      </c>
      <c r="T944" s="6">
        <v>5</v>
      </c>
      <c r="U944" t="s">
        <v>112</v>
      </c>
      <c r="V944" s="10">
        <v>1487.49</v>
      </c>
      <c r="W944" s="10">
        <v>846.51</v>
      </c>
      <c r="X944" s="10">
        <v>552.23</v>
      </c>
      <c r="Y944" s="11">
        <v>0.37124955461885462</v>
      </c>
      <c r="Z944" s="6">
        <v>-2</v>
      </c>
      <c r="AA944" t="s">
        <v>35</v>
      </c>
    </row>
    <row r="945" spans="1:27" x14ac:dyDescent="0.25">
      <c r="A945" t="s">
        <v>1086</v>
      </c>
      <c r="B945">
        <v>48</v>
      </c>
      <c r="C945" s="9">
        <v>46082.34752314815</v>
      </c>
      <c r="D945" t="s">
        <v>86</v>
      </c>
      <c r="E945" t="s">
        <v>87</v>
      </c>
      <c r="F945" t="s">
        <v>45</v>
      </c>
      <c r="G945">
        <v>0</v>
      </c>
      <c r="H945" s="6">
        <v>2</v>
      </c>
      <c r="I945" s="10">
        <v>54.99</v>
      </c>
      <c r="J945" s="10">
        <v>140.91</v>
      </c>
      <c r="K945" t="s">
        <v>60</v>
      </c>
      <c r="L945" s="3">
        <v>0.2</v>
      </c>
      <c r="M945" t="s">
        <v>39</v>
      </c>
      <c r="N945" s="10">
        <v>20.96</v>
      </c>
      <c r="O945" t="s">
        <v>157</v>
      </c>
      <c r="P945" s="5">
        <v>46084</v>
      </c>
      <c r="Q945" s="5">
        <v>46090</v>
      </c>
      <c r="R945" s="5">
        <v>46089</v>
      </c>
      <c r="S945" t="s">
        <v>33</v>
      </c>
      <c r="T945" s="6">
        <v>4</v>
      </c>
      <c r="U945" t="s">
        <v>69</v>
      </c>
      <c r="V945" s="10">
        <v>225.45599999999999</v>
      </c>
      <c r="W945" s="10">
        <v>109.98</v>
      </c>
      <c r="X945" s="10">
        <v>94.51600000000002</v>
      </c>
      <c r="Y945" s="11">
        <v>0.4192214888936201</v>
      </c>
      <c r="Z945" s="6">
        <v>-1</v>
      </c>
      <c r="AA945" t="s">
        <v>35</v>
      </c>
    </row>
    <row r="946" spans="1:27" x14ac:dyDescent="0.25">
      <c r="A946" t="s">
        <v>1087</v>
      </c>
      <c r="B946">
        <v>42</v>
      </c>
      <c r="C946" s="9">
        <v>46082.603159722217</v>
      </c>
      <c r="D946" t="s">
        <v>95</v>
      </c>
      <c r="E946" t="s">
        <v>96</v>
      </c>
      <c r="F946" t="s">
        <v>52</v>
      </c>
      <c r="G946">
        <v>564</v>
      </c>
      <c r="H946" s="6">
        <v>1</v>
      </c>
      <c r="I946" s="10">
        <v>25.97</v>
      </c>
      <c r="J946" s="10">
        <v>98.04</v>
      </c>
      <c r="L946" s="3">
        <v>0</v>
      </c>
      <c r="M946" t="s">
        <v>31</v>
      </c>
      <c r="N946" s="10">
        <v>49.43</v>
      </c>
      <c r="O946" t="s">
        <v>68</v>
      </c>
      <c r="P946" s="5">
        <v>46083</v>
      </c>
      <c r="Q946" s="5">
        <v>46089</v>
      </c>
      <c r="S946" t="s">
        <v>54</v>
      </c>
      <c r="T946" s="6">
        <v>2</v>
      </c>
      <c r="U946" t="s">
        <v>102</v>
      </c>
      <c r="V946" s="10">
        <v>98.04</v>
      </c>
      <c r="W946" s="10">
        <v>25.97</v>
      </c>
      <c r="X946" s="10">
        <v>22.640000000000011</v>
      </c>
      <c r="Y946" s="11">
        <v>0.23092615259077931</v>
      </c>
      <c r="Z946" s="6"/>
      <c r="AA946" t="s">
        <v>56</v>
      </c>
    </row>
    <row r="947" spans="1:27" x14ac:dyDescent="0.25">
      <c r="A947" t="s">
        <v>1088</v>
      </c>
      <c r="B947">
        <v>194</v>
      </c>
      <c r="C947" s="9">
        <v>46082.610081018523</v>
      </c>
      <c r="D947" t="s">
        <v>148</v>
      </c>
      <c r="E947" t="s">
        <v>149</v>
      </c>
      <c r="F947" t="s">
        <v>30</v>
      </c>
      <c r="G947">
        <v>2892</v>
      </c>
      <c r="H947" s="6">
        <v>1</v>
      </c>
      <c r="I947" s="10">
        <v>571.52</v>
      </c>
      <c r="J947" s="10">
        <v>907.01</v>
      </c>
      <c r="K947" t="s">
        <v>46</v>
      </c>
      <c r="L947" s="3">
        <v>0.1</v>
      </c>
      <c r="M947" t="s">
        <v>76</v>
      </c>
      <c r="N947" s="10">
        <v>143.53</v>
      </c>
      <c r="O947" t="s">
        <v>40</v>
      </c>
      <c r="P947" s="5">
        <v>46084</v>
      </c>
      <c r="Q947" s="5">
        <v>46091</v>
      </c>
      <c r="R947" s="5">
        <v>46088</v>
      </c>
      <c r="S947" t="s">
        <v>33</v>
      </c>
      <c r="T947" s="6">
        <v>4</v>
      </c>
      <c r="U947" t="s">
        <v>41</v>
      </c>
      <c r="V947" s="10">
        <v>816.30899999999997</v>
      </c>
      <c r="W947" s="10">
        <v>571.52</v>
      </c>
      <c r="X947" s="10">
        <v>101.259</v>
      </c>
      <c r="Y947" s="11">
        <v>0.1240449388650621</v>
      </c>
      <c r="Z947" s="6">
        <v>-3</v>
      </c>
      <c r="AA947" t="s">
        <v>35</v>
      </c>
    </row>
    <row r="948" spans="1:27" x14ac:dyDescent="0.25">
      <c r="A948" t="s">
        <v>1089</v>
      </c>
      <c r="B948">
        <v>63</v>
      </c>
      <c r="C948" s="9">
        <v>46082.973391203697</v>
      </c>
      <c r="D948" t="s">
        <v>86</v>
      </c>
      <c r="E948" t="s">
        <v>87</v>
      </c>
      <c r="F948" t="s">
        <v>45</v>
      </c>
      <c r="G948">
        <v>0</v>
      </c>
      <c r="H948" s="6">
        <v>1</v>
      </c>
      <c r="I948" s="10">
        <v>71.739999999999995</v>
      </c>
      <c r="J948" s="10">
        <v>90.24</v>
      </c>
      <c r="K948" t="s">
        <v>60</v>
      </c>
      <c r="L948" s="3">
        <v>0.2</v>
      </c>
      <c r="M948" t="s">
        <v>76</v>
      </c>
      <c r="N948" s="10">
        <v>21.3</v>
      </c>
      <c r="O948" t="s">
        <v>68</v>
      </c>
      <c r="P948" s="5">
        <v>46084</v>
      </c>
      <c r="Q948" s="5">
        <v>46093</v>
      </c>
      <c r="R948" s="5">
        <v>46086</v>
      </c>
      <c r="S948" t="s">
        <v>33</v>
      </c>
      <c r="T948" s="6">
        <v>4</v>
      </c>
      <c r="U948" t="s">
        <v>41</v>
      </c>
      <c r="V948" s="10">
        <v>72.191999999999993</v>
      </c>
      <c r="W948" s="10">
        <v>71.739999999999995</v>
      </c>
      <c r="X948" s="10">
        <v>-20.847999999999999</v>
      </c>
      <c r="Y948" s="11">
        <v>-0.28878546099290792</v>
      </c>
      <c r="Z948" s="6">
        <v>-7</v>
      </c>
      <c r="AA948" t="s">
        <v>35</v>
      </c>
    </row>
    <row r="949" spans="1:27" x14ac:dyDescent="0.25">
      <c r="A949" t="s">
        <v>1090</v>
      </c>
      <c r="B949">
        <v>40</v>
      </c>
      <c r="C949" s="9">
        <v>46083.756643518522</v>
      </c>
      <c r="D949" t="s">
        <v>81</v>
      </c>
      <c r="E949" t="s">
        <v>82</v>
      </c>
      <c r="F949" t="s">
        <v>45</v>
      </c>
      <c r="G949">
        <v>0</v>
      </c>
      <c r="H949" s="6">
        <v>1</v>
      </c>
      <c r="I949" s="10">
        <v>66.39</v>
      </c>
      <c r="J949" s="10">
        <v>154.88999999999999</v>
      </c>
      <c r="L949" s="3">
        <v>0</v>
      </c>
      <c r="M949" t="s">
        <v>31</v>
      </c>
      <c r="N949" s="10">
        <v>17.05</v>
      </c>
      <c r="O949" t="s">
        <v>264</v>
      </c>
      <c r="P949" s="5">
        <v>46085</v>
      </c>
      <c r="Q949" s="5">
        <v>46091</v>
      </c>
      <c r="R949" s="5">
        <v>46090</v>
      </c>
      <c r="S949" t="s">
        <v>33</v>
      </c>
      <c r="T949" s="6">
        <v>4</v>
      </c>
      <c r="U949" t="s">
        <v>166</v>
      </c>
      <c r="V949" s="10">
        <v>154.88999999999999</v>
      </c>
      <c r="W949" s="10">
        <v>66.39</v>
      </c>
      <c r="X949" s="10">
        <v>71.449999999999989</v>
      </c>
      <c r="Y949" s="11">
        <v>0.46129511266059781</v>
      </c>
      <c r="Z949" s="6">
        <v>-1</v>
      </c>
      <c r="AA949" t="s">
        <v>35</v>
      </c>
    </row>
    <row r="950" spans="1:27" x14ac:dyDescent="0.25">
      <c r="A950" t="s">
        <v>1091</v>
      </c>
      <c r="B950">
        <v>139</v>
      </c>
      <c r="C950" s="9">
        <v>46083.797395833331</v>
      </c>
      <c r="D950" t="s">
        <v>37</v>
      </c>
      <c r="E950" t="s">
        <v>38</v>
      </c>
      <c r="F950" t="s">
        <v>30</v>
      </c>
      <c r="G950">
        <v>2461</v>
      </c>
      <c r="H950" s="6">
        <v>1</v>
      </c>
      <c r="I950" s="10">
        <v>787.18</v>
      </c>
      <c r="J950" s="10">
        <v>1174.47</v>
      </c>
      <c r="L950" s="3">
        <v>0</v>
      </c>
      <c r="M950" t="s">
        <v>76</v>
      </c>
      <c r="N950" s="10">
        <v>149.24</v>
      </c>
      <c r="O950" t="s">
        <v>97</v>
      </c>
      <c r="P950" s="5">
        <v>46085</v>
      </c>
      <c r="Q950" s="5">
        <v>46091</v>
      </c>
      <c r="R950" s="5">
        <v>46090</v>
      </c>
      <c r="S950" t="s">
        <v>33</v>
      </c>
      <c r="T950" s="6">
        <v>4</v>
      </c>
      <c r="U950" t="s">
        <v>172</v>
      </c>
      <c r="V950" s="10">
        <v>1174.47</v>
      </c>
      <c r="W950" s="10">
        <v>787.18</v>
      </c>
      <c r="X950" s="10">
        <v>238.0500000000001</v>
      </c>
      <c r="Y950" s="11">
        <v>0.20268716953178889</v>
      </c>
      <c r="Z950" s="6">
        <v>-1</v>
      </c>
      <c r="AA950" t="s">
        <v>35</v>
      </c>
    </row>
    <row r="951" spans="1:27" x14ac:dyDescent="0.25">
      <c r="A951" t="s">
        <v>1092</v>
      </c>
      <c r="B951">
        <v>120</v>
      </c>
      <c r="C951" s="9">
        <v>46083.993425925917</v>
      </c>
      <c r="D951" t="s">
        <v>92</v>
      </c>
      <c r="E951" t="s">
        <v>93</v>
      </c>
      <c r="F951" t="s">
        <v>52</v>
      </c>
      <c r="G951">
        <v>227</v>
      </c>
      <c r="H951" s="6">
        <v>3</v>
      </c>
      <c r="I951" s="10">
        <v>25.23</v>
      </c>
      <c r="J951" s="10">
        <v>113.91</v>
      </c>
      <c r="K951" t="s">
        <v>46</v>
      </c>
      <c r="L951" s="3">
        <v>0.1</v>
      </c>
      <c r="M951" t="s">
        <v>76</v>
      </c>
      <c r="N951" s="10">
        <v>28.09</v>
      </c>
      <c r="O951" t="s">
        <v>40</v>
      </c>
      <c r="P951" s="5">
        <v>46085</v>
      </c>
      <c r="Q951" s="5">
        <v>46092</v>
      </c>
      <c r="R951" s="5">
        <v>46088</v>
      </c>
      <c r="S951" t="s">
        <v>33</v>
      </c>
      <c r="T951" s="6">
        <v>5</v>
      </c>
      <c r="U951" t="s">
        <v>117</v>
      </c>
      <c r="V951" s="10">
        <v>307.55700000000002</v>
      </c>
      <c r="W951" s="10">
        <v>75.69</v>
      </c>
      <c r="X951" s="10">
        <v>203.77699999999999</v>
      </c>
      <c r="Y951" s="11">
        <v>0.66256661366836067</v>
      </c>
      <c r="Z951" s="6">
        <v>-4</v>
      </c>
      <c r="AA951" t="s">
        <v>35</v>
      </c>
    </row>
    <row r="952" spans="1:27" x14ac:dyDescent="0.25">
      <c r="A952" t="s">
        <v>1093</v>
      </c>
      <c r="B952">
        <v>40</v>
      </c>
      <c r="C952" s="9">
        <v>46084.072743055563</v>
      </c>
      <c r="D952" t="s">
        <v>148</v>
      </c>
      <c r="E952" t="s">
        <v>149</v>
      </c>
      <c r="F952" t="s">
        <v>30</v>
      </c>
      <c r="G952">
        <v>3314</v>
      </c>
      <c r="H952" s="6">
        <v>3</v>
      </c>
      <c r="I952" s="10">
        <v>559.62</v>
      </c>
      <c r="J952" s="10">
        <v>716.37</v>
      </c>
      <c r="L952" s="3">
        <v>0</v>
      </c>
      <c r="M952" t="s">
        <v>61</v>
      </c>
      <c r="N952" s="10">
        <v>129.47999999999999</v>
      </c>
      <c r="O952" t="s">
        <v>47</v>
      </c>
      <c r="P952" s="5">
        <v>46086</v>
      </c>
      <c r="Q952" s="5">
        <v>46095</v>
      </c>
      <c r="R952" s="5">
        <v>46095</v>
      </c>
      <c r="S952" t="s">
        <v>33</v>
      </c>
      <c r="T952" s="6">
        <v>5</v>
      </c>
      <c r="U952" t="s">
        <v>112</v>
      </c>
      <c r="V952" s="10">
        <v>2149.11</v>
      </c>
      <c r="W952" s="10">
        <v>1678.86</v>
      </c>
      <c r="X952" s="10">
        <v>340.77</v>
      </c>
      <c r="Y952" s="11">
        <v>0.15856331225484041</v>
      </c>
      <c r="Z952" s="6">
        <v>0</v>
      </c>
      <c r="AA952" t="s">
        <v>35</v>
      </c>
    </row>
    <row r="953" spans="1:27" x14ac:dyDescent="0.25">
      <c r="A953" t="s">
        <v>1094</v>
      </c>
      <c r="B953">
        <v>63</v>
      </c>
      <c r="C953" s="9">
        <v>46084.440671296303</v>
      </c>
      <c r="D953" t="s">
        <v>177</v>
      </c>
      <c r="E953" t="s">
        <v>178</v>
      </c>
      <c r="F953" t="s">
        <v>116</v>
      </c>
      <c r="G953">
        <v>0</v>
      </c>
      <c r="H953" s="6">
        <v>3</v>
      </c>
      <c r="I953" s="10">
        <v>219.06</v>
      </c>
      <c r="J953" s="10">
        <v>514.76</v>
      </c>
      <c r="K953" t="s">
        <v>46</v>
      </c>
      <c r="L953" s="3">
        <v>0.1</v>
      </c>
      <c r="M953" t="s">
        <v>76</v>
      </c>
      <c r="N953" s="10">
        <v>18.75</v>
      </c>
      <c r="O953" t="s">
        <v>47</v>
      </c>
      <c r="P953" s="5">
        <v>46086</v>
      </c>
      <c r="Q953" s="5">
        <v>46095</v>
      </c>
      <c r="R953" s="5">
        <v>46092</v>
      </c>
      <c r="S953" t="s">
        <v>33</v>
      </c>
      <c r="T953" s="6">
        <v>5</v>
      </c>
      <c r="U953" t="s">
        <v>134</v>
      </c>
      <c r="V953" s="10">
        <v>1389.8520000000001</v>
      </c>
      <c r="W953" s="10">
        <v>657.18000000000006</v>
      </c>
      <c r="X953" s="10">
        <v>713.92200000000003</v>
      </c>
      <c r="Y953" s="11">
        <v>0.51366764231011641</v>
      </c>
      <c r="Z953" s="6">
        <v>-3</v>
      </c>
      <c r="AA953" t="s">
        <v>35</v>
      </c>
    </row>
    <row r="954" spans="1:27" x14ac:dyDescent="0.25">
      <c r="A954" t="s">
        <v>1095</v>
      </c>
      <c r="B954">
        <v>26</v>
      </c>
      <c r="C954" s="9">
        <v>46084.794432870367</v>
      </c>
      <c r="D954" t="s">
        <v>137</v>
      </c>
      <c r="E954" t="s">
        <v>138</v>
      </c>
      <c r="F954" t="s">
        <v>52</v>
      </c>
      <c r="G954">
        <v>335</v>
      </c>
      <c r="H954" s="6">
        <v>3</v>
      </c>
      <c r="I954" s="10">
        <v>67.69</v>
      </c>
      <c r="J954" s="10">
        <v>127.43</v>
      </c>
      <c r="L954" s="3">
        <v>0</v>
      </c>
      <c r="M954" t="s">
        <v>39</v>
      </c>
      <c r="N954" s="10">
        <v>55.81</v>
      </c>
      <c r="O954" t="s">
        <v>97</v>
      </c>
      <c r="P954" s="5">
        <v>46086</v>
      </c>
      <c r="Q954" s="5">
        <v>46094</v>
      </c>
      <c r="R954" s="5">
        <v>46093</v>
      </c>
      <c r="S954" t="s">
        <v>33</v>
      </c>
      <c r="T954" s="6">
        <v>5</v>
      </c>
      <c r="U954" t="s">
        <v>211</v>
      </c>
      <c r="V954" s="10">
        <v>382.29</v>
      </c>
      <c r="W954" s="10">
        <v>203.07</v>
      </c>
      <c r="X954" s="10">
        <v>123.41</v>
      </c>
      <c r="Y954" s="11">
        <v>0.32281775615370528</v>
      </c>
      <c r="Z954" s="6">
        <v>-1</v>
      </c>
      <c r="AA954" t="s">
        <v>35</v>
      </c>
    </row>
    <row r="955" spans="1:27" x14ac:dyDescent="0.25">
      <c r="A955" t="s">
        <v>1096</v>
      </c>
      <c r="B955">
        <v>106</v>
      </c>
      <c r="C955" s="9">
        <v>46085.207407407397</v>
      </c>
      <c r="D955" t="s">
        <v>92</v>
      </c>
      <c r="E955" t="s">
        <v>93</v>
      </c>
      <c r="F955" t="s">
        <v>52</v>
      </c>
      <c r="G955">
        <v>220</v>
      </c>
      <c r="H955" s="6">
        <v>3</v>
      </c>
      <c r="I955" s="10">
        <v>58.89</v>
      </c>
      <c r="J955" s="10">
        <v>80.42</v>
      </c>
      <c r="K955" t="s">
        <v>60</v>
      </c>
      <c r="L955" s="3">
        <v>0.2</v>
      </c>
      <c r="M955" t="s">
        <v>61</v>
      </c>
      <c r="N955" s="10">
        <v>51.06</v>
      </c>
      <c r="O955" t="s">
        <v>47</v>
      </c>
      <c r="P955" s="5">
        <v>46086</v>
      </c>
      <c r="Q955" s="5">
        <v>46094</v>
      </c>
      <c r="R955" s="5">
        <v>46090</v>
      </c>
      <c r="S955" t="s">
        <v>33</v>
      </c>
      <c r="T955" s="6">
        <v>5</v>
      </c>
      <c r="U955" t="s">
        <v>34</v>
      </c>
      <c r="V955" s="10">
        <v>193.00800000000001</v>
      </c>
      <c r="W955" s="10">
        <v>176.67</v>
      </c>
      <c r="X955" s="10">
        <v>-34.722000000000008</v>
      </c>
      <c r="Y955" s="11">
        <v>-0.1798992787863716</v>
      </c>
      <c r="Z955" s="6">
        <v>-4</v>
      </c>
      <c r="AA955" t="s">
        <v>35</v>
      </c>
    </row>
    <row r="956" spans="1:27" x14ac:dyDescent="0.25">
      <c r="A956" t="s">
        <v>1097</v>
      </c>
      <c r="B956">
        <v>130</v>
      </c>
      <c r="C956" s="9">
        <v>46085.346122685187</v>
      </c>
      <c r="D956" t="s">
        <v>92</v>
      </c>
      <c r="E956" t="s">
        <v>93</v>
      </c>
      <c r="F956" t="s">
        <v>52</v>
      </c>
      <c r="G956">
        <v>214</v>
      </c>
      <c r="H956" s="6">
        <v>2</v>
      </c>
      <c r="I956" s="10">
        <v>27.43</v>
      </c>
      <c r="J956" s="10">
        <v>95.35</v>
      </c>
      <c r="L956" s="3">
        <v>0</v>
      </c>
      <c r="M956" t="s">
        <v>61</v>
      </c>
      <c r="N956" s="10">
        <v>56.39</v>
      </c>
      <c r="O956" t="s">
        <v>47</v>
      </c>
      <c r="P956" s="5">
        <v>46087</v>
      </c>
      <c r="Q956" s="5">
        <v>46097</v>
      </c>
      <c r="R956" s="5">
        <v>46093</v>
      </c>
      <c r="S956" t="s">
        <v>33</v>
      </c>
      <c r="T956" s="6">
        <v>4</v>
      </c>
      <c r="U956" t="s">
        <v>112</v>
      </c>
      <c r="V956" s="10">
        <v>190.7</v>
      </c>
      <c r="W956" s="10">
        <v>54.86</v>
      </c>
      <c r="X956" s="10">
        <v>79.449999999999974</v>
      </c>
      <c r="Y956" s="11">
        <v>0.41662296801258508</v>
      </c>
      <c r="Z956" s="6">
        <v>-4</v>
      </c>
      <c r="AA956" t="s">
        <v>35</v>
      </c>
    </row>
    <row r="957" spans="1:27" x14ac:dyDescent="0.25">
      <c r="A957" t="s">
        <v>1098</v>
      </c>
      <c r="B957">
        <v>125</v>
      </c>
      <c r="C957" s="9">
        <v>46085.751481481479</v>
      </c>
      <c r="D957" t="s">
        <v>66</v>
      </c>
      <c r="E957" t="s">
        <v>67</v>
      </c>
      <c r="F957" t="s">
        <v>52</v>
      </c>
      <c r="G957">
        <v>277</v>
      </c>
      <c r="H957" s="6">
        <v>1</v>
      </c>
      <c r="I957" s="10">
        <v>33.840000000000003</v>
      </c>
      <c r="J957" s="10">
        <v>110.58</v>
      </c>
      <c r="L957" s="3">
        <v>0</v>
      </c>
      <c r="M957" t="s">
        <v>31</v>
      </c>
      <c r="N957" s="10">
        <v>43.36</v>
      </c>
      <c r="O957" t="s">
        <v>62</v>
      </c>
      <c r="P957" s="5">
        <v>46087</v>
      </c>
      <c r="Q957" s="5">
        <v>46096</v>
      </c>
      <c r="R957" s="5">
        <v>46095</v>
      </c>
      <c r="S957" t="s">
        <v>33</v>
      </c>
      <c r="T957" s="6">
        <v>5</v>
      </c>
      <c r="U957" t="s">
        <v>172</v>
      </c>
      <c r="V957" s="10">
        <v>110.58</v>
      </c>
      <c r="W957" s="10">
        <v>33.840000000000003</v>
      </c>
      <c r="X957" s="10">
        <v>33.380000000000003</v>
      </c>
      <c r="Y957" s="11">
        <v>0.30186290468439142</v>
      </c>
      <c r="Z957" s="6">
        <v>-1</v>
      </c>
      <c r="AA957" t="s">
        <v>35</v>
      </c>
    </row>
    <row r="958" spans="1:27" x14ac:dyDescent="0.25">
      <c r="A958" t="s">
        <v>1099</v>
      </c>
      <c r="B958">
        <v>56</v>
      </c>
      <c r="C958" s="9">
        <v>46085.835416666669</v>
      </c>
      <c r="D958" t="s">
        <v>43</v>
      </c>
      <c r="E958" t="s">
        <v>44</v>
      </c>
      <c r="F958" t="s">
        <v>45</v>
      </c>
      <c r="G958">
        <v>0</v>
      </c>
      <c r="H958" s="6">
        <v>2</v>
      </c>
      <c r="I958" s="10">
        <v>21.57</v>
      </c>
      <c r="J958" s="10">
        <v>141.93</v>
      </c>
      <c r="L958" s="3">
        <v>0</v>
      </c>
      <c r="M958" t="s">
        <v>39</v>
      </c>
      <c r="N958" s="10">
        <v>20.28</v>
      </c>
      <c r="O958" t="s">
        <v>62</v>
      </c>
      <c r="P958" s="5">
        <v>46087</v>
      </c>
      <c r="Q958" s="5">
        <v>46097</v>
      </c>
      <c r="R958" s="5">
        <v>46095</v>
      </c>
      <c r="S958" t="s">
        <v>33</v>
      </c>
      <c r="T958" s="6">
        <v>4</v>
      </c>
      <c r="U958" t="s">
        <v>79</v>
      </c>
      <c r="V958" s="10">
        <v>283.86</v>
      </c>
      <c r="W958" s="10">
        <v>43.14</v>
      </c>
      <c r="X958" s="10">
        <v>220.44</v>
      </c>
      <c r="Y958" s="11">
        <v>0.77658000422743612</v>
      </c>
      <c r="Z958" s="6">
        <v>-2</v>
      </c>
      <c r="AA958" t="s">
        <v>35</v>
      </c>
    </row>
    <row r="959" spans="1:27" x14ac:dyDescent="0.25">
      <c r="A959" t="s">
        <v>1100</v>
      </c>
      <c r="B959">
        <v>37</v>
      </c>
      <c r="C959" s="9">
        <v>46086.436481481483</v>
      </c>
      <c r="D959" t="s">
        <v>81</v>
      </c>
      <c r="E959" t="s">
        <v>82</v>
      </c>
      <c r="F959" t="s">
        <v>45</v>
      </c>
      <c r="G959">
        <v>0</v>
      </c>
      <c r="H959" s="6">
        <v>2</v>
      </c>
      <c r="I959" s="10">
        <v>39.869999999999997</v>
      </c>
      <c r="J959" s="10">
        <v>98.46</v>
      </c>
      <c r="K959" t="s">
        <v>46</v>
      </c>
      <c r="L959" s="3">
        <v>0.1</v>
      </c>
      <c r="M959" t="s">
        <v>76</v>
      </c>
      <c r="N959" s="10">
        <v>26.07</v>
      </c>
      <c r="O959" t="s">
        <v>47</v>
      </c>
      <c r="P959" s="5">
        <v>46087</v>
      </c>
      <c r="Q959" s="5">
        <v>46093</v>
      </c>
      <c r="S959" t="s">
        <v>54</v>
      </c>
      <c r="T959" s="6">
        <v>4</v>
      </c>
      <c r="U959" t="s">
        <v>119</v>
      </c>
      <c r="V959" s="10">
        <v>177.22800000000001</v>
      </c>
      <c r="W959" s="10">
        <v>79.739999999999995</v>
      </c>
      <c r="X959" s="10">
        <v>71.417999999999978</v>
      </c>
      <c r="Y959" s="11">
        <v>0.40297244227774393</v>
      </c>
      <c r="Z959" s="6"/>
      <c r="AA959" t="s">
        <v>56</v>
      </c>
    </row>
    <row r="960" spans="1:27" x14ac:dyDescent="0.25">
      <c r="A960" t="s">
        <v>1101</v>
      </c>
      <c r="B960">
        <v>123</v>
      </c>
      <c r="C960" s="9">
        <v>46086.78502314815</v>
      </c>
      <c r="D960" t="s">
        <v>86</v>
      </c>
      <c r="E960" t="s">
        <v>87</v>
      </c>
      <c r="F960" t="s">
        <v>45</v>
      </c>
      <c r="G960">
        <v>0</v>
      </c>
      <c r="H960" s="6">
        <v>2</v>
      </c>
      <c r="I960" s="10">
        <v>61.97</v>
      </c>
      <c r="J960" s="10">
        <v>193.49</v>
      </c>
      <c r="L960" s="3">
        <v>0</v>
      </c>
      <c r="M960" t="s">
        <v>61</v>
      </c>
      <c r="N960" s="10">
        <v>23.4</v>
      </c>
      <c r="O960" t="s">
        <v>83</v>
      </c>
      <c r="P960" s="5">
        <v>46087</v>
      </c>
      <c r="Q960" s="5">
        <v>46092</v>
      </c>
      <c r="R960" s="5">
        <v>46090</v>
      </c>
      <c r="S960" t="s">
        <v>33</v>
      </c>
      <c r="T960" s="6">
        <v>5</v>
      </c>
      <c r="U960" t="s">
        <v>211</v>
      </c>
      <c r="V960" s="10">
        <v>386.98</v>
      </c>
      <c r="W960" s="10">
        <v>123.94</v>
      </c>
      <c r="X960" s="10">
        <v>239.64</v>
      </c>
      <c r="Y960" s="11">
        <v>0.61925680913742309</v>
      </c>
      <c r="Z960" s="6">
        <v>-2</v>
      </c>
      <c r="AA960" t="s">
        <v>35</v>
      </c>
    </row>
    <row r="961" spans="1:27" x14ac:dyDescent="0.25">
      <c r="A961" t="s">
        <v>1102</v>
      </c>
      <c r="B961">
        <v>82</v>
      </c>
      <c r="C961" s="9">
        <v>46087.007986111108</v>
      </c>
      <c r="D961" t="s">
        <v>37</v>
      </c>
      <c r="E961" t="s">
        <v>38</v>
      </c>
      <c r="F961" t="s">
        <v>30</v>
      </c>
      <c r="G961">
        <v>2762</v>
      </c>
      <c r="H961" s="6">
        <v>1</v>
      </c>
      <c r="I961" s="10">
        <v>784.93</v>
      </c>
      <c r="J961" s="10">
        <v>1320.91</v>
      </c>
      <c r="L961" s="3">
        <v>0</v>
      </c>
      <c r="M961" t="s">
        <v>61</v>
      </c>
      <c r="N961" s="10">
        <v>81.540000000000006</v>
      </c>
      <c r="O961" t="s">
        <v>62</v>
      </c>
      <c r="P961" s="5">
        <v>46088</v>
      </c>
      <c r="Q961" s="5">
        <v>46095</v>
      </c>
      <c r="S961" t="s">
        <v>54</v>
      </c>
      <c r="T961" s="6">
        <v>3</v>
      </c>
      <c r="U961" t="s">
        <v>146</v>
      </c>
      <c r="V961" s="10">
        <v>1320.91</v>
      </c>
      <c r="W961" s="10">
        <v>784.93</v>
      </c>
      <c r="X961" s="10">
        <v>454.44000000000011</v>
      </c>
      <c r="Y961" s="11">
        <v>0.3440355512487604</v>
      </c>
      <c r="Z961" s="6"/>
      <c r="AA961" t="s">
        <v>56</v>
      </c>
    </row>
    <row r="962" spans="1:27" x14ac:dyDescent="0.25">
      <c r="A962" t="s">
        <v>1103</v>
      </c>
      <c r="B962">
        <v>44</v>
      </c>
      <c r="C962" s="9">
        <v>46088.02207175926</v>
      </c>
      <c r="D962" t="s">
        <v>74</v>
      </c>
      <c r="E962" t="s">
        <v>75</v>
      </c>
      <c r="F962" t="s">
        <v>30</v>
      </c>
      <c r="G962">
        <v>2686</v>
      </c>
      <c r="H962" s="6">
        <v>1</v>
      </c>
      <c r="I962" s="10">
        <v>2588.71</v>
      </c>
      <c r="J962" s="10">
        <v>4609.79</v>
      </c>
      <c r="K962" t="s">
        <v>46</v>
      </c>
      <c r="L962" s="3">
        <v>0.1</v>
      </c>
      <c r="M962" t="s">
        <v>31</v>
      </c>
      <c r="N962" s="10">
        <v>94.98</v>
      </c>
      <c r="O962" t="s">
        <v>99</v>
      </c>
      <c r="P962" s="5">
        <v>46090</v>
      </c>
      <c r="Q962" s="5">
        <v>46098</v>
      </c>
      <c r="R962" s="5">
        <v>46095</v>
      </c>
      <c r="S962" t="s">
        <v>33</v>
      </c>
      <c r="T962" s="6">
        <v>5</v>
      </c>
      <c r="U962" t="s">
        <v>112</v>
      </c>
      <c r="V962" s="10">
        <v>4148.8109999999997</v>
      </c>
      <c r="W962" s="10">
        <v>2588.71</v>
      </c>
      <c r="X962" s="10">
        <v>1465.1210000000001</v>
      </c>
      <c r="Y962" s="11">
        <v>0.35314238223915229</v>
      </c>
      <c r="Z962" s="6">
        <v>-3</v>
      </c>
      <c r="AA962" t="s">
        <v>35</v>
      </c>
    </row>
    <row r="963" spans="1:27" x14ac:dyDescent="0.25">
      <c r="A963" t="s">
        <v>1104</v>
      </c>
      <c r="B963">
        <v>69</v>
      </c>
      <c r="C963" s="9">
        <v>46088.477812500001</v>
      </c>
      <c r="D963" t="s">
        <v>177</v>
      </c>
      <c r="E963" t="s">
        <v>178</v>
      </c>
      <c r="F963" t="s">
        <v>116</v>
      </c>
      <c r="G963">
        <v>0</v>
      </c>
      <c r="H963" s="6">
        <v>2</v>
      </c>
      <c r="I963" s="10">
        <v>320.89</v>
      </c>
      <c r="J963" s="10">
        <v>590.38</v>
      </c>
      <c r="L963" s="3">
        <v>0</v>
      </c>
      <c r="M963" t="s">
        <v>31</v>
      </c>
      <c r="N963" s="10">
        <v>20.13</v>
      </c>
      <c r="O963" t="s">
        <v>47</v>
      </c>
      <c r="P963" s="5">
        <v>46089</v>
      </c>
      <c r="Q963" s="5">
        <v>46097</v>
      </c>
      <c r="R963" s="5">
        <v>46094</v>
      </c>
      <c r="S963" t="s">
        <v>33</v>
      </c>
      <c r="T963" s="6">
        <v>4</v>
      </c>
      <c r="U963" t="s">
        <v>34</v>
      </c>
      <c r="V963" s="10">
        <v>1180.76</v>
      </c>
      <c r="W963" s="10">
        <v>641.78</v>
      </c>
      <c r="X963" s="10">
        <v>518.85</v>
      </c>
      <c r="Y963" s="11">
        <v>0.4394203733188794</v>
      </c>
      <c r="Z963" s="6">
        <v>-3</v>
      </c>
      <c r="AA963" t="s">
        <v>35</v>
      </c>
    </row>
    <row r="964" spans="1:27" x14ac:dyDescent="0.25">
      <c r="A964" t="s">
        <v>1105</v>
      </c>
      <c r="B964">
        <v>124</v>
      </c>
      <c r="C964" s="9">
        <v>46089.940555555557</v>
      </c>
      <c r="D964" t="s">
        <v>28</v>
      </c>
      <c r="E964" t="s">
        <v>29</v>
      </c>
      <c r="F964" t="s">
        <v>30</v>
      </c>
      <c r="G964">
        <v>2378</v>
      </c>
      <c r="H964" s="6">
        <v>2</v>
      </c>
      <c r="I964" s="10">
        <v>2293.48</v>
      </c>
      <c r="J964" s="10">
        <v>2868.7</v>
      </c>
      <c r="L964" s="3">
        <v>0</v>
      </c>
      <c r="M964" t="s">
        <v>31</v>
      </c>
      <c r="N964" s="10">
        <v>91.02</v>
      </c>
      <c r="O964" t="s">
        <v>40</v>
      </c>
      <c r="P964" s="5">
        <v>46091</v>
      </c>
      <c r="Q964" s="5">
        <v>46101</v>
      </c>
      <c r="R964" s="5">
        <v>46097</v>
      </c>
      <c r="S964" t="s">
        <v>33</v>
      </c>
      <c r="T964" s="6">
        <v>5</v>
      </c>
      <c r="U964" t="s">
        <v>127</v>
      </c>
      <c r="V964" s="10">
        <v>5737.4</v>
      </c>
      <c r="W964" s="10">
        <v>4586.96</v>
      </c>
      <c r="X964" s="10">
        <v>1059.42</v>
      </c>
      <c r="Y964" s="11">
        <v>0.18465158434133919</v>
      </c>
      <c r="Z964" s="6">
        <v>-4</v>
      </c>
      <c r="AA964" t="s">
        <v>35</v>
      </c>
    </row>
    <row r="965" spans="1:27" x14ac:dyDescent="0.25">
      <c r="A965" t="s">
        <v>1106</v>
      </c>
      <c r="B965">
        <v>133</v>
      </c>
      <c r="C965" s="9">
        <v>46090.607453703713</v>
      </c>
      <c r="D965" t="s">
        <v>58</v>
      </c>
      <c r="E965" t="s">
        <v>59</v>
      </c>
      <c r="F965" t="s">
        <v>30</v>
      </c>
      <c r="G965">
        <v>4757</v>
      </c>
      <c r="H965" s="6">
        <v>3</v>
      </c>
      <c r="I965" s="10">
        <v>431.99</v>
      </c>
      <c r="J965" s="10">
        <v>695.39</v>
      </c>
      <c r="K965" t="s">
        <v>46</v>
      </c>
      <c r="L965" s="3">
        <v>0.1</v>
      </c>
      <c r="M965" t="s">
        <v>76</v>
      </c>
      <c r="N965" s="10">
        <v>73.11</v>
      </c>
      <c r="O965" t="s">
        <v>133</v>
      </c>
      <c r="P965" s="5">
        <v>46091</v>
      </c>
      <c r="Q965" s="5">
        <v>46096</v>
      </c>
      <c r="S965" t="s">
        <v>54</v>
      </c>
      <c r="T965" s="6">
        <v>2</v>
      </c>
      <c r="U965" t="s">
        <v>131</v>
      </c>
      <c r="V965" s="10">
        <v>1877.5530000000001</v>
      </c>
      <c r="W965" s="10">
        <v>1295.97</v>
      </c>
      <c r="X965" s="10">
        <v>508.47300000000013</v>
      </c>
      <c r="Y965" s="11">
        <v>0.27081685576918468</v>
      </c>
      <c r="Z965" s="6"/>
      <c r="AA965" t="s">
        <v>56</v>
      </c>
    </row>
    <row r="966" spans="1:27" x14ac:dyDescent="0.25">
      <c r="A966" t="s">
        <v>1107</v>
      </c>
      <c r="B966">
        <v>157</v>
      </c>
      <c r="C966" s="9">
        <v>46091.022037037037</v>
      </c>
      <c r="D966" t="s">
        <v>114</v>
      </c>
      <c r="E966" t="s">
        <v>115</v>
      </c>
      <c r="F966" t="s">
        <v>116</v>
      </c>
      <c r="G966">
        <v>0</v>
      </c>
      <c r="H966" s="6">
        <v>1</v>
      </c>
      <c r="I966" s="10">
        <v>434.42</v>
      </c>
      <c r="J966" s="10">
        <v>725.18</v>
      </c>
      <c r="K966" t="s">
        <v>46</v>
      </c>
      <c r="L966" s="3">
        <v>0.1</v>
      </c>
      <c r="M966" t="s">
        <v>76</v>
      </c>
      <c r="N966" s="10">
        <v>25.66</v>
      </c>
      <c r="O966" t="s">
        <v>47</v>
      </c>
      <c r="P966" s="5">
        <v>46092</v>
      </c>
      <c r="Q966" s="5">
        <v>46098</v>
      </c>
      <c r="R966" s="5">
        <v>46096</v>
      </c>
      <c r="S966" t="s">
        <v>33</v>
      </c>
      <c r="T966" s="6">
        <v>4</v>
      </c>
      <c r="U966" t="s">
        <v>211</v>
      </c>
      <c r="V966" s="10">
        <v>652.66199999999992</v>
      </c>
      <c r="W966" s="10">
        <v>434.42</v>
      </c>
      <c r="X966" s="10">
        <v>192.58199999999991</v>
      </c>
      <c r="Y966" s="11">
        <v>0.29507156843818078</v>
      </c>
      <c r="Z966" s="6">
        <v>-2</v>
      </c>
      <c r="AA966" t="s">
        <v>35</v>
      </c>
    </row>
    <row r="967" spans="1:27" x14ac:dyDescent="0.25">
      <c r="A967" t="s">
        <v>1108</v>
      </c>
      <c r="B967">
        <v>158</v>
      </c>
      <c r="C967" s="9">
        <v>46091.510358796288</v>
      </c>
      <c r="D967" t="s">
        <v>177</v>
      </c>
      <c r="E967" t="s">
        <v>178</v>
      </c>
      <c r="F967" t="s">
        <v>116</v>
      </c>
      <c r="G967">
        <v>0</v>
      </c>
      <c r="H967" s="6">
        <v>3</v>
      </c>
      <c r="I967" s="10">
        <v>274.08</v>
      </c>
      <c r="J967" s="10">
        <v>536.66999999999996</v>
      </c>
      <c r="L967" s="3">
        <v>0</v>
      </c>
      <c r="M967" t="s">
        <v>39</v>
      </c>
      <c r="N967" s="10">
        <v>28.89</v>
      </c>
      <c r="O967" t="s">
        <v>40</v>
      </c>
      <c r="P967" s="5">
        <v>46093</v>
      </c>
      <c r="Q967" s="5">
        <v>46103</v>
      </c>
      <c r="S967" t="s">
        <v>54</v>
      </c>
      <c r="T967" s="6">
        <v>4</v>
      </c>
      <c r="U967" t="s">
        <v>127</v>
      </c>
      <c r="V967" s="10">
        <v>1610.01</v>
      </c>
      <c r="W967" s="10">
        <v>822.24</v>
      </c>
      <c r="X967" s="10">
        <v>758.87999999999977</v>
      </c>
      <c r="Y967" s="11">
        <v>0.47135110962043708</v>
      </c>
      <c r="Z967" s="6"/>
      <c r="AA967" t="s">
        <v>56</v>
      </c>
    </row>
    <row r="968" spans="1:27" x14ac:dyDescent="0.25">
      <c r="A968" t="s">
        <v>1109</v>
      </c>
      <c r="B968">
        <v>61</v>
      </c>
      <c r="C968" s="9">
        <v>46091.785486111112</v>
      </c>
      <c r="D968" t="s">
        <v>71</v>
      </c>
      <c r="E968" t="s">
        <v>72</v>
      </c>
      <c r="F968" t="s">
        <v>52</v>
      </c>
      <c r="G968">
        <v>331</v>
      </c>
      <c r="H968" s="6">
        <v>1</v>
      </c>
      <c r="I968" s="10">
        <v>34.520000000000003</v>
      </c>
      <c r="J968" s="10">
        <v>128.84</v>
      </c>
      <c r="K968" t="s">
        <v>60</v>
      </c>
      <c r="L968" s="3">
        <v>0.2</v>
      </c>
      <c r="M968" t="s">
        <v>39</v>
      </c>
      <c r="N968" s="10">
        <v>37.590000000000003</v>
      </c>
      <c r="O968" t="s">
        <v>157</v>
      </c>
      <c r="P968" s="5">
        <v>46092</v>
      </c>
      <c r="Q968" s="5">
        <v>46098</v>
      </c>
      <c r="R968" s="5">
        <v>46102</v>
      </c>
      <c r="S968" t="s">
        <v>33</v>
      </c>
      <c r="T968" s="6">
        <v>2</v>
      </c>
      <c r="U968" t="s">
        <v>140</v>
      </c>
      <c r="V968" s="10">
        <v>103.072</v>
      </c>
      <c r="W968" s="10">
        <v>34.520000000000003</v>
      </c>
      <c r="X968" s="10">
        <v>30.961999999999989</v>
      </c>
      <c r="Y968" s="11">
        <v>0.30039195901893812</v>
      </c>
      <c r="Z968" s="6">
        <v>4</v>
      </c>
      <c r="AA968" t="s">
        <v>103</v>
      </c>
    </row>
    <row r="969" spans="1:27" x14ac:dyDescent="0.25">
      <c r="A969" t="s">
        <v>1110</v>
      </c>
      <c r="B969">
        <v>118</v>
      </c>
      <c r="C969" s="9">
        <v>46091.897453703707</v>
      </c>
      <c r="D969" t="s">
        <v>28</v>
      </c>
      <c r="E969" t="s">
        <v>29</v>
      </c>
      <c r="F969" t="s">
        <v>30</v>
      </c>
      <c r="G969">
        <v>2367</v>
      </c>
      <c r="H969" s="6">
        <v>2</v>
      </c>
      <c r="I969" s="10">
        <v>2290.13</v>
      </c>
      <c r="J969" s="10">
        <v>3168.3</v>
      </c>
      <c r="L969" s="3">
        <v>0</v>
      </c>
      <c r="M969" t="s">
        <v>76</v>
      </c>
      <c r="N969" s="10">
        <v>137.25</v>
      </c>
      <c r="O969" t="s">
        <v>47</v>
      </c>
      <c r="P969" s="5">
        <v>46092</v>
      </c>
      <c r="Q969" s="5">
        <v>46102</v>
      </c>
      <c r="R969" s="5">
        <v>46102</v>
      </c>
      <c r="S969" t="s">
        <v>33</v>
      </c>
      <c r="T969" s="6">
        <v>4</v>
      </c>
      <c r="U969" t="s">
        <v>172</v>
      </c>
      <c r="V969" s="10">
        <v>6336.6</v>
      </c>
      <c r="W969" s="10">
        <v>4580.26</v>
      </c>
      <c r="X969" s="10">
        <v>1619.09</v>
      </c>
      <c r="Y969" s="11">
        <v>0.25551399804311459</v>
      </c>
      <c r="Z969" s="6">
        <v>0</v>
      </c>
      <c r="AA969" t="s">
        <v>35</v>
      </c>
    </row>
    <row r="970" spans="1:27" x14ac:dyDescent="0.25">
      <c r="A970" t="s">
        <v>1111</v>
      </c>
      <c r="B970">
        <v>123</v>
      </c>
      <c r="C970" s="9">
        <v>46092.580266203702</v>
      </c>
      <c r="D970" t="s">
        <v>95</v>
      </c>
      <c r="E970" t="s">
        <v>96</v>
      </c>
      <c r="F970" t="s">
        <v>52</v>
      </c>
      <c r="G970">
        <v>393</v>
      </c>
      <c r="H970" s="6">
        <v>3</v>
      </c>
      <c r="I970" s="10">
        <v>33.56</v>
      </c>
      <c r="J970" s="10">
        <v>76.17</v>
      </c>
      <c r="L970" s="3">
        <v>0</v>
      </c>
      <c r="M970" t="s">
        <v>61</v>
      </c>
      <c r="N970" s="10">
        <v>41.98</v>
      </c>
      <c r="O970" t="s">
        <v>150</v>
      </c>
      <c r="P970" s="5">
        <v>46093</v>
      </c>
      <c r="Q970" s="5">
        <v>46103</v>
      </c>
      <c r="R970" s="5">
        <v>46103</v>
      </c>
      <c r="S970" t="s">
        <v>33</v>
      </c>
      <c r="T970" s="6">
        <v>5</v>
      </c>
      <c r="U970" t="s">
        <v>166</v>
      </c>
      <c r="V970" s="10">
        <v>228.51</v>
      </c>
      <c r="W970" s="10">
        <v>100.68</v>
      </c>
      <c r="X970" s="10">
        <v>85.85</v>
      </c>
      <c r="Y970" s="11">
        <v>0.37569471795545051</v>
      </c>
      <c r="Z970" s="6">
        <v>0</v>
      </c>
      <c r="AA970" t="s">
        <v>35</v>
      </c>
    </row>
    <row r="971" spans="1:27" x14ac:dyDescent="0.25">
      <c r="A971" t="s">
        <v>1112</v>
      </c>
      <c r="B971">
        <v>196</v>
      </c>
      <c r="C971" s="9">
        <v>46092.66578703704</v>
      </c>
      <c r="D971" t="s">
        <v>71</v>
      </c>
      <c r="E971" t="s">
        <v>72</v>
      </c>
      <c r="F971" t="s">
        <v>52</v>
      </c>
      <c r="G971">
        <v>337</v>
      </c>
      <c r="H971" s="6">
        <v>2</v>
      </c>
      <c r="I971" s="10">
        <v>35.22</v>
      </c>
      <c r="J971" s="10">
        <v>57.83</v>
      </c>
      <c r="L971" s="3">
        <v>0</v>
      </c>
      <c r="M971" t="s">
        <v>39</v>
      </c>
      <c r="N971" s="10">
        <v>36.130000000000003</v>
      </c>
      <c r="O971" t="s">
        <v>40</v>
      </c>
      <c r="P971" s="5">
        <v>46094</v>
      </c>
      <c r="Q971" s="5">
        <v>46102</v>
      </c>
      <c r="R971" s="5">
        <v>46100</v>
      </c>
      <c r="S971" t="s">
        <v>33</v>
      </c>
      <c r="T971" s="6">
        <v>4</v>
      </c>
      <c r="U971" t="s">
        <v>112</v>
      </c>
      <c r="V971" s="10">
        <v>115.66</v>
      </c>
      <c r="W971" s="10">
        <v>70.44</v>
      </c>
      <c r="X971" s="10">
        <v>9.0899999999999963</v>
      </c>
      <c r="Y971" s="11">
        <v>7.8592426076430882E-2</v>
      </c>
      <c r="Z971" s="6">
        <v>-2</v>
      </c>
      <c r="AA971" t="s">
        <v>35</v>
      </c>
    </row>
    <row r="972" spans="1:27" x14ac:dyDescent="0.25">
      <c r="A972" t="s">
        <v>1113</v>
      </c>
      <c r="B972">
        <v>113</v>
      </c>
      <c r="C972" s="9">
        <v>46092.714004629634</v>
      </c>
      <c r="D972" t="s">
        <v>148</v>
      </c>
      <c r="E972" t="s">
        <v>149</v>
      </c>
      <c r="F972" t="s">
        <v>30</v>
      </c>
      <c r="G972">
        <v>2891</v>
      </c>
      <c r="H972" s="6">
        <v>2</v>
      </c>
      <c r="I972" s="10">
        <v>388.23</v>
      </c>
      <c r="J972" s="10">
        <v>884.15</v>
      </c>
      <c r="L972" s="3">
        <v>0</v>
      </c>
      <c r="M972" t="s">
        <v>31</v>
      </c>
      <c r="N972" s="10">
        <v>120.03</v>
      </c>
      <c r="O972" t="s">
        <v>40</v>
      </c>
      <c r="P972" s="5">
        <v>46094</v>
      </c>
      <c r="Q972" s="5">
        <v>46104</v>
      </c>
      <c r="R972" s="5">
        <v>46096</v>
      </c>
      <c r="S972" t="s">
        <v>33</v>
      </c>
      <c r="T972" s="6">
        <v>5</v>
      </c>
      <c r="U972" t="s">
        <v>69</v>
      </c>
      <c r="V972" s="10">
        <v>1768.3</v>
      </c>
      <c r="W972" s="10">
        <v>776.46</v>
      </c>
      <c r="X972" s="10">
        <v>871.81</v>
      </c>
      <c r="Y972" s="11">
        <v>0.49302154611774018</v>
      </c>
      <c r="Z972" s="6">
        <v>-8</v>
      </c>
      <c r="AA972" t="s">
        <v>35</v>
      </c>
    </row>
    <row r="973" spans="1:27" x14ac:dyDescent="0.25">
      <c r="A973" t="s">
        <v>1114</v>
      </c>
      <c r="B973">
        <v>38</v>
      </c>
      <c r="C973" s="9">
        <v>46092.748819444438</v>
      </c>
      <c r="D973" t="s">
        <v>74</v>
      </c>
      <c r="E973" t="s">
        <v>75</v>
      </c>
      <c r="F973" t="s">
        <v>30</v>
      </c>
      <c r="G973">
        <v>2525</v>
      </c>
      <c r="H973" s="6">
        <v>3</v>
      </c>
      <c r="I973" s="10">
        <v>2356.63</v>
      </c>
      <c r="J973" s="10">
        <v>4736.76</v>
      </c>
      <c r="L973" s="3">
        <v>0</v>
      </c>
      <c r="M973" t="s">
        <v>76</v>
      </c>
      <c r="N973" s="10">
        <v>141.88999999999999</v>
      </c>
      <c r="O973" t="s">
        <v>68</v>
      </c>
      <c r="P973" s="5">
        <v>46094</v>
      </c>
      <c r="Q973" s="5">
        <v>46101</v>
      </c>
      <c r="R973" s="5">
        <v>46097</v>
      </c>
      <c r="S973" t="s">
        <v>33</v>
      </c>
      <c r="T973" s="6">
        <v>5</v>
      </c>
      <c r="U973" t="s">
        <v>112</v>
      </c>
      <c r="V973" s="10">
        <v>14210.28</v>
      </c>
      <c r="W973" s="10">
        <v>7069.89</v>
      </c>
      <c r="X973" s="10">
        <v>6998.5</v>
      </c>
      <c r="Y973" s="11">
        <v>0.49249557362697988</v>
      </c>
      <c r="Z973" s="6">
        <v>-4</v>
      </c>
      <c r="AA973" t="s">
        <v>35</v>
      </c>
    </row>
    <row r="974" spans="1:27" x14ac:dyDescent="0.25">
      <c r="A974" t="s">
        <v>1115</v>
      </c>
      <c r="B974">
        <v>30</v>
      </c>
      <c r="C974" s="9">
        <v>46093.24422453704</v>
      </c>
      <c r="D974" t="s">
        <v>28</v>
      </c>
      <c r="E974" t="s">
        <v>29</v>
      </c>
      <c r="F974" t="s">
        <v>30</v>
      </c>
      <c r="G974">
        <v>2513</v>
      </c>
      <c r="H974" s="6">
        <v>1</v>
      </c>
      <c r="I974" s="10">
        <v>2442.16</v>
      </c>
      <c r="J974" s="10">
        <v>3810.85</v>
      </c>
      <c r="L974" s="3">
        <v>0</v>
      </c>
      <c r="M974" t="s">
        <v>61</v>
      </c>
      <c r="N974" s="10">
        <v>125.96</v>
      </c>
      <c r="O974" t="s">
        <v>157</v>
      </c>
      <c r="P974" s="5">
        <v>46094</v>
      </c>
      <c r="Q974" s="5">
        <v>46103</v>
      </c>
      <c r="R974" s="5">
        <v>46097</v>
      </c>
      <c r="S974" t="s">
        <v>33</v>
      </c>
      <c r="T974" s="6">
        <v>4</v>
      </c>
      <c r="U974" t="s">
        <v>34</v>
      </c>
      <c r="V974" s="10">
        <v>3810.85</v>
      </c>
      <c r="W974" s="10">
        <v>2442.16</v>
      </c>
      <c r="X974" s="10">
        <v>1242.73</v>
      </c>
      <c r="Y974" s="11">
        <v>0.32610310035818779</v>
      </c>
      <c r="Z974" s="6">
        <v>-6</v>
      </c>
      <c r="AA974" t="s">
        <v>35</v>
      </c>
    </row>
    <row r="975" spans="1:27" x14ac:dyDescent="0.25">
      <c r="A975" t="s">
        <v>1116</v>
      </c>
      <c r="B975">
        <v>151</v>
      </c>
      <c r="C975" s="9">
        <v>46093.554837962962</v>
      </c>
      <c r="D975" t="s">
        <v>37</v>
      </c>
      <c r="E975" t="s">
        <v>38</v>
      </c>
      <c r="F975" t="s">
        <v>30</v>
      </c>
      <c r="G975">
        <v>2548</v>
      </c>
      <c r="H975" s="6">
        <v>2</v>
      </c>
      <c r="I975" s="10">
        <v>550.49</v>
      </c>
      <c r="J975" s="10">
        <v>1314.46</v>
      </c>
      <c r="L975" s="3">
        <v>0</v>
      </c>
      <c r="M975" t="s">
        <v>76</v>
      </c>
      <c r="N975" s="10">
        <v>63.46</v>
      </c>
      <c r="O975" t="s">
        <v>62</v>
      </c>
      <c r="P975" s="5">
        <v>46095</v>
      </c>
      <c r="Q975" s="5">
        <v>46104</v>
      </c>
      <c r="R975" s="5">
        <v>46100</v>
      </c>
      <c r="S975" t="s">
        <v>33</v>
      </c>
      <c r="T975" s="6">
        <v>4</v>
      </c>
      <c r="U975" t="s">
        <v>117</v>
      </c>
      <c r="V975" s="10">
        <v>2628.92</v>
      </c>
      <c r="W975" s="10">
        <v>1100.98</v>
      </c>
      <c r="X975" s="10">
        <v>1464.48</v>
      </c>
      <c r="Y975" s="11">
        <v>0.55706525873742829</v>
      </c>
      <c r="Z975" s="6">
        <v>-4</v>
      </c>
      <c r="AA975" t="s">
        <v>35</v>
      </c>
    </row>
    <row r="976" spans="1:27" x14ac:dyDescent="0.25">
      <c r="A976" t="s">
        <v>1117</v>
      </c>
      <c r="B976">
        <v>132</v>
      </c>
      <c r="C976" s="9">
        <v>46094.438217592593</v>
      </c>
      <c r="D976" t="s">
        <v>74</v>
      </c>
      <c r="E976" t="s">
        <v>75</v>
      </c>
      <c r="F976" t="s">
        <v>30</v>
      </c>
      <c r="G976">
        <v>2891</v>
      </c>
      <c r="H976" s="6">
        <v>2</v>
      </c>
      <c r="I976" s="10">
        <v>2525.7800000000002</v>
      </c>
      <c r="J976" s="10">
        <v>4163.26</v>
      </c>
      <c r="L976" s="3">
        <v>0</v>
      </c>
      <c r="M976" t="s">
        <v>39</v>
      </c>
      <c r="N976" s="10">
        <v>92.19</v>
      </c>
      <c r="O976" t="s">
        <v>47</v>
      </c>
      <c r="P976" s="5">
        <v>46095</v>
      </c>
      <c r="Q976" s="5">
        <v>46100</v>
      </c>
      <c r="R976" s="5">
        <v>46100</v>
      </c>
      <c r="S976" t="s">
        <v>33</v>
      </c>
      <c r="T976" s="6">
        <v>4</v>
      </c>
      <c r="U976" t="s">
        <v>84</v>
      </c>
      <c r="V976" s="10">
        <v>8326.52</v>
      </c>
      <c r="W976" s="10">
        <v>5051.5600000000004</v>
      </c>
      <c r="X976" s="10">
        <v>3182.77</v>
      </c>
      <c r="Y976" s="11">
        <v>0.38224492344941219</v>
      </c>
      <c r="Z976" s="6">
        <v>0</v>
      </c>
      <c r="AA976" t="s">
        <v>35</v>
      </c>
    </row>
    <row r="977" spans="1:27" x14ac:dyDescent="0.25">
      <c r="A977" t="s">
        <v>1118</v>
      </c>
      <c r="B977">
        <v>199</v>
      </c>
      <c r="C977" s="9">
        <v>46094.791678240741</v>
      </c>
      <c r="D977" t="s">
        <v>74</v>
      </c>
      <c r="E977" t="s">
        <v>75</v>
      </c>
      <c r="F977" t="s">
        <v>30</v>
      </c>
      <c r="G977">
        <v>2936</v>
      </c>
      <c r="H977" s="6">
        <v>2</v>
      </c>
      <c r="I977" s="10">
        <v>2526.69</v>
      </c>
      <c r="J977" s="10">
        <v>3878.74</v>
      </c>
      <c r="L977" s="3">
        <v>0</v>
      </c>
      <c r="M977" t="s">
        <v>61</v>
      </c>
      <c r="N977" s="10">
        <v>81.55</v>
      </c>
      <c r="O977" t="s">
        <v>97</v>
      </c>
      <c r="P977" s="5">
        <v>46095</v>
      </c>
      <c r="Q977" s="5">
        <v>46104</v>
      </c>
      <c r="R977" s="5">
        <v>46097</v>
      </c>
      <c r="S977" t="s">
        <v>33</v>
      </c>
      <c r="T977" s="6">
        <v>5</v>
      </c>
      <c r="U977" t="s">
        <v>112</v>
      </c>
      <c r="V977" s="10">
        <v>7757.48</v>
      </c>
      <c r="W977" s="10">
        <v>5053.38</v>
      </c>
      <c r="X977" s="10">
        <v>2622.5499999999988</v>
      </c>
      <c r="Y977" s="11">
        <v>0.33806725895522771</v>
      </c>
      <c r="Z977" s="6">
        <v>-7</v>
      </c>
      <c r="AA977" t="s">
        <v>35</v>
      </c>
    </row>
    <row r="978" spans="1:27" x14ac:dyDescent="0.25">
      <c r="A978" t="s">
        <v>1119</v>
      </c>
      <c r="B978">
        <v>166</v>
      </c>
      <c r="C978" s="9">
        <v>46095.096597222233</v>
      </c>
      <c r="D978" t="s">
        <v>164</v>
      </c>
      <c r="E978" t="s">
        <v>165</v>
      </c>
      <c r="F978" t="s">
        <v>116</v>
      </c>
      <c r="G978">
        <v>0</v>
      </c>
      <c r="H978" s="6">
        <v>2</v>
      </c>
      <c r="I978" s="10">
        <v>268.31</v>
      </c>
      <c r="J978" s="10">
        <v>433.36</v>
      </c>
      <c r="K978" t="s">
        <v>46</v>
      </c>
      <c r="L978" s="3">
        <v>0.1</v>
      </c>
      <c r="M978" t="s">
        <v>61</v>
      </c>
      <c r="N978" s="10">
        <v>20.010000000000002</v>
      </c>
      <c r="O978" t="s">
        <v>101</v>
      </c>
      <c r="P978" s="5">
        <v>46096</v>
      </c>
      <c r="Q978" s="5">
        <v>46101</v>
      </c>
      <c r="S978" t="s">
        <v>54</v>
      </c>
      <c r="T978" s="6">
        <v>4</v>
      </c>
      <c r="U978" t="s">
        <v>48</v>
      </c>
      <c r="V978" s="10">
        <v>780.048</v>
      </c>
      <c r="W978" s="10">
        <v>536.62</v>
      </c>
      <c r="X978" s="10">
        <v>223.41800000000001</v>
      </c>
      <c r="Y978" s="11">
        <v>0.28641570775131792</v>
      </c>
      <c r="Z978" s="6"/>
      <c r="AA978" t="s">
        <v>56</v>
      </c>
    </row>
    <row r="979" spans="1:27" x14ac:dyDescent="0.25">
      <c r="A979" t="s">
        <v>1120</v>
      </c>
      <c r="B979">
        <v>116</v>
      </c>
      <c r="C979" s="9">
        <v>46095.682604166657</v>
      </c>
      <c r="D979" t="s">
        <v>114</v>
      </c>
      <c r="E979" t="s">
        <v>115</v>
      </c>
      <c r="F979" t="s">
        <v>116</v>
      </c>
      <c r="G979">
        <v>0</v>
      </c>
      <c r="H979" s="6">
        <v>1</v>
      </c>
      <c r="I979" s="10">
        <v>389.63</v>
      </c>
      <c r="J979" s="10">
        <v>607.73</v>
      </c>
      <c r="L979" s="3">
        <v>0</v>
      </c>
      <c r="M979" t="s">
        <v>31</v>
      </c>
      <c r="N979" s="10">
        <v>17.489999999999998</v>
      </c>
      <c r="O979" t="s">
        <v>68</v>
      </c>
      <c r="P979" s="5">
        <v>46097</v>
      </c>
      <c r="Q979" s="5">
        <v>46102</v>
      </c>
      <c r="R979" s="5">
        <v>46101</v>
      </c>
      <c r="S979" t="s">
        <v>33</v>
      </c>
      <c r="T979" s="6">
        <v>4</v>
      </c>
      <c r="U979" t="s">
        <v>79</v>
      </c>
      <c r="V979" s="10">
        <v>607.73</v>
      </c>
      <c r="W979" s="10">
        <v>389.63</v>
      </c>
      <c r="X979" s="10">
        <v>200.61</v>
      </c>
      <c r="Y979" s="11">
        <v>0.33009724713277278</v>
      </c>
      <c r="Z979" s="6">
        <v>-1</v>
      </c>
      <c r="AA979" t="s">
        <v>35</v>
      </c>
    </row>
    <row r="980" spans="1:27" x14ac:dyDescent="0.25">
      <c r="A980" t="s">
        <v>1121</v>
      </c>
      <c r="B980">
        <v>97</v>
      </c>
      <c r="C980" s="9">
        <v>46096.676770833343</v>
      </c>
      <c r="D980" t="s">
        <v>74</v>
      </c>
      <c r="E980" t="s">
        <v>75</v>
      </c>
      <c r="F980" t="s">
        <v>30</v>
      </c>
      <c r="G980">
        <v>2616</v>
      </c>
      <c r="H980" s="6">
        <v>3</v>
      </c>
      <c r="I980" s="10">
        <v>2736.55</v>
      </c>
      <c r="J980" s="10">
        <v>3924.55</v>
      </c>
      <c r="L980" s="3">
        <v>0</v>
      </c>
      <c r="M980" t="s">
        <v>61</v>
      </c>
      <c r="N980" s="10">
        <v>134.05000000000001</v>
      </c>
      <c r="O980" t="s">
        <v>47</v>
      </c>
      <c r="P980" s="5">
        <v>46097</v>
      </c>
      <c r="Q980" s="5">
        <v>46102</v>
      </c>
      <c r="R980" s="5">
        <v>46102</v>
      </c>
      <c r="S980" t="s">
        <v>33</v>
      </c>
      <c r="T980" s="6">
        <v>4</v>
      </c>
      <c r="U980" t="s">
        <v>79</v>
      </c>
      <c r="V980" s="10">
        <v>11773.65</v>
      </c>
      <c r="W980" s="10">
        <v>8209.6500000000015</v>
      </c>
      <c r="X980" s="10">
        <v>3429.95</v>
      </c>
      <c r="Y980" s="11">
        <v>0.29132427072318262</v>
      </c>
      <c r="Z980" s="6">
        <v>0</v>
      </c>
      <c r="AA980" t="s">
        <v>35</v>
      </c>
    </row>
    <row r="981" spans="1:27" x14ac:dyDescent="0.25">
      <c r="A981" t="s">
        <v>1122</v>
      </c>
      <c r="B981">
        <v>85</v>
      </c>
      <c r="C981" s="9">
        <v>46096.732465277782</v>
      </c>
      <c r="D981" t="s">
        <v>114</v>
      </c>
      <c r="E981" t="s">
        <v>115</v>
      </c>
      <c r="F981" t="s">
        <v>116</v>
      </c>
      <c r="G981">
        <v>0</v>
      </c>
      <c r="H981" s="6">
        <v>1</v>
      </c>
      <c r="I981" s="10">
        <v>340.15</v>
      </c>
      <c r="J981" s="10">
        <v>670.74</v>
      </c>
      <c r="L981" s="3">
        <v>0</v>
      </c>
      <c r="M981" t="s">
        <v>76</v>
      </c>
      <c r="N981" s="10">
        <v>17.88</v>
      </c>
      <c r="O981" t="s">
        <v>40</v>
      </c>
      <c r="P981" s="5">
        <v>46098</v>
      </c>
      <c r="Q981" s="5">
        <v>46106</v>
      </c>
      <c r="S981" t="s">
        <v>161</v>
      </c>
      <c r="T981" s="6">
        <v>2</v>
      </c>
      <c r="U981" t="s">
        <v>461</v>
      </c>
      <c r="V981" s="10">
        <v>670.74</v>
      </c>
      <c r="W981" s="10">
        <v>340.15</v>
      </c>
      <c r="X981" s="10">
        <v>312.70999999999998</v>
      </c>
      <c r="Y981" s="11">
        <v>0.46621641768792682</v>
      </c>
      <c r="Z981" s="6"/>
      <c r="AA981" t="s">
        <v>56</v>
      </c>
    </row>
    <row r="982" spans="1:27" x14ac:dyDescent="0.25">
      <c r="A982" t="s">
        <v>1123</v>
      </c>
      <c r="B982">
        <v>90</v>
      </c>
      <c r="C982" s="9">
        <v>46096.830046296287</v>
      </c>
      <c r="D982" t="s">
        <v>137</v>
      </c>
      <c r="E982" t="s">
        <v>138</v>
      </c>
      <c r="F982" t="s">
        <v>52</v>
      </c>
      <c r="G982">
        <v>403</v>
      </c>
      <c r="H982" s="6">
        <v>1</v>
      </c>
      <c r="I982" s="10">
        <v>117.51</v>
      </c>
      <c r="J982" s="10">
        <v>149.29</v>
      </c>
      <c r="K982" t="s">
        <v>60</v>
      </c>
      <c r="L982" s="3">
        <v>0.2</v>
      </c>
      <c r="M982" t="s">
        <v>39</v>
      </c>
      <c r="N982" s="10">
        <v>46.56</v>
      </c>
      <c r="O982" t="s">
        <v>99</v>
      </c>
      <c r="P982" s="5">
        <v>46098</v>
      </c>
      <c r="Q982" s="5">
        <v>46103</v>
      </c>
      <c r="R982" s="5">
        <v>46101</v>
      </c>
      <c r="S982" t="s">
        <v>33</v>
      </c>
      <c r="T982" s="6">
        <v>5</v>
      </c>
      <c r="U982" t="s">
        <v>34</v>
      </c>
      <c r="V982" s="10">
        <v>119.432</v>
      </c>
      <c r="W982" s="10">
        <v>117.51</v>
      </c>
      <c r="X982" s="10">
        <v>-44.638000000000012</v>
      </c>
      <c r="Y982" s="11">
        <v>-0.37375242815995718</v>
      </c>
      <c r="Z982" s="6">
        <v>-2</v>
      </c>
      <c r="AA982" t="s">
        <v>35</v>
      </c>
    </row>
    <row r="983" spans="1:27" x14ac:dyDescent="0.25">
      <c r="A983" t="s">
        <v>1124</v>
      </c>
      <c r="B983">
        <v>89</v>
      </c>
      <c r="C983" s="9">
        <v>46098.338599537034</v>
      </c>
      <c r="D983" t="s">
        <v>95</v>
      </c>
      <c r="E983" t="s">
        <v>96</v>
      </c>
      <c r="F983" t="s">
        <v>52</v>
      </c>
      <c r="G983">
        <v>516</v>
      </c>
      <c r="H983" s="6">
        <v>2</v>
      </c>
      <c r="I983" s="10">
        <v>25.19</v>
      </c>
      <c r="J983" s="10">
        <v>91.22</v>
      </c>
      <c r="K983" t="s">
        <v>46</v>
      </c>
      <c r="L983" s="3">
        <v>0.1</v>
      </c>
      <c r="M983" t="s">
        <v>76</v>
      </c>
      <c r="N983" s="10">
        <v>42.14</v>
      </c>
      <c r="O983" t="s">
        <v>62</v>
      </c>
      <c r="P983" s="5">
        <v>46099</v>
      </c>
      <c r="Q983" s="5">
        <v>46109</v>
      </c>
      <c r="R983" s="5">
        <v>46102</v>
      </c>
      <c r="S983" t="s">
        <v>33</v>
      </c>
      <c r="T983" s="6">
        <v>4</v>
      </c>
      <c r="U983" t="s">
        <v>79</v>
      </c>
      <c r="V983" s="10">
        <v>164.196</v>
      </c>
      <c r="W983" s="10">
        <v>50.38</v>
      </c>
      <c r="X983" s="10">
        <v>71.676000000000002</v>
      </c>
      <c r="Y983" s="11">
        <v>0.43652707739530799</v>
      </c>
      <c r="Z983" s="6">
        <v>-7</v>
      </c>
      <c r="AA983" t="s">
        <v>35</v>
      </c>
    </row>
    <row r="984" spans="1:27" x14ac:dyDescent="0.25">
      <c r="A984" t="s">
        <v>1125</v>
      </c>
      <c r="B984">
        <v>150</v>
      </c>
      <c r="C984" s="9">
        <v>46099.257002314807</v>
      </c>
      <c r="D984" t="s">
        <v>37</v>
      </c>
      <c r="E984" t="s">
        <v>38</v>
      </c>
      <c r="F984" t="s">
        <v>30</v>
      </c>
      <c r="G984">
        <v>2566</v>
      </c>
      <c r="H984" s="6">
        <v>2</v>
      </c>
      <c r="I984" s="10">
        <v>775.25</v>
      </c>
      <c r="J984" s="10">
        <v>1101.8399999999999</v>
      </c>
      <c r="L984" s="3">
        <v>0</v>
      </c>
      <c r="M984" t="s">
        <v>76</v>
      </c>
      <c r="N984" s="10">
        <v>116.63</v>
      </c>
      <c r="O984" t="s">
        <v>47</v>
      </c>
      <c r="P984" s="5">
        <v>46100</v>
      </c>
      <c r="Q984" s="5">
        <v>46105</v>
      </c>
      <c r="R984" s="5">
        <v>46102</v>
      </c>
      <c r="S984" t="s">
        <v>33</v>
      </c>
      <c r="T984" s="6">
        <v>5</v>
      </c>
      <c r="U984" t="s">
        <v>117</v>
      </c>
      <c r="V984" s="10">
        <v>2203.6799999999998</v>
      </c>
      <c r="W984" s="10">
        <v>1550.5</v>
      </c>
      <c r="X984" s="10">
        <v>536.54999999999984</v>
      </c>
      <c r="Y984" s="11">
        <v>0.2434790895229797</v>
      </c>
      <c r="Z984" s="6">
        <v>-3</v>
      </c>
      <c r="AA984" t="s">
        <v>35</v>
      </c>
    </row>
    <row r="985" spans="1:27" x14ac:dyDescent="0.25">
      <c r="A985" t="s">
        <v>1126</v>
      </c>
      <c r="B985">
        <v>152</v>
      </c>
      <c r="C985" s="9">
        <v>46100.234930555547</v>
      </c>
      <c r="D985" t="s">
        <v>105</v>
      </c>
      <c r="E985" t="s">
        <v>106</v>
      </c>
      <c r="F985" t="s">
        <v>30</v>
      </c>
      <c r="G985">
        <v>2092</v>
      </c>
      <c r="H985" s="6">
        <v>3</v>
      </c>
      <c r="I985" s="10">
        <v>385.65</v>
      </c>
      <c r="J985" s="10">
        <v>565.59</v>
      </c>
      <c r="K985" t="s">
        <v>60</v>
      </c>
      <c r="L985" s="3">
        <v>0.2</v>
      </c>
      <c r="M985" t="s">
        <v>39</v>
      </c>
      <c r="N985" s="10">
        <v>71.349999999999994</v>
      </c>
      <c r="O985" t="s">
        <v>97</v>
      </c>
      <c r="P985" s="5">
        <v>46102</v>
      </c>
      <c r="Q985" s="5">
        <v>46110</v>
      </c>
      <c r="R985" s="5">
        <v>46113</v>
      </c>
      <c r="S985" t="s">
        <v>33</v>
      </c>
      <c r="T985" s="6">
        <v>1</v>
      </c>
      <c r="U985" t="s">
        <v>102</v>
      </c>
      <c r="V985" s="10">
        <v>1357.4159999999999</v>
      </c>
      <c r="W985" s="10">
        <v>1156.95</v>
      </c>
      <c r="X985" s="10">
        <v>129.11600000000041</v>
      </c>
      <c r="Y985" s="11">
        <v>9.5118961320627082E-2</v>
      </c>
      <c r="Z985" s="6">
        <v>3</v>
      </c>
      <c r="AA985" t="s">
        <v>103</v>
      </c>
    </row>
    <row r="986" spans="1:27" x14ac:dyDescent="0.25">
      <c r="A986" t="s">
        <v>1127</v>
      </c>
      <c r="B986">
        <v>124</v>
      </c>
      <c r="C986" s="9">
        <v>46100.473356481481</v>
      </c>
      <c r="D986" t="s">
        <v>105</v>
      </c>
      <c r="E986" t="s">
        <v>106</v>
      </c>
      <c r="F986" t="s">
        <v>30</v>
      </c>
      <c r="G986">
        <v>2099</v>
      </c>
      <c r="H986" s="6">
        <v>3</v>
      </c>
      <c r="I986" s="10">
        <v>260.94</v>
      </c>
      <c r="J986" s="10">
        <v>511.26</v>
      </c>
      <c r="L986" s="3">
        <v>0</v>
      </c>
      <c r="M986" t="s">
        <v>61</v>
      </c>
      <c r="N986" s="10">
        <v>93.06</v>
      </c>
      <c r="O986" t="s">
        <v>47</v>
      </c>
      <c r="P986" s="5">
        <v>46102</v>
      </c>
      <c r="Q986" s="5">
        <v>46112</v>
      </c>
      <c r="R986" s="5">
        <v>46110</v>
      </c>
      <c r="S986" t="s">
        <v>33</v>
      </c>
      <c r="T986" s="6">
        <v>4</v>
      </c>
      <c r="U986" t="s">
        <v>112</v>
      </c>
      <c r="V986" s="10">
        <v>1533.78</v>
      </c>
      <c r="W986" s="10">
        <v>782.81999999999994</v>
      </c>
      <c r="X986" s="10">
        <v>657.90000000000009</v>
      </c>
      <c r="Y986" s="11">
        <v>0.42894026522708611</v>
      </c>
      <c r="Z986" s="6">
        <v>-2</v>
      </c>
      <c r="AA986" t="s">
        <v>35</v>
      </c>
    </row>
    <row r="987" spans="1:27" x14ac:dyDescent="0.25">
      <c r="A987" t="s">
        <v>1128</v>
      </c>
      <c r="B987">
        <v>18</v>
      </c>
      <c r="C987" s="9">
        <v>46101.401006944441</v>
      </c>
      <c r="D987" t="s">
        <v>92</v>
      </c>
      <c r="E987" t="s">
        <v>93</v>
      </c>
      <c r="F987" t="s">
        <v>52</v>
      </c>
      <c r="G987">
        <v>243</v>
      </c>
      <c r="H987" s="6">
        <v>2</v>
      </c>
      <c r="I987" s="10">
        <v>32.17</v>
      </c>
      <c r="J987" s="10">
        <v>110.43</v>
      </c>
      <c r="L987" s="3">
        <v>0</v>
      </c>
      <c r="M987" t="s">
        <v>61</v>
      </c>
      <c r="N987" s="10">
        <v>24.35</v>
      </c>
      <c r="O987" t="s">
        <v>40</v>
      </c>
      <c r="P987" s="5">
        <v>46103</v>
      </c>
      <c r="Q987" s="5">
        <v>46111</v>
      </c>
      <c r="R987" s="5">
        <v>46111</v>
      </c>
      <c r="S987" t="s">
        <v>33</v>
      </c>
      <c r="T987" s="6">
        <v>4</v>
      </c>
      <c r="U987" t="s">
        <v>166</v>
      </c>
      <c r="V987" s="10">
        <v>220.86</v>
      </c>
      <c r="W987" s="10">
        <v>64.34</v>
      </c>
      <c r="X987" s="10">
        <v>132.16999999999999</v>
      </c>
      <c r="Y987" s="11">
        <v>0.59843339672190532</v>
      </c>
      <c r="Z987" s="6">
        <v>0</v>
      </c>
      <c r="AA987" t="s">
        <v>35</v>
      </c>
    </row>
    <row r="988" spans="1:27" x14ac:dyDescent="0.25">
      <c r="A988" t="s">
        <v>1129</v>
      </c>
      <c r="B988">
        <v>26</v>
      </c>
      <c r="C988" s="9">
        <v>46101.609988425917</v>
      </c>
      <c r="D988" t="s">
        <v>89</v>
      </c>
      <c r="E988" t="s">
        <v>90</v>
      </c>
      <c r="F988" t="s">
        <v>52</v>
      </c>
      <c r="G988">
        <v>239</v>
      </c>
      <c r="H988" s="6">
        <v>2</v>
      </c>
      <c r="I988" s="10">
        <v>98.85</v>
      </c>
      <c r="J988" s="10">
        <v>155.99</v>
      </c>
      <c r="L988" s="3">
        <v>0</v>
      </c>
      <c r="M988" t="s">
        <v>39</v>
      </c>
      <c r="N988" s="10">
        <v>34.79</v>
      </c>
      <c r="O988" t="s">
        <v>62</v>
      </c>
      <c r="P988" s="5">
        <v>46103</v>
      </c>
      <c r="Q988" s="5">
        <v>46111</v>
      </c>
      <c r="S988" t="s">
        <v>54</v>
      </c>
      <c r="T988" s="6">
        <v>2</v>
      </c>
      <c r="U988" t="s">
        <v>258</v>
      </c>
      <c r="V988" s="10">
        <v>311.98</v>
      </c>
      <c r="W988" s="10">
        <v>197.7</v>
      </c>
      <c r="X988" s="10">
        <v>79.490000000000038</v>
      </c>
      <c r="Y988" s="11">
        <v>0.25479197384447733</v>
      </c>
      <c r="Z988" s="6"/>
      <c r="AA988" t="s">
        <v>56</v>
      </c>
    </row>
    <row r="989" spans="1:27" x14ac:dyDescent="0.25">
      <c r="A989" t="s">
        <v>1130</v>
      </c>
      <c r="B989">
        <v>58</v>
      </c>
      <c r="C989" s="9">
        <v>46101.614317129628</v>
      </c>
      <c r="D989" t="s">
        <v>37</v>
      </c>
      <c r="E989" t="s">
        <v>38</v>
      </c>
      <c r="F989" t="s">
        <v>30</v>
      </c>
      <c r="G989">
        <v>2296</v>
      </c>
      <c r="H989" s="6">
        <v>3</v>
      </c>
      <c r="I989" s="10">
        <v>565.83000000000004</v>
      </c>
      <c r="J989" s="10">
        <v>1149.1300000000001</v>
      </c>
      <c r="L989" s="3">
        <v>0</v>
      </c>
      <c r="M989" t="s">
        <v>39</v>
      </c>
      <c r="N989" s="10">
        <v>67.33</v>
      </c>
      <c r="O989" t="s">
        <v>99</v>
      </c>
      <c r="P989" s="5">
        <v>46102</v>
      </c>
      <c r="Q989" s="5">
        <v>46109</v>
      </c>
      <c r="R989" s="5">
        <v>46105</v>
      </c>
      <c r="S989" t="s">
        <v>33</v>
      </c>
      <c r="T989" s="6">
        <v>4</v>
      </c>
      <c r="U989" t="s">
        <v>172</v>
      </c>
      <c r="V989" s="10">
        <v>3447.39</v>
      </c>
      <c r="W989" s="10">
        <v>1697.49</v>
      </c>
      <c r="X989" s="10">
        <v>1682.57</v>
      </c>
      <c r="Y989" s="11">
        <v>0.48807068535906872</v>
      </c>
      <c r="Z989" s="6">
        <v>-4</v>
      </c>
      <c r="AA989" t="s">
        <v>35</v>
      </c>
    </row>
    <row r="990" spans="1:27" x14ac:dyDescent="0.25">
      <c r="A990" t="s">
        <v>1131</v>
      </c>
      <c r="B990">
        <v>48</v>
      </c>
      <c r="C990" s="9">
        <v>46101.901388888888</v>
      </c>
      <c r="D990" t="s">
        <v>37</v>
      </c>
      <c r="E990" t="s">
        <v>38</v>
      </c>
      <c r="F990" t="s">
        <v>30</v>
      </c>
      <c r="G990">
        <v>2177</v>
      </c>
      <c r="H990" s="6">
        <v>3</v>
      </c>
      <c r="I990" s="10">
        <v>801.6</v>
      </c>
      <c r="J990" s="10">
        <v>1403.66</v>
      </c>
      <c r="L990" s="3">
        <v>0</v>
      </c>
      <c r="M990" t="s">
        <v>76</v>
      </c>
      <c r="N990" s="10">
        <v>56.29</v>
      </c>
      <c r="O990" t="s">
        <v>157</v>
      </c>
      <c r="P990" s="5">
        <v>46102</v>
      </c>
      <c r="Q990" s="5">
        <v>46107</v>
      </c>
      <c r="S990" t="s">
        <v>54</v>
      </c>
      <c r="T990" s="6">
        <v>3</v>
      </c>
      <c r="U990" t="s">
        <v>352</v>
      </c>
      <c r="V990" s="10">
        <v>4210.9799999999996</v>
      </c>
      <c r="W990" s="10">
        <v>2404.8000000000002</v>
      </c>
      <c r="X990" s="10">
        <v>1749.89</v>
      </c>
      <c r="Y990" s="11">
        <v>0.41555409904582791</v>
      </c>
      <c r="Z990" s="6"/>
      <c r="AA990" t="s">
        <v>56</v>
      </c>
    </row>
    <row r="991" spans="1:27" x14ac:dyDescent="0.25">
      <c r="A991" t="s">
        <v>1132</v>
      </c>
      <c r="B991">
        <v>91</v>
      </c>
      <c r="C991" s="9">
        <v>46102.351875</v>
      </c>
      <c r="D991" t="s">
        <v>28</v>
      </c>
      <c r="E991" t="s">
        <v>29</v>
      </c>
      <c r="F991" t="s">
        <v>30</v>
      </c>
      <c r="G991">
        <v>2756</v>
      </c>
      <c r="H991" s="6">
        <v>1</v>
      </c>
      <c r="I991" s="10">
        <v>1699.1</v>
      </c>
      <c r="J991" s="10">
        <v>3511.01</v>
      </c>
      <c r="L991" s="3">
        <v>0</v>
      </c>
      <c r="M991" t="s">
        <v>31</v>
      </c>
      <c r="N991" s="10">
        <v>109.73</v>
      </c>
      <c r="O991" t="s">
        <v>150</v>
      </c>
      <c r="P991" s="5">
        <v>46103</v>
      </c>
      <c r="Q991" s="5">
        <v>46113</v>
      </c>
      <c r="S991" t="s">
        <v>54</v>
      </c>
      <c r="T991" s="6">
        <v>4</v>
      </c>
      <c r="U991" t="s">
        <v>117</v>
      </c>
      <c r="V991" s="10">
        <v>3511.01</v>
      </c>
      <c r="W991" s="10">
        <v>1699.1</v>
      </c>
      <c r="X991" s="10">
        <v>1702.18</v>
      </c>
      <c r="Y991" s="11">
        <v>0.48481206262585408</v>
      </c>
      <c r="Z991" s="6"/>
      <c r="AA991" t="s">
        <v>56</v>
      </c>
    </row>
    <row r="992" spans="1:27" x14ac:dyDescent="0.25">
      <c r="A992" t="s">
        <v>1133</v>
      </c>
      <c r="B992">
        <v>169</v>
      </c>
      <c r="C992" s="9">
        <v>46102.620243055557</v>
      </c>
      <c r="D992" t="s">
        <v>155</v>
      </c>
      <c r="E992" t="s">
        <v>156</v>
      </c>
      <c r="F992" t="s">
        <v>30</v>
      </c>
      <c r="G992">
        <v>4585</v>
      </c>
      <c r="H992" s="6">
        <v>3</v>
      </c>
      <c r="I992" s="10">
        <v>950.82</v>
      </c>
      <c r="J992" s="10">
        <v>1951.89</v>
      </c>
      <c r="K992" t="s">
        <v>46</v>
      </c>
      <c r="L992" s="3">
        <v>0.1</v>
      </c>
      <c r="M992" t="s">
        <v>39</v>
      </c>
      <c r="N992" s="10">
        <v>123.13</v>
      </c>
      <c r="O992" t="s">
        <v>99</v>
      </c>
      <c r="P992" s="5">
        <v>46104</v>
      </c>
      <c r="Q992" s="5">
        <v>46114</v>
      </c>
      <c r="R992" s="5">
        <v>46110</v>
      </c>
      <c r="S992" t="s">
        <v>33</v>
      </c>
      <c r="T992" s="6">
        <v>5</v>
      </c>
      <c r="U992" t="s">
        <v>127</v>
      </c>
      <c r="V992" s="10">
        <v>5270.1030000000001</v>
      </c>
      <c r="W992" s="10">
        <v>2852.46</v>
      </c>
      <c r="X992" s="10">
        <v>2294.5129999999999</v>
      </c>
      <c r="Y992" s="11">
        <v>0.43538295171840091</v>
      </c>
      <c r="Z992" s="6">
        <v>-4</v>
      </c>
      <c r="AA992" t="s">
        <v>35</v>
      </c>
    </row>
    <row r="993" spans="1:27" x14ac:dyDescent="0.25">
      <c r="A993" t="s">
        <v>1134</v>
      </c>
      <c r="B993">
        <v>190</v>
      </c>
      <c r="C993" s="9">
        <v>46103.313368055547</v>
      </c>
      <c r="D993" t="s">
        <v>155</v>
      </c>
      <c r="E993" t="s">
        <v>156</v>
      </c>
      <c r="F993" t="s">
        <v>30</v>
      </c>
      <c r="G993">
        <v>3787</v>
      </c>
      <c r="H993" s="6">
        <v>2</v>
      </c>
      <c r="I993" s="10">
        <v>980.05</v>
      </c>
      <c r="J993" s="10">
        <v>1222.83</v>
      </c>
      <c r="L993" s="3">
        <v>0</v>
      </c>
      <c r="M993" t="s">
        <v>39</v>
      </c>
      <c r="N993" s="10">
        <v>142.57</v>
      </c>
      <c r="O993" t="s">
        <v>264</v>
      </c>
      <c r="P993" s="5">
        <v>46104</v>
      </c>
      <c r="Q993" s="5">
        <v>46109</v>
      </c>
      <c r="R993" s="5">
        <v>46106</v>
      </c>
      <c r="S993" t="s">
        <v>33</v>
      </c>
      <c r="T993" s="6">
        <v>4</v>
      </c>
      <c r="U993" t="s">
        <v>41</v>
      </c>
      <c r="V993" s="10">
        <v>2445.66</v>
      </c>
      <c r="W993" s="10">
        <v>1960.1</v>
      </c>
      <c r="X993" s="10">
        <v>342.99</v>
      </c>
      <c r="Y993" s="11">
        <v>0.1402443512180761</v>
      </c>
      <c r="Z993" s="6">
        <v>-3</v>
      </c>
      <c r="AA993" t="s">
        <v>35</v>
      </c>
    </row>
    <row r="994" spans="1:27" x14ac:dyDescent="0.25">
      <c r="A994" t="s">
        <v>1135</v>
      </c>
      <c r="B994">
        <v>62</v>
      </c>
      <c r="C994" s="9">
        <v>46103.401678240742</v>
      </c>
      <c r="D994" t="s">
        <v>198</v>
      </c>
      <c r="E994" t="s">
        <v>199</v>
      </c>
      <c r="F994" t="s">
        <v>116</v>
      </c>
      <c r="G994">
        <v>0</v>
      </c>
      <c r="H994" s="6">
        <v>3</v>
      </c>
      <c r="I994" s="10">
        <v>482.22</v>
      </c>
      <c r="J994" s="10">
        <v>578.83000000000004</v>
      </c>
      <c r="K994" t="s">
        <v>60</v>
      </c>
      <c r="L994" s="3">
        <v>0.2</v>
      </c>
      <c r="M994" t="s">
        <v>39</v>
      </c>
      <c r="N994" s="10">
        <v>21.8</v>
      </c>
      <c r="O994" t="s">
        <v>62</v>
      </c>
      <c r="P994" s="5">
        <v>46104</v>
      </c>
      <c r="Q994" s="5">
        <v>46114</v>
      </c>
      <c r="S994" t="s">
        <v>63</v>
      </c>
      <c r="T994" s="6">
        <v>2</v>
      </c>
      <c r="U994" t="s">
        <v>461</v>
      </c>
      <c r="V994" s="10">
        <v>1389.192</v>
      </c>
      <c r="W994" s="10">
        <v>1446.66</v>
      </c>
      <c r="X994" s="10">
        <v>-79.267999999999844</v>
      </c>
      <c r="Y994" s="11">
        <v>-5.706050711492712E-2</v>
      </c>
      <c r="Z994" s="6"/>
      <c r="AA994" t="s">
        <v>56</v>
      </c>
    </row>
    <row r="995" spans="1:27" x14ac:dyDescent="0.25">
      <c r="A995" t="s">
        <v>1136</v>
      </c>
      <c r="B995">
        <v>164</v>
      </c>
      <c r="C995" s="9">
        <v>46103.424363425933</v>
      </c>
      <c r="D995" t="s">
        <v>81</v>
      </c>
      <c r="E995" t="s">
        <v>82</v>
      </c>
      <c r="F995" t="s">
        <v>45</v>
      </c>
      <c r="G995">
        <v>0</v>
      </c>
      <c r="H995" s="6">
        <v>1</v>
      </c>
      <c r="I995" s="10">
        <v>76.19</v>
      </c>
      <c r="J995" s="10">
        <v>248.79</v>
      </c>
      <c r="K995" t="s">
        <v>60</v>
      </c>
      <c r="L995" s="3">
        <v>0.2</v>
      </c>
      <c r="M995" t="s">
        <v>31</v>
      </c>
      <c r="N995" s="10">
        <v>18.45</v>
      </c>
      <c r="O995" t="s">
        <v>40</v>
      </c>
      <c r="P995" s="5">
        <v>46104</v>
      </c>
      <c r="Q995" s="5">
        <v>46109</v>
      </c>
      <c r="R995" s="5">
        <v>46114</v>
      </c>
      <c r="S995" t="s">
        <v>33</v>
      </c>
      <c r="T995" s="6">
        <v>1</v>
      </c>
      <c r="U995" t="s">
        <v>170</v>
      </c>
      <c r="V995" s="10">
        <v>199.03200000000001</v>
      </c>
      <c r="W995" s="10">
        <v>76.19</v>
      </c>
      <c r="X995" s="10">
        <v>104.392</v>
      </c>
      <c r="Y995" s="11">
        <v>0.5244985730937739</v>
      </c>
      <c r="Z995" s="6">
        <v>5</v>
      </c>
      <c r="AA995" t="s">
        <v>103</v>
      </c>
    </row>
    <row r="996" spans="1:27" x14ac:dyDescent="0.25">
      <c r="A996" t="s">
        <v>1137</v>
      </c>
      <c r="B996">
        <v>1</v>
      </c>
      <c r="C996" s="9">
        <v>46103.986354166656</v>
      </c>
      <c r="D996" t="s">
        <v>66</v>
      </c>
      <c r="E996" t="s">
        <v>67</v>
      </c>
      <c r="F996" t="s">
        <v>52</v>
      </c>
      <c r="G996">
        <v>267</v>
      </c>
      <c r="H996" s="6">
        <v>2</v>
      </c>
      <c r="I996" s="10">
        <v>36.82</v>
      </c>
      <c r="J996" s="10">
        <v>119.15</v>
      </c>
      <c r="L996" s="3">
        <v>0</v>
      </c>
      <c r="M996" t="s">
        <v>61</v>
      </c>
      <c r="N996" s="10">
        <v>48.15</v>
      </c>
      <c r="O996" t="s">
        <v>83</v>
      </c>
      <c r="P996" s="5">
        <v>46105</v>
      </c>
      <c r="Q996" s="5">
        <v>46115</v>
      </c>
      <c r="S996" t="s">
        <v>63</v>
      </c>
      <c r="T996" s="6">
        <v>2</v>
      </c>
      <c r="U996" t="s">
        <v>129</v>
      </c>
      <c r="V996" s="10">
        <v>238.3</v>
      </c>
      <c r="W996" s="10">
        <v>73.64</v>
      </c>
      <c r="X996" s="10">
        <v>116.51</v>
      </c>
      <c r="Y996" s="11">
        <v>0.48892152748636181</v>
      </c>
      <c r="Z996" s="6"/>
      <c r="AA996" t="s">
        <v>56</v>
      </c>
    </row>
    <row r="997" spans="1:27" x14ac:dyDescent="0.25">
      <c r="A997" t="s">
        <v>1138</v>
      </c>
      <c r="B997">
        <v>157</v>
      </c>
      <c r="C997" s="9">
        <v>46106.45385416667</v>
      </c>
      <c r="D997" t="s">
        <v>86</v>
      </c>
      <c r="E997" t="s">
        <v>87</v>
      </c>
      <c r="F997" t="s">
        <v>45</v>
      </c>
      <c r="G997">
        <v>0</v>
      </c>
      <c r="H997" s="6">
        <v>3</v>
      </c>
      <c r="I997" s="10">
        <v>61.74</v>
      </c>
      <c r="J997" s="10">
        <v>178.96</v>
      </c>
      <c r="L997" s="3">
        <v>0</v>
      </c>
      <c r="M997" t="s">
        <v>61</v>
      </c>
      <c r="N997" s="10">
        <v>16.649999999999999</v>
      </c>
      <c r="O997" t="s">
        <v>126</v>
      </c>
      <c r="P997" s="5">
        <v>46107</v>
      </c>
      <c r="Q997" s="5">
        <v>46112</v>
      </c>
      <c r="R997" s="5">
        <v>46114</v>
      </c>
      <c r="S997" t="s">
        <v>33</v>
      </c>
      <c r="T997" s="6">
        <v>1</v>
      </c>
      <c r="U997" t="s">
        <v>248</v>
      </c>
      <c r="V997" s="10">
        <v>536.88</v>
      </c>
      <c r="W997" s="10">
        <v>185.22</v>
      </c>
      <c r="X997" s="10">
        <v>335.01</v>
      </c>
      <c r="Y997" s="11">
        <v>0.62399418864550737</v>
      </c>
      <c r="Z997" s="6">
        <v>2</v>
      </c>
      <c r="AA997" t="s">
        <v>103</v>
      </c>
    </row>
    <row r="998" spans="1:27" x14ac:dyDescent="0.25">
      <c r="A998" t="s">
        <v>1139</v>
      </c>
      <c r="B998">
        <v>181</v>
      </c>
      <c r="C998" s="9">
        <v>46106.740995370368</v>
      </c>
      <c r="D998" t="s">
        <v>155</v>
      </c>
      <c r="E998" t="s">
        <v>156</v>
      </c>
      <c r="F998" t="s">
        <v>30</v>
      </c>
      <c r="G998">
        <v>4734</v>
      </c>
      <c r="H998" s="6">
        <v>1</v>
      </c>
      <c r="I998" s="10">
        <v>643.24</v>
      </c>
      <c r="J998" s="10">
        <v>1981.07</v>
      </c>
      <c r="L998" s="3">
        <v>0</v>
      </c>
      <c r="M998" t="s">
        <v>39</v>
      </c>
      <c r="N998" s="10">
        <v>85.72</v>
      </c>
      <c r="O998" t="s">
        <v>97</v>
      </c>
      <c r="P998" s="5">
        <v>46107</v>
      </c>
      <c r="Q998" s="5">
        <v>46117</v>
      </c>
      <c r="R998" s="5">
        <v>46115</v>
      </c>
      <c r="S998" t="s">
        <v>33</v>
      </c>
      <c r="T998" s="6">
        <v>5</v>
      </c>
      <c r="U998" t="s">
        <v>34</v>
      </c>
      <c r="V998" s="10">
        <v>1981.07</v>
      </c>
      <c r="W998" s="10">
        <v>643.24</v>
      </c>
      <c r="X998" s="10">
        <v>1252.1099999999999</v>
      </c>
      <c r="Y998" s="11">
        <v>0.63203723240471055</v>
      </c>
      <c r="Z998" s="6">
        <v>-2</v>
      </c>
      <c r="AA998" t="s">
        <v>35</v>
      </c>
    </row>
    <row r="999" spans="1:27" x14ac:dyDescent="0.25">
      <c r="A999" t="s">
        <v>1140</v>
      </c>
      <c r="B999">
        <v>52</v>
      </c>
      <c r="C999" s="9">
        <v>46107.695532407408</v>
      </c>
      <c r="D999" t="s">
        <v>71</v>
      </c>
      <c r="E999" t="s">
        <v>72</v>
      </c>
      <c r="F999" t="s">
        <v>52</v>
      </c>
      <c r="G999">
        <v>307</v>
      </c>
      <c r="H999" s="6">
        <v>1</v>
      </c>
      <c r="I999" s="10">
        <v>39.21</v>
      </c>
      <c r="J999" s="10">
        <v>87.25</v>
      </c>
      <c r="L999" s="3">
        <v>0</v>
      </c>
      <c r="M999" t="s">
        <v>61</v>
      </c>
      <c r="N999" s="10">
        <v>27.1</v>
      </c>
      <c r="O999" t="s">
        <v>47</v>
      </c>
      <c r="P999" s="5">
        <v>46108</v>
      </c>
      <c r="Q999" s="5">
        <v>46115</v>
      </c>
      <c r="R999" s="5">
        <v>46120</v>
      </c>
      <c r="S999" t="s">
        <v>33</v>
      </c>
      <c r="T999" s="6">
        <v>2</v>
      </c>
      <c r="U999" t="s">
        <v>102</v>
      </c>
      <c r="V999" s="10">
        <v>87.25</v>
      </c>
      <c r="W999" s="10">
        <v>39.21</v>
      </c>
      <c r="X999" s="10">
        <v>20.94</v>
      </c>
      <c r="Y999" s="11">
        <v>0.24</v>
      </c>
      <c r="Z999" s="6">
        <v>5</v>
      </c>
      <c r="AA999" t="s">
        <v>103</v>
      </c>
    </row>
    <row r="1000" spans="1:27" x14ac:dyDescent="0.25">
      <c r="A1000" t="s">
        <v>1141</v>
      </c>
      <c r="B1000">
        <v>154</v>
      </c>
      <c r="C1000" s="9">
        <v>46107.709479166668</v>
      </c>
      <c r="D1000" t="s">
        <v>50</v>
      </c>
      <c r="E1000" t="s">
        <v>51</v>
      </c>
      <c r="F1000" t="s">
        <v>52</v>
      </c>
      <c r="G1000">
        <v>743</v>
      </c>
      <c r="H1000" s="6">
        <v>3</v>
      </c>
      <c r="I1000" s="10">
        <v>189.48</v>
      </c>
      <c r="J1000" s="10">
        <v>246.85</v>
      </c>
      <c r="K1000" t="s">
        <v>60</v>
      </c>
      <c r="L1000" s="3">
        <v>0.2</v>
      </c>
      <c r="M1000" t="s">
        <v>61</v>
      </c>
      <c r="N1000" s="10">
        <v>44.13</v>
      </c>
      <c r="O1000" t="s">
        <v>126</v>
      </c>
      <c r="P1000" s="5">
        <v>46108</v>
      </c>
      <c r="Q1000" s="5">
        <v>46115</v>
      </c>
      <c r="R1000" s="5">
        <v>46110</v>
      </c>
      <c r="S1000" t="s">
        <v>33</v>
      </c>
      <c r="T1000" s="6">
        <v>5</v>
      </c>
      <c r="U1000" t="s">
        <v>119</v>
      </c>
      <c r="V1000" s="10">
        <v>592.43999999999994</v>
      </c>
      <c r="W1000" s="10">
        <v>568.43999999999994</v>
      </c>
      <c r="X1000" s="10">
        <v>-20.13</v>
      </c>
      <c r="Y1000" s="11">
        <v>-3.3978124367024513E-2</v>
      </c>
      <c r="Z1000" s="6">
        <v>-5</v>
      </c>
      <c r="AA1000" t="s">
        <v>35</v>
      </c>
    </row>
    <row r="1001" spans="1:27" x14ac:dyDescent="0.25">
      <c r="A1001" t="s">
        <v>1142</v>
      </c>
      <c r="B1001">
        <v>104</v>
      </c>
      <c r="C1001" s="9">
        <v>46107.732939814807</v>
      </c>
      <c r="D1001" t="s">
        <v>28</v>
      </c>
      <c r="E1001" t="s">
        <v>29</v>
      </c>
      <c r="F1001" t="s">
        <v>30</v>
      </c>
      <c r="G1001">
        <v>2516</v>
      </c>
      <c r="H1001" s="6">
        <v>2</v>
      </c>
      <c r="I1001" s="10">
        <v>2199.66</v>
      </c>
      <c r="J1001" s="10">
        <v>3442.85</v>
      </c>
      <c r="L1001" s="3">
        <v>0</v>
      </c>
      <c r="M1001" t="s">
        <v>39</v>
      </c>
      <c r="N1001" s="10">
        <v>130.35</v>
      </c>
      <c r="O1001" t="s">
        <v>97</v>
      </c>
      <c r="P1001" s="5">
        <v>46108</v>
      </c>
      <c r="Q1001" s="5">
        <v>46118</v>
      </c>
      <c r="R1001" s="5">
        <v>46111</v>
      </c>
      <c r="S1001" t="s">
        <v>33</v>
      </c>
      <c r="T1001" s="6">
        <v>5</v>
      </c>
      <c r="U1001" t="s">
        <v>69</v>
      </c>
      <c r="V1001" s="10">
        <v>6885.7</v>
      </c>
      <c r="W1001" s="10">
        <v>4399.32</v>
      </c>
      <c r="X1001" s="10">
        <v>2356.0300000000002</v>
      </c>
      <c r="Y1001" s="11">
        <v>0.34216274307623051</v>
      </c>
      <c r="Z1001" s="6">
        <v>-7</v>
      </c>
      <c r="AA1001" t="s">
        <v>35</v>
      </c>
    </row>
  </sheetData>
  <conditionalFormatting sqref="Y2:Y1001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{C967FEC0-7C7D-4DA9-8344-5337E6C728EB}</x14:id>
        </ext>
      </extLst>
    </cfRule>
  </conditionalFormatting>
  <conditionalFormatting sqref="Z1:Z1048576">
    <cfRule type="colorScale" priority="8">
      <colorScale>
        <cfvo type="min"/>
        <cfvo type="num" val="0"/>
        <cfvo type="max"/>
        <color rgb="FF92D050"/>
        <color theme="0" tint="-4.9989318521683403E-2"/>
        <color rgb="FFFF0000"/>
      </colorScale>
    </cfRule>
  </conditionalFormatting>
  <conditionalFormatting sqref="AA1:AA1048576">
    <cfRule type="containsText" dxfId="4" priority="10" operator="containsText" text="No Prazo">
      <formula>NOT(ISERROR(SEARCH("No Prazo",AA1)))</formula>
    </cfRule>
    <cfRule type="containsText" dxfId="3" priority="11" operator="containsText" text="Atrasado">
      <formula>NOT(ISERROR(SEARCH("Atrasado",AA1)))</formula>
    </cfRule>
    <cfRule type="containsText" dxfId="2" priority="12" operator="containsText" text="Em Trânsito / Pendente">
      <formula>NOT(ISERROR(SEARCH("Em Trânsito / Pendente",AA1)))</formula>
    </cfRule>
  </conditionalFormatting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2C6482EC-128C-42BC-A5CA-BFA76E9FFB4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T1:T1048576</xm:sqref>
        </x14:conditionalFormatting>
        <x14:conditionalFormatting xmlns:xm="http://schemas.microsoft.com/office/excel/2006/main">
          <x14:cfRule type="dataBar" id="{C967FEC0-7C7D-4DA9-8344-5337E6C728E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Y2:Y1001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27</v>
      </c>
      <c r="B2">
        <v>185</v>
      </c>
      <c r="C2" s="1">
        <v>45742.748784722222</v>
      </c>
      <c r="D2" t="s">
        <v>28</v>
      </c>
      <c r="E2" t="s">
        <v>29</v>
      </c>
      <c r="F2" t="s">
        <v>30</v>
      </c>
      <c r="G2">
        <v>2484</v>
      </c>
      <c r="H2">
        <v>3</v>
      </c>
      <c r="I2">
        <v>2110.4899999999998</v>
      </c>
      <c r="J2">
        <v>2711.53</v>
      </c>
      <c r="L2">
        <v>0</v>
      </c>
    </row>
    <row r="3" spans="1:12" x14ac:dyDescent="0.25">
      <c r="A3" t="s">
        <v>36</v>
      </c>
      <c r="B3">
        <v>25</v>
      </c>
      <c r="C3" s="1">
        <v>45742.818148148152</v>
      </c>
      <c r="D3" t="s">
        <v>37</v>
      </c>
      <c r="E3" t="s">
        <v>38</v>
      </c>
      <c r="F3" t="s">
        <v>30</v>
      </c>
      <c r="G3">
        <v>2347</v>
      </c>
      <c r="H3">
        <v>3</v>
      </c>
      <c r="I3">
        <v>538.74</v>
      </c>
      <c r="J3">
        <v>1360.53</v>
      </c>
      <c r="L3">
        <v>0</v>
      </c>
    </row>
    <row r="4" spans="1:12" x14ac:dyDescent="0.25">
      <c r="A4" t="s">
        <v>42</v>
      </c>
      <c r="B4">
        <v>153</v>
      </c>
      <c r="C4" s="1">
        <v>45743.344606481478</v>
      </c>
      <c r="D4" t="s">
        <v>43</v>
      </c>
      <c r="E4" t="s">
        <v>44</v>
      </c>
      <c r="F4" t="s">
        <v>45</v>
      </c>
      <c r="G4">
        <v>0</v>
      </c>
      <c r="H4">
        <v>3</v>
      </c>
      <c r="I4">
        <v>67.52</v>
      </c>
      <c r="J4">
        <v>136.22</v>
      </c>
      <c r="K4" t="s">
        <v>46</v>
      </c>
      <c r="L4">
        <v>0.1</v>
      </c>
    </row>
    <row r="5" spans="1:12" x14ac:dyDescent="0.25">
      <c r="A5" t="s">
        <v>49</v>
      </c>
      <c r="B5">
        <v>47</v>
      </c>
      <c r="C5" s="1">
        <v>45743.462337962963</v>
      </c>
      <c r="D5" t="s">
        <v>50</v>
      </c>
      <c r="E5" t="s">
        <v>51</v>
      </c>
      <c r="F5" t="s">
        <v>52</v>
      </c>
      <c r="G5">
        <v>606</v>
      </c>
      <c r="H5">
        <v>1</v>
      </c>
      <c r="I5">
        <v>99.76</v>
      </c>
      <c r="J5">
        <v>198.46</v>
      </c>
      <c r="L5">
        <v>0</v>
      </c>
    </row>
    <row r="6" spans="1:12" x14ac:dyDescent="0.25">
      <c r="A6" t="s">
        <v>57</v>
      </c>
      <c r="B6">
        <v>49</v>
      </c>
      <c r="C6" s="1">
        <v>45743.556446759263</v>
      </c>
      <c r="D6" t="s">
        <v>58</v>
      </c>
      <c r="E6" t="s">
        <v>59</v>
      </c>
      <c r="F6" t="s">
        <v>30</v>
      </c>
      <c r="G6">
        <v>4172</v>
      </c>
      <c r="H6">
        <v>1</v>
      </c>
      <c r="I6">
        <v>202.61</v>
      </c>
      <c r="J6">
        <v>531.12</v>
      </c>
      <c r="K6" t="s">
        <v>60</v>
      </c>
      <c r="L6">
        <v>0.2</v>
      </c>
    </row>
    <row r="7" spans="1:12" x14ac:dyDescent="0.25">
      <c r="A7" t="s">
        <v>65</v>
      </c>
      <c r="B7">
        <v>3</v>
      </c>
      <c r="C7" s="1">
        <v>45743.76289351852</v>
      </c>
      <c r="D7" t="s">
        <v>66</v>
      </c>
      <c r="E7" t="s">
        <v>67</v>
      </c>
      <c r="F7" t="s">
        <v>52</v>
      </c>
      <c r="G7">
        <v>219</v>
      </c>
      <c r="H7">
        <v>3</v>
      </c>
      <c r="I7">
        <v>75.680000000000007</v>
      </c>
      <c r="J7">
        <v>138.43</v>
      </c>
      <c r="L7">
        <v>0</v>
      </c>
    </row>
    <row r="8" spans="1:12" x14ac:dyDescent="0.25">
      <c r="A8" t="s">
        <v>70</v>
      </c>
      <c r="B8">
        <v>68</v>
      </c>
      <c r="C8" s="1">
        <v>45744.041539351849</v>
      </c>
      <c r="D8" t="s">
        <v>71</v>
      </c>
      <c r="E8" t="s">
        <v>72</v>
      </c>
      <c r="F8" t="s">
        <v>52</v>
      </c>
      <c r="G8">
        <v>339</v>
      </c>
      <c r="H8">
        <v>3</v>
      </c>
      <c r="I8">
        <v>70.760000000000005</v>
      </c>
      <c r="J8">
        <v>84.33</v>
      </c>
      <c r="L8">
        <v>0</v>
      </c>
    </row>
    <row r="9" spans="1:12" x14ac:dyDescent="0.25">
      <c r="A9" t="s">
        <v>73</v>
      </c>
      <c r="B9">
        <v>34</v>
      </c>
      <c r="C9" s="1">
        <v>45745.133310185192</v>
      </c>
      <c r="D9" t="s">
        <v>74</v>
      </c>
      <c r="E9" t="s">
        <v>75</v>
      </c>
      <c r="F9" t="s">
        <v>30</v>
      </c>
      <c r="G9">
        <v>2915</v>
      </c>
      <c r="H9">
        <v>3</v>
      </c>
      <c r="I9">
        <v>2932.88</v>
      </c>
      <c r="J9">
        <v>3841.75</v>
      </c>
      <c r="L9">
        <v>0</v>
      </c>
    </row>
    <row r="10" spans="1:12" x14ac:dyDescent="0.25">
      <c r="A10" t="s">
        <v>78</v>
      </c>
      <c r="B10">
        <v>99</v>
      </c>
      <c r="C10" s="1">
        <v>45745.167627314811</v>
      </c>
      <c r="D10" t="s">
        <v>28</v>
      </c>
      <c r="E10" t="s">
        <v>29</v>
      </c>
      <c r="F10" t="s">
        <v>30</v>
      </c>
      <c r="G10">
        <v>2260</v>
      </c>
      <c r="H10">
        <v>1</v>
      </c>
      <c r="I10">
        <v>2064.14</v>
      </c>
      <c r="J10">
        <v>3020.14</v>
      </c>
      <c r="K10" t="s">
        <v>60</v>
      </c>
      <c r="L10">
        <v>0.2</v>
      </c>
    </row>
    <row r="11" spans="1:12" x14ac:dyDescent="0.25">
      <c r="A11" t="s">
        <v>80</v>
      </c>
      <c r="B11">
        <v>70</v>
      </c>
      <c r="C11" s="1">
        <v>45745.198344907411</v>
      </c>
      <c r="D11" t="s">
        <v>81</v>
      </c>
      <c r="E11" t="s">
        <v>82</v>
      </c>
      <c r="F11" t="s">
        <v>45</v>
      </c>
      <c r="G11">
        <v>0</v>
      </c>
      <c r="H11">
        <v>3</v>
      </c>
      <c r="I11">
        <v>75.849999999999994</v>
      </c>
      <c r="J11">
        <v>116.37</v>
      </c>
      <c r="K11" t="s">
        <v>60</v>
      </c>
      <c r="L11">
        <v>0.2</v>
      </c>
    </row>
    <row r="12" spans="1:12" x14ac:dyDescent="0.25">
      <c r="A12" t="s">
        <v>85</v>
      </c>
      <c r="B12">
        <v>62</v>
      </c>
      <c r="C12" s="1">
        <v>45745.316365740742</v>
      </c>
      <c r="D12" t="s">
        <v>86</v>
      </c>
      <c r="E12" t="s">
        <v>87</v>
      </c>
      <c r="F12" t="s">
        <v>45</v>
      </c>
      <c r="G12">
        <v>0</v>
      </c>
      <c r="H12">
        <v>3</v>
      </c>
      <c r="I12">
        <v>74.739999999999995</v>
      </c>
      <c r="J12">
        <v>182.61</v>
      </c>
      <c r="L12">
        <v>0</v>
      </c>
    </row>
    <row r="13" spans="1:12" x14ac:dyDescent="0.25">
      <c r="A13" t="s">
        <v>88</v>
      </c>
      <c r="B13">
        <v>85</v>
      </c>
      <c r="C13" s="1">
        <v>45746.075648148151</v>
      </c>
      <c r="D13" t="s">
        <v>89</v>
      </c>
      <c r="E13" t="s">
        <v>90</v>
      </c>
      <c r="F13" t="s">
        <v>52</v>
      </c>
      <c r="G13">
        <v>264</v>
      </c>
      <c r="H13">
        <v>2</v>
      </c>
      <c r="I13">
        <v>47.12</v>
      </c>
      <c r="J13">
        <v>150.97999999999999</v>
      </c>
      <c r="K13" t="s">
        <v>60</v>
      </c>
      <c r="L13">
        <v>0.2</v>
      </c>
    </row>
    <row r="14" spans="1:12" x14ac:dyDescent="0.25">
      <c r="A14" t="s">
        <v>91</v>
      </c>
      <c r="B14">
        <v>94</v>
      </c>
      <c r="C14" s="1">
        <v>45746.256956018522</v>
      </c>
      <c r="D14" t="s">
        <v>92</v>
      </c>
      <c r="E14" t="s">
        <v>93</v>
      </c>
      <c r="F14" t="s">
        <v>52</v>
      </c>
      <c r="G14">
        <v>253</v>
      </c>
      <c r="H14">
        <v>3</v>
      </c>
      <c r="I14">
        <v>25.86</v>
      </c>
      <c r="J14">
        <v>42.48</v>
      </c>
      <c r="K14" t="s">
        <v>46</v>
      </c>
      <c r="L14">
        <v>0.1</v>
      </c>
    </row>
    <row r="15" spans="1:12" x14ac:dyDescent="0.25">
      <c r="A15" t="s">
        <v>94</v>
      </c>
      <c r="B15">
        <v>57</v>
      </c>
      <c r="C15" s="1">
        <v>45747.036527777767</v>
      </c>
      <c r="D15" t="s">
        <v>95</v>
      </c>
      <c r="E15" t="s">
        <v>96</v>
      </c>
      <c r="F15" t="s">
        <v>52</v>
      </c>
      <c r="G15">
        <v>314</v>
      </c>
      <c r="H15">
        <v>3</v>
      </c>
      <c r="I15">
        <v>35.06</v>
      </c>
      <c r="J15">
        <v>75.53</v>
      </c>
      <c r="K15" t="s">
        <v>60</v>
      </c>
      <c r="L15">
        <v>0.2</v>
      </c>
    </row>
    <row r="16" spans="1:12" x14ac:dyDescent="0.25">
      <c r="A16" t="s">
        <v>98</v>
      </c>
      <c r="B16">
        <v>131</v>
      </c>
      <c r="C16" s="1">
        <v>45747.208993055552</v>
      </c>
      <c r="D16" t="s">
        <v>74</v>
      </c>
      <c r="E16" t="s">
        <v>75</v>
      </c>
      <c r="F16" t="s">
        <v>30</v>
      </c>
      <c r="G16">
        <v>2401</v>
      </c>
      <c r="H16">
        <v>2</v>
      </c>
      <c r="I16">
        <v>2801.89</v>
      </c>
      <c r="J16">
        <v>3477.89</v>
      </c>
      <c r="L16">
        <v>0</v>
      </c>
    </row>
    <row r="17" spans="1:12" x14ac:dyDescent="0.25">
      <c r="A17" t="s">
        <v>100</v>
      </c>
      <c r="B17">
        <v>185</v>
      </c>
      <c r="C17" s="1">
        <v>45747.252974537027</v>
      </c>
      <c r="D17" t="s">
        <v>81</v>
      </c>
      <c r="E17" t="s">
        <v>82</v>
      </c>
      <c r="F17" t="s">
        <v>45</v>
      </c>
      <c r="G17">
        <v>0</v>
      </c>
      <c r="H17">
        <v>1</v>
      </c>
      <c r="I17">
        <v>39.909999999999997</v>
      </c>
      <c r="J17">
        <v>190.84</v>
      </c>
      <c r="L17">
        <v>0</v>
      </c>
    </row>
    <row r="18" spans="1:12" x14ac:dyDescent="0.25">
      <c r="A18" t="s">
        <v>104</v>
      </c>
      <c r="B18">
        <v>34</v>
      </c>
      <c r="C18" s="1">
        <v>45747.816979166673</v>
      </c>
      <c r="D18" t="s">
        <v>105</v>
      </c>
      <c r="E18" t="s">
        <v>106</v>
      </c>
      <c r="F18" t="s">
        <v>30</v>
      </c>
      <c r="G18">
        <v>2043</v>
      </c>
      <c r="H18">
        <v>1</v>
      </c>
      <c r="I18">
        <v>235.46</v>
      </c>
      <c r="J18">
        <v>436.95</v>
      </c>
      <c r="K18" t="s">
        <v>60</v>
      </c>
      <c r="L18">
        <v>0.2</v>
      </c>
    </row>
    <row r="19" spans="1:12" x14ac:dyDescent="0.25">
      <c r="A19" t="s">
        <v>107</v>
      </c>
      <c r="B19">
        <v>37</v>
      </c>
      <c r="C19" s="1">
        <v>45748.558310185188</v>
      </c>
      <c r="D19" t="s">
        <v>28</v>
      </c>
      <c r="E19" t="s">
        <v>29</v>
      </c>
      <c r="F19" t="s">
        <v>30</v>
      </c>
      <c r="G19">
        <v>2443</v>
      </c>
      <c r="H19">
        <v>2</v>
      </c>
      <c r="I19">
        <v>2498.58</v>
      </c>
      <c r="J19">
        <v>3442.5</v>
      </c>
      <c r="L19">
        <v>0</v>
      </c>
    </row>
    <row r="20" spans="1:12" x14ac:dyDescent="0.25">
      <c r="A20" t="s">
        <v>109</v>
      </c>
      <c r="B20">
        <v>100</v>
      </c>
      <c r="C20" s="1">
        <v>45748.945856481478</v>
      </c>
      <c r="D20" t="s">
        <v>110</v>
      </c>
      <c r="E20" t="s">
        <v>111</v>
      </c>
      <c r="F20" t="s">
        <v>30</v>
      </c>
      <c r="G20">
        <v>2006</v>
      </c>
      <c r="H20">
        <v>3</v>
      </c>
      <c r="I20">
        <v>1467.91</v>
      </c>
      <c r="J20">
        <v>1790.32</v>
      </c>
      <c r="L20">
        <v>0</v>
      </c>
    </row>
    <row r="21" spans="1:12" x14ac:dyDescent="0.25">
      <c r="A21" t="s">
        <v>113</v>
      </c>
      <c r="B21">
        <v>135</v>
      </c>
      <c r="C21" s="1">
        <v>45749.860289351847</v>
      </c>
      <c r="D21" t="s">
        <v>114</v>
      </c>
      <c r="E21" t="s">
        <v>115</v>
      </c>
      <c r="F21" t="s">
        <v>116</v>
      </c>
      <c r="G21">
        <v>0</v>
      </c>
      <c r="H21">
        <v>1</v>
      </c>
      <c r="I21">
        <v>405.6</v>
      </c>
      <c r="J21">
        <v>679.12</v>
      </c>
      <c r="K21" t="s">
        <v>46</v>
      </c>
      <c r="L21">
        <v>0.1</v>
      </c>
    </row>
    <row r="22" spans="1:12" x14ac:dyDescent="0.25">
      <c r="A22" t="s">
        <v>118</v>
      </c>
      <c r="B22">
        <v>35</v>
      </c>
      <c r="C22" s="1">
        <v>45749.886342592603</v>
      </c>
      <c r="D22" t="s">
        <v>89</v>
      </c>
      <c r="E22" t="s">
        <v>90</v>
      </c>
      <c r="F22" t="s">
        <v>52</v>
      </c>
      <c r="G22">
        <v>318</v>
      </c>
      <c r="H22">
        <v>3</v>
      </c>
      <c r="I22">
        <v>87.34</v>
      </c>
      <c r="J22">
        <v>109.48</v>
      </c>
      <c r="K22" t="s">
        <v>46</v>
      </c>
      <c r="L22">
        <v>0.1</v>
      </c>
    </row>
    <row r="23" spans="1:12" x14ac:dyDescent="0.25">
      <c r="A23" t="s">
        <v>120</v>
      </c>
      <c r="B23">
        <v>89</v>
      </c>
      <c r="C23" s="1">
        <v>45749.93608796296</v>
      </c>
      <c r="D23" t="s">
        <v>95</v>
      </c>
      <c r="E23" t="s">
        <v>96</v>
      </c>
      <c r="F23" t="s">
        <v>52</v>
      </c>
      <c r="G23">
        <v>498</v>
      </c>
      <c r="H23">
        <v>1</v>
      </c>
      <c r="I23">
        <v>26.09</v>
      </c>
      <c r="J23">
        <v>71.88</v>
      </c>
      <c r="K23" t="s">
        <v>46</v>
      </c>
      <c r="L23">
        <v>0.1</v>
      </c>
    </row>
    <row r="24" spans="1:12" x14ac:dyDescent="0.25">
      <c r="A24" t="s">
        <v>122</v>
      </c>
      <c r="B24">
        <v>68</v>
      </c>
      <c r="C24" s="1">
        <v>45750.377766203703</v>
      </c>
      <c r="D24" t="s">
        <v>123</v>
      </c>
      <c r="E24" t="s">
        <v>124</v>
      </c>
      <c r="F24" t="s">
        <v>45</v>
      </c>
      <c r="G24">
        <v>0</v>
      </c>
      <c r="H24">
        <v>3</v>
      </c>
      <c r="I24">
        <v>187.54</v>
      </c>
      <c r="J24">
        <v>286.26</v>
      </c>
      <c r="L24">
        <v>0</v>
      </c>
    </row>
    <row r="25" spans="1:12" x14ac:dyDescent="0.25">
      <c r="A25" t="s">
        <v>125</v>
      </c>
      <c r="B25">
        <v>75</v>
      </c>
      <c r="C25" s="1">
        <v>45750.483969907407</v>
      </c>
      <c r="D25" t="s">
        <v>37</v>
      </c>
      <c r="E25" t="s">
        <v>38</v>
      </c>
      <c r="F25" t="s">
        <v>30</v>
      </c>
      <c r="G25">
        <v>2414</v>
      </c>
      <c r="H25">
        <v>3</v>
      </c>
      <c r="I25">
        <v>499.15</v>
      </c>
      <c r="J25">
        <v>769.09</v>
      </c>
      <c r="L25">
        <v>0</v>
      </c>
    </row>
    <row r="26" spans="1:12" x14ac:dyDescent="0.25">
      <c r="A26" t="s">
        <v>128</v>
      </c>
      <c r="B26">
        <v>36</v>
      </c>
      <c r="C26" s="1">
        <v>45750.656875000001</v>
      </c>
      <c r="D26" t="s">
        <v>110</v>
      </c>
      <c r="E26" t="s">
        <v>111</v>
      </c>
      <c r="F26" t="s">
        <v>30</v>
      </c>
      <c r="G26">
        <v>2027</v>
      </c>
      <c r="H26">
        <v>3</v>
      </c>
      <c r="I26">
        <v>1035.99</v>
      </c>
      <c r="J26">
        <v>1868.65</v>
      </c>
      <c r="K26" t="s">
        <v>60</v>
      </c>
      <c r="L26">
        <v>0.2</v>
      </c>
    </row>
    <row r="27" spans="1:12" x14ac:dyDescent="0.25">
      <c r="A27" t="s">
        <v>130</v>
      </c>
      <c r="B27">
        <v>181</v>
      </c>
      <c r="C27" s="1">
        <v>45751.390543981477</v>
      </c>
      <c r="D27" t="s">
        <v>123</v>
      </c>
      <c r="E27" t="s">
        <v>124</v>
      </c>
      <c r="F27" t="s">
        <v>45</v>
      </c>
      <c r="G27">
        <v>0</v>
      </c>
      <c r="H27">
        <v>3</v>
      </c>
      <c r="I27">
        <v>79.56</v>
      </c>
      <c r="J27">
        <v>200.99</v>
      </c>
      <c r="L27">
        <v>0</v>
      </c>
    </row>
    <row r="28" spans="1:12" x14ac:dyDescent="0.25">
      <c r="A28" t="s">
        <v>132</v>
      </c>
      <c r="B28">
        <v>77</v>
      </c>
      <c r="C28" s="1">
        <v>45751.786990740737</v>
      </c>
      <c r="D28" t="s">
        <v>43</v>
      </c>
      <c r="E28" t="s">
        <v>44</v>
      </c>
      <c r="F28" t="s">
        <v>45</v>
      </c>
      <c r="G28">
        <v>0</v>
      </c>
      <c r="H28">
        <v>2</v>
      </c>
      <c r="I28">
        <v>52.75</v>
      </c>
      <c r="J28">
        <v>106.41</v>
      </c>
      <c r="L28">
        <v>0</v>
      </c>
    </row>
    <row r="29" spans="1:12" x14ac:dyDescent="0.25">
      <c r="A29" t="s">
        <v>135</v>
      </c>
      <c r="B29">
        <v>86</v>
      </c>
      <c r="C29" s="1">
        <v>45753.087604166663</v>
      </c>
      <c r="D29" t="s">
        <v>89</v>
      </c>
      <c r="E29" t="s">
        <v>90</v>
      </c>
      <c r="F29" t="s">
        <v>52</v>
      </c>
      <c r="G29">
        <v>223</v>
      </c>
      <c r="H29">
        <v>1</v>
      </c>
      <c r="I29">
        <v>75.959999999999994</v>
      </c>
      <c r="J29">
        <v>161.31</v>
      </c>
      <c r="K29" t="s">
        <v>46</v>
      </c>
      <c r="L29">
        <v>0.1</v>
      </c>
    </row>
    <row r="30" spans="1:12" x14ac:dyDescent="0.25">
      <c r="A30" t="s">
        <v>136</v>
      </c>
      <c r="B30">
        <v>200</v>
      </c>
      <c r="C30" s="1">
        <v>45753.852708333332</v>
      </c>
      <c r="D30" t="s">
        <v>137</v>
      </c>
      <c r="E30" t="s">
        <v>138</v>
      </c>
      <c r="F30" t="s">
        <v>52</v>
      </c>
      <c r="G30">
        <v>391</v>
      </c>
      <c r="H30">
        <v>1</v>
      </c>
      <c r="I30">
        <v>75.44</v>
      </c>
      <c r="J30">
        <v>149.65</v>
      </c>
      <c r="L30">
        <v>0</v>
      </c>
    </row>
    <row r="31" spans="1:12" x14ac:dyDescent="0.25">
      <c r="A31" t="s">
        <v>139</v>
      </c>
      <c r="B31">
        <v>161</v>
      </c>
      <c r="C31" s="1">
        <v>45754.155706018522</v>
      </c>
      <c r="D31" t="s">
        <v>137</v>
      </c>
      <c r="E31" t="s">
        <v>138</v>
      </c>
      <c r="F31" t="s">
        <v>52</v>
      </c>
      <c r="G31">
        <v>480</v>
      </c>
      <c r="H31">
        <v>3</v>
      </c>
      <c r="I31">
        <v>91.52</v>
      </c>
      <c r="J31">
        <v>278.8</v>
      </c>
      <c r="K31" t="s">
        <v>46</v>
      </c>
      <c r="L31">
        <v>0.1</v>
      </c>
    </row>
    <row r="32" spans="1:12" x14ac:dyDescent="0.25">
      <c r="A32" t="s">
        <v>141</v>
      </c>
      <c r="B32">
        <v>26</v>
      </c>
      <c r="C32" s="1">
        <v>45755.048206018517</v>
      </c>
      <c r="D32" t="s">
        <v>86</v>
      </c>
      <c r="E32" t="s">
        <v>87</v>
      </c>
      <c r="F32" t="s">
        <v>45</v>
      </c>
      <c r="G32">
        <v>0</v>
      </c>
      <c r="H32">
        <v>2</v>
      </c>
      <c r="I32">
        <v>51</v>
      </c>
      <c r="J32">
        <v>173.59</v>
      </c>
      <c r="K32" t="s">
        <v>60</v>
      </c>
      <c r="L32">
        <v>0.2</v>
      </c>
    </row>
    <row r="33" spans="1:12" x14ac:dyDescent="0.25">
      <c r="A33" t="s">
        <v>142</v>
      </c>
      <c r="B33">
        <v>10</v>
      </c>
      <c r="C33" s="1">
        <v>45755.563275462962</v>
      </c>
      <c r="D33" t="s">
        <v>66</v>
      </c>
      <c r="E33" t="s">
        <v>67</v>
      </c>
      <c r="F33" t="s">
        <v>52</v>
      </c>
      <c r="G33">
        <v>262</v>
      </c>
      <c r="H33">
        <v>3</v>
      </c>
      <c r="I33">
        <v>63.2</v>
      </c>
      <c r="J33">
        <v>90.07</v>
      </c>
      <c r="L33">
        <v>0</v>
      </c>
    </row>
    <row r="34" spans="1:12" x14ac:dyDescent="0.25">
      <c r="A34" t="s">
        <v>143</v>
      </c>
      <c r="B34">
        <v>180</v>
      </c>
      <c r="C34" s="1">
        <v>45755.580104166656</v>
      </c>
      <c r="D34" t="s">
        <v>86</v>
      </c>
      <c r="E34" t="s">
        <v>87</v>
      </c>
      <c r="F34" t="s">
        <v>45</v>
      </c>
      <c r="G34">
        <v>0</v>
      </c>
      <c r="H34">
        <v>2</v>
      </c>
      <c r="I34">
        <v>43.86</v>
      </c>
      <c r="J34">
        <v>133.62</v>
      </c>
      <c r="L34">
        <v>0</v>
      </c>
    </row>
    <row r="35" spans="1:12" x14ac:dyDescent="0.25">
      <c r="A35" t="s">
        <v>144</v>
      </c>
      <c r="B35">
        <v>156</v>
      </c>
      <c r="C35" s="1">
        <v>45756.180868055562</v>
      </c>
      <c r="D35" t="s">
        <v>92</v>
      </c>
      <c r="E35" t="s">
        <v>93</v>
      </c>
      <c r="F35" t="s">
        <v>52</v>
      </c>
      <c r="G35">
        <v>217</v>
      </c>
      <c r="H35">
        <v>3</v>
      </c>
      <c r="I35">
        <v>24.83</v>
      </c>
      <c r="J35">
        <v>113.56</v>
      </c>
      <c r="K35" t="s">
        <v>46</v>
      </c>
      <c r="L35">
        <v>0.1</v>
      </c>
    </row>
    <row r="36" spans="1:12" x14ac:dyDescent="0.25">
      <c r="A36" t="s">
        <v>145</v>
      </c>
      <c r="B36">
        <v>191</v>
      </c>
      <c r="C36" s="1">
        <v>45757.26667824074</v>
      </c>
      <c r="D36" t="s">
        <v>74</v>
      </c>
      <c r="E36" t="s">
        <v>75</v>
      </c>
      <c r="F36" t="s">
        <v>30</v>
      </c>
      <c r="G36">
        <v>2809</v>
      </c>
      <c r="H36">
        <v>1</v>
      </c>
      <c r="I36">
        <v>2135.87</v>
      </c>
      <c r="J36">
        <v>3958.47</v>
      </c>
      <c r="L36">
        <v>0</v>
      </c>
    </row>
    <row r="37" spans="1:12" x14ac:dyDescent="0.25">
      <c r="A37" t="s">
        <v>147</v>
      </c>
      <c r="B37">
        <v>187</v>
      </c>
      <c r="C37" s="1">
        <v>45757.64640046296</v>
      </c>
      <c r="D37" t="s">
        <v>148</v>
      </c>
      <c r="E37" t="s">
        <v>149</v>
      </c>
      <c r="F37" t="s">
        <v>30</v>
      </c>
      <c r="G37">
        <v>3415</v>
      </c>
      <c r="H37">
        <v>1</v>
      </c>
      <c r="I37">
        <v>390.28</v>
      </c>
      <c r="J37">
        <v>631.01</v>
      </c>
      <c r="L37">
        <v>0</v>
      </c>
    </row>
    <row r="38" spans="1:12" x14ac:dyDescent="0.25">
      <c r="A38" t="s">
        <v>151</v>
      </c>
      <c r="B38">
        <v>182</v>
      </c>
      <c r="C38" s="1">
        <v>45758.106041666673</v>
      </c>
      <c r="D38" t="s">
        <v>74</v>
      </c>
      <c r="E38" t="s">
        <v>75</v>
      </c>
      <c r="F38" t="s">
        <v>30</v>
      </c>
      <c r="G38">
        <v>2318</v>
      </c>
      <c r="H38">
        <v>1</v>
      </c>
      <c r="I38">
        <v>2617.62</v>
      </c>
      <c r="J38">
        <v>4473.32</v>
      </c>
      <c r="K38" t="s">
        <v>60</v>
      </c>
      <c r="L38">
        <v>0.2</v>
      </c>
    </row>
    <row r="39" spans="1:12" x14ac:dyDescent="0.25">
      <c r="A39" t="s">
        <v>152</v>
      </c>
      <c r="B39">
        <v>100</v>
      </c>
      <c r="C39" s="1">
        <v>45758.889050925929</v>
      </c>
      <c r="D39" t="s">
        <v>50</v>
      </c>
      <c r="E39" t="s">
        <v>51</v>
      </c>
      <c r="F39" t="s">
        <v>52</v>
      </c>
      <c r="G39">
        <v>722</v>
      </c>
      <c r="H39">
        <v>2</v>
      </c>
      <c r="I39">
        <v>135.33000000000001</v>
      </c>
      <c r="J39">
        <v>342.11</v>
      </c>
      <c r="L39">
        <v>0</v>
      </c>
    </row>
    <row r="40" spans="1:12" x14ac:dyDescent="0.25">
      <c r="A40" t="s">
        <v>154</v>
      </c>
      <c r="B40">
        <v>76</v>
      </c>
      <c r="C40" s="1">
        <v>45759.526539351849</v>
      </c>
      <c r="D40" t="s">
        <v>155</v>
      </c>
      <c r="E40" t="s">
        <v>156</v>
      </c>
      <c r="F40" t="s">
        <v>30</v>
      </c>
      <c r="G40">
        <v>4326</v>
      </c>
      <c r="H40">
        <v>3</v>
      </c>
      <c r="I40">
        <v>659.75</v>
      </c>
      <c r="J40">
        <v>1252.28</v>
      </c>
      <c r="L40">
        <v>0</v>
      </c>
    </row>
    <row r="41" spans="1:12" x14ac:dyDescent="0.25">
      <c r="A41" t="s">
        <v>158</v>
      </c>
      <c r="B41">
        <v>30</v>
      </c>
      <c r="C41" s="1">
        <v>45759.540092592593</v>
      </c>
      <c r="D41" t="s">
        <v>155</v>
      </c>
      <c r="E41" t="s">
        <v>156</v>
      </c>
      <c r="F41" t="s">
        <v>30</v>
      </c>
      <c r="G41">
        <v>4085</v>
      </c>
      <c r="H41">
        <v>3</v>
      </c>
      <c r="I41">
        <v>780.74</v>
      </c>
      <c r="J41">
        <v>1760.64</v>
      </c>
      <c r="K41" t="s">
        <v>46</v>
      </c>
      <c r="L41">
        <v>0.1</v>
      </c>
    </row>
    <row r="42" spans="1:12" x14ac:dyDescent="0.25">
      <c r="A42" t="s">
        <v>159</v>
      </c>
      <c r="B42">
        <v>66</v>
      </c>
      <c r="C42" s="1">
        <v>45760.143171296288</v>
      </c>
      <c r="D42" t="s">
        <v>123</v>
      </c>
      <c r="E42" t="s">
        <v>124</v>
      </c>
      <c r="F42" t="s">
        <v>45</v>
      </c>
      <c r="G42">
        <v>0</v>
      </c>
      <c r="H42">
        <v>2</v>
      </c>
      <c r="I42">
        <v>142.01</v>
      </c>
      <c r="J42">
        <v>213.07</v>
      </c>
      <c r="L42">
        <v>0</v>
      </c>
    </row>
    <row r="43" spans="1:12" x14ac:dyDescent="0.25">
      <c r="A43" t="s">
        <v>160</v>
      </c>
      <c r="B43">
        <v>78</v>
      </c>
      <c r="C43" s="1">
        <v>45760.504907407398</v>
      </c>
      <c r="D43" t="s">
        <v>43</v>
      </c>
      <c r="E43" t="s">
        <v>44</v>
      </c>
      <c r="F43" t="s">
        <v>45</v>
      </c>
      <c r="G43">
        <v>0</v>
      </c>
      <c r="H43">
        <v>3</v>
      </c>
      <c r="I43">
        <v>46.51</v>
      </c>
      <c r="J43">
        <v>55.13</v>
      </c>
      <c r="L43">
        <v>0</v>
      </c>
    </row>
    <row r="44" spans="1:12" x14ac:dyDescent="0.25">
      <c r="A44" t="s">
        <v>163</v>
      </c>
      <c r="B44">
        <v>120</v>
      </c>
      <c r="C44" s="1">
        <v>45760.879074074073</v>
      </c>
      <c r="D44" t="s">
        <v>164</v>
      </c>
      <c r="E44" t="s">
        <v>165</v>
      </c>
      <c r="F44" t="s">
        <v>116</v>
      </c>
      <c r="G44">
        <v>0</v>
      </c>
      <c r="H44">
        <v>3</v>
      </c>
      <c r="I44">
        <v>253.46</v>
      </c>
      <c r="J44">
        <v>452.71</v>
      </c>
      <c r="K44" t="s">
        <v>46</v>
      </c>
      <c r="L44">
        <v>0.1</v>
      </c>
    </row>
    <row r="45" spans="1:12" x14ac:dyDescent="0.25">
      <c r="A45" t="s">
        <v>167</v>
      </c>
      <c r="B45">
        <v>120</v>
      </c>
      <c r="C45" s="1">
        <v>45760.948692129627</v>
      </c>
      <c r="D45" t="s">
        <v>105</v>
      </c>
      <c r="E45" t="s">
        <v>106</v>
      </c>
      <c r="F45" t="s">
        <v>30</v>
      </c>
      <c r="G45">
        <v>2096</v>
      </c>
      <c r="H45">
        <v>3</v>
      </c>
      <c r="I45">
        <v>273.02999999999997</v>
      </c>
      <c r="J45">
        <v>497.09</v>
      </c>
      <c r="L45">
        <v>0</v>
      </c>
    </row>
    <row r="46" spans="1:12" x14ac:dyDescent="0.25">
      <c r="A46" t="s">
        <v>169</v>
      </c>
      <c r="B46">
        <v>51</v>
      </c>
      <c r="C46" s="1">
        <v>45761.012418981481</v>
      </c>
      <c r="D46" t="s">
        <v>66</v>
      </c>
      <c r="E46" t="s">
        <v>67</v>
      </c>
      <c r="F46" t="s">
        <v>52</v>
      </c>
      <c r="G46">
        <v>230</v>
      </c>
      <c r="H46">
        <v>3</v>
      </c>
      <c r="I46">
        <v>54.48</v>
      </c>
      <c r="J46">
        <v>108.78</v>
      </c>
      <c r="L46">
        <v>0</v>
      </c>
    </row>
    <row r="47" spans="1:12" x14ac:dyDescent="0.25">
      <c r="A47" t="s">
        <v>171</v>
      </c>
      <c r="B47">
        <v>105</v>
      </c>
      <c r="C47" s="1">
        <v>45761.437268518523</v>
      </c>
      <c r="D47" t="s">
        <v>89</v>
      </c>
      <c r="E47" t="s">
        <v>90</v>
      </c>
      <c r="F47" t="s">
        <v>52</v>
      </c>
      <c r="G47">
        <v>213</v>
      </c>
      <c r="H47">
        <v>2</v>
      </c>
      <c r="I47">
        <v>96.09</v>
      </c>
      <c r="J47">
        <v>158.41999999999999</v>
      </c>
      <c r="L47">
        <v>0</v>
      </c>
    </row>
    <row r="48" spans="1:12" x14ac:dyDescent="0.25">
      <c r="A48" t="s">
        <v>173</v>
      </c>
      <c r="B48">
        <v>151</v>
      </c>
      <c r="C48" s="1">
        <v>45762.598240740743</v>
      </c>
      <c r="D48" t="s">
        <v>148</v>
      </c>
      <c r="E48" t="s">
        <v>149</v>
      </c>
      <c r="F48" t="s">
        <v>30</v>
      </c>
      <c r="G48">
        <v>3481</v>
      </c>
      <c r="H48">
        <v>2</v>
      </c>
      <c r="I48">
        <v>558.11</v>
      </c>
      <c r="J48">
        <v>703.94</v>
      </c>
      <c r="K48" t="s">
        <v>60</v>
      </c>
      <c r="L48">
        <v>0.2</v>
      </c>
    </row>
    <row r="49" spans="1:12" x14ac:dyDescent="0.25">
      <c r="A49" t="s">
        <v>174</v>
      </c>
      <c r="B49">
        <v>143</v>
      </c>
      <c r="C49" s="1">
        <v>45762.621712962973</v>
      </c>
      <c r="D49" t="s">
        <v>43</v>
      </c>
      <c r="E49" t="s">
        <v>44</v>
      </c>
      <c r="F49" t="s">
        <v>45</v>
      </c>
      <c r="G49">
        <v>0</v>
      </c>
      <c r="H49">
        <v>2</v>
      </c>
      <c r="I49">
        <v>23.93</v>
      </c>
      <c r="J49">
        <v>107.71</v>
      </c>
      <c r="K49" t="s">
        <v>60</v>
      </c>
      <c r="L49">
        <v>0.2</v>
      </c>
    </row>
    <row r="50" spans="1:12" x14ac:dyDescent="0.25">
      <c r="A50" t="s">
        <v>175</v>
      </c>
      <c r="B50">
        <v>6</v>
      </c>
      <c r="C50" s="1">
        <v>45762.673726851863</v>
      </c>
      <c r="D50" t="s">
        <v>137</v>
      </c>
      <c r="E50" t="s">
        <v>138</v>
      </c>
      <c r="F50" t="s">
        <v>52</v>
      </c>
      <c r="G50">
        <v>389</v>
      </c>
      <c r="H50">
        <v>2</v>
      </c>
      <c r="I50">
        <v>77.48</v>
      </c>
      <c r="J50">
        <v>120.16</v>
      </c>
      <c r="K50" t="s">
        <v>46</v>
      </c>
      <c r="L50">
        <v>0.1</v>
      </c>
    </row>
    <row r="51" spans="1:12" x14ac:dyDescent="0.25">
      <c r="A51" t="s">
        <v>176</v>
      </c>
      <c r="B51">
        <v>124</v>
      </c>
      <c r="C51" s="1">
        <v>45762.908067129632</v>
      </c>
      <c r="D51" t="s">
        <v>177</v>
      </c>
      <c r="E51" t="s">
        <v>178</v>
      </c>
      <c r="F51" t="s">
        <v>116</v>
      </c>
      <c r="G51">
        <v>0</v>
      </c>
      <c r="H51">
        <v>1</v>
      </c>
      <c r="I51">
        <v>274.94</v>
      </c>
      <c r="J51">
        <v>354.4</v>
      </c>
      <c r="K51" t="s">
        <v>46</v>
      </c>
      <c r="L51">
        <v>0.1</v>
      </c>
    </row>
    <row r="52" spans="1:12" x14ac:dyDescent="0.25">
      <c r="A52" t="s">
        <v>179</v>
      </c>
      <c r="B52">
        <v>13</v>
      </c>
      <c r="C52" s="1">
        <v>45763.29111111111</v>
      </c>
      <c r="D52" t="s">
        <v>137</v>
      </c>
      <c r="E52" t="s">
        <v>138</v>
      </c>
      <c r="F52" t="s">
        <v>52</v>
      </c>
      <c r="G52">
        <v>463</v>
      </c>
      <c r="H52">
        <v>2</v>
      </c>
      <c r="I52">
        <v>132.15</v>
      </c>
      <c r="J52">
        <v>277.7</v>
      </c>
      <c r="K52" t="s">
        <v>60</v>
      </c>
      <c r="L52">
        <v>0.2</v>
      </c>
    </row>
    <row r="53" spans="1:12" x14ac:dyDescent="0.25">
      <c r="A53" t="s">
        <v>181</v>
      </c>
      <c r="B53">
        <v>188</v>
      </c>
      <c r="C53" s="1">
        <v>45764.155138888891</v>
      </c>
      <c r="D53" t="s">
        <v>95</v>
      </c>
      <c r="E53" t="s">
        <v>96</v>
      </c>
      <c r="F53" t="s">
        <v>52</v>
      </c>
      <c r="G53">
        <v>346</v>
      </c>
      <c r="H53">
        <v>3</v>
      </c>
      <c r="I53">
        <v>44.03</v>
      </c>
      <c r="J53">
        <v>95.23</v>
      </c>
      <c r="L53">
        <v>0</v>
      </c>
    </row>
    <row r="54" spans="1:12" x14ac:dyDescent="0.25">
      <c r="A54" t="s">
        <v>182</v>
      </c>
      <c r="B54">
        <v>119</v>
      </c>
      <c r="C54" s="1">
        <v>45764.95579861111</v>
      </c>
      <c r="D54" t="s">
        <v>50</v>
      </c>
      <c r="E54" t="s">
        <v>51</v>
      </c>
      <c r="F54" t="s">
        <v>52</v>
      </c>
      <c r="G54">
        <v>767</v>
      </c>
      <c r="H54">
        <v>3</v>
      </c>
      <c r="I54">
        <v>141.34</v>
      </c>
      <c r="J54">
        <v>290.08</v>
      </c>
      <c r="L54">
        <v>0</v>
      </c>
    </row>
    <row r="55" spans="1:12" x14ac:dyDescent="0.25">
      <c r="A55" t="s">
        <v>183</v>
      </c>
      <c r="B55">
        <v>93</v>
      </c>
      <c r="C55" s="1">
        <v>45765.038657407407</v>
      </c>
      <c r="D55" t="s">
        <v>148</v>
      </c>
      <c r="E55" t="s">
        <v>149</v>
      </c>
      <c r="F55" t="s">
        <v>30</v>
      </c>
      <c r="G55">
        <v>2719</v>
      </c>
      <c r="H55">
        <v>1</v>
      </c>
      <c r="I55">
        <v>307.92</v>
      </c>
      <c r="J55">
        <v>816.06</v>
      </c>
      <c r="K55" t="s">
        <v>60</v>
      </c>
      <c r="L55">
        <v>0.2</v>
      </c>
    </row>
    <row r="56" spans="1:12" x14ac:dyDescent="0.25">
      <c r="A56" t="s">
        <v>184</v>
      </c>
      <c r="B56">
        <v>150</v>
      </c>
      <c r="C56" s="1">
        <v>45765.164872685193</v>
      </c>
      <c r="D56" t="s">
        <v>66</v>
      </c>
      <c r="E56" t="s">
        <v>67</v>
      </c>
      <c r="F56" t="s">
        <v>52</v>
      </c>
      <c r="G56">
        <v>292</v>
      </c>
      <c r="H56">
        <v>1</v>
      </c>
      <c r="I56">
        <v>51.88</v>
      </c>
      <c r="J56">
        <v>113.27</v>
      </c>
      <c r="L56">
        <v>0</v>
      </c>
    </row>
    <row r="57" spans="1:12" x14ac:dyDescent="0.25">
      <c r="A57" t="s">
        <v>186</v>
      </c>
      <c r="B57">
        <v>92</v>
      </c>
      <c r="C57" s="1">
        <v>45765.195196759261</v>
      </c>
      <c r="D57" t="s">
        <v>66</v>
      </c>
      <c r="E57" t="s">
        <v>67</v>
      </c>
      <c r="F57" t="s">
        <v>52</v>
      </c>
      <c r="G57">
        <v>209</v>
      </c>
      <c r="H57">
        <v>3</v>
      </c>
      <c r="I57">
        <v>41.12</v>
      </c>
      <c r="J57">
        <v>65.94</v>
      </c>
      <c r="L57">
        <v>0</v>
      </c>
    </row>
    <row r="58" spans="1:12" x14ac:dyDescent="0.25">
      <c r="A58" t="s">
        <v>187</v>
      </c>
      <c r="B58">
        <v>129</v>
      </c>
      <c r="C58" s="1">
        <v>45766.45140046296</v>
      </c>
      <c r="D58" t="s">
        <v>50</v>
      </c>
      <c r="E58" t="s">
        <v>51</v>
      </c>
      <c r="F58" t="s">
        <v>52</v>
      </c>
      <c r="G58">
        <v>661</v>
      </c>
      <c r="H58">
        <v>2</v>
      </c>
      <c r="I58">
        <v>169.16</v>
      </c>
      <c r="J58">
        <v>271.37</v>
      </c>
      <c r="L58">
        <v>0</v>
      </c>
    </row>
    <row r="59" spans="1:12" x14ac:dyDescent="0.25">
      <c r="A59" t="s">
        <v>188</v>
      </c>
      <c r="B59">
        <v>40</v>
      </c>
      <c r="C59" s="1">
        <v>45766.719768518517</v>
      </c>
      <c r="D59" t="s">
        <v>137</v>
      </c>
      <c r="E59" t="s">
        <v>138</v>
      </c>
      <c r="F59" t="s">
        <v>52</v>
      </c>
      <c r="G59">
        <v>367</v>
      </c>
      <c r="H59">
        <v>3</v>
      </c>
      <c r="I59">
        <v>105.16</v>
      </c>
      <c r="J59">
        <v>126.41</v>
      </c>
      <c r="L59">
        <v>0</v>
      </c>
    </row>
    <row r="60" spans="1:12" x14ac:dyDescent="0.25">
      <c r="A60" t="s">
        <v>189</v>
      </c>
      <c r="B60">
        <v>114</v>
      </c>
      <c r="C60" s="1">
        <v>45768.271226851852</v>
      </c>
      <c r="D60" t="s">
        <v>50</v>
      </c>
      <c r="E60" t="s">
        <v>51</v>
      </c>
      <c r="F60" t="s">
        <v>52</v>
      </c>
      <c r="G60">
        <v>636</v>
      </c>
      <c r="H60">
        <v>3</v>
      </c>
      <c r="I60">
        <v>110.61</v>
      </c>
      <c r="J60">
        <v>341.15</v>
      </c>
      <c r="L60">
        <v>0</v>
      </c>
    </row>
    <row r="61" spans="1:12" x14ac:dyDescent="0.25">
      <c r="A61" t="s">
        <v>190</v>
      </c>
      <c r="B61">
        <v>75</v>
      </c>
      <c r="C61" s="1">
        <v>45768.643657407411</v>
      </c>
      <c r="D61" t="s">
        <v>66</v>
      </c>
      <c r="E61" t="s">
        <v>67</v>
      </c>
      <c r="F61" t="s">
        <v>52</v>
      </c>
      <c r="G61">
        <v>218</v>
      </c>
      <c r="H61">
        <v>1</v>
      </c>
      <c r="I61">
        <v>74.540000000000006</v>
      </c>
      <c r="J61">
        <v>139.06</v>
      </c>
      <c r="L61">
        <v>0</v>
      </c>
    </row>
    <row r="62" spans="1:12" x14ac:dyDescent="0.25">
      <c r="A62" t="s">
        <v>191</v>
      </c>
      <c r="B62">
        <v>167</v>
      </c>
      <c r="C62" s="1">
        <v>45769.933668981481</v>
      </c>
      <c r="D62" t="s">
        <v>86</v>
      </c>
      <c r="E62" t="s">
        <v>87</v>
      </c>
      <c r="F62" t="s">
        <v>45</v>
      </c>
      <c r="G62">
        <v>0</v>
      </c>
      <c r="H62">
        <v>1</v>
      </c>
      <c r="I62">
        <v>34.880000000000003</v>
      </c>
      <c r="J62">
        <v>160.83000000000001</v>
      </c>
      <c r="L62">
        <v>0</v>
      </c>
    </row>
    <row r="63" spans="1:12" x14ac:dyDescent="0.25">
      <c r="A63" t="s">
        <v>192</v>
      </c>
      <c r="B63">
        <v>148</v>
      </c>
      <c r="C63" s="1">
        <v>45770.301527777781</v>
      </c>
      <c r="D63" t="s">
        <v>81</v>
      </c>
      <c r="E63" t="s">
        <v>82</v>
      </c>
      <c r="F63" t="s">
        <v>45</v>
      </c>
      <c r="G63">
        <v>0</v>
      </c>
      <c r="H63">
        <v>3</v>
      </c>
      <c r="I63">
        <v>33.83</v>
      </c>
      <c r="J63">
        <v>213.31</v>
      </c>
      <c r="L63">
        <v>0</v>
      </c>
    </row>
    <row r="64" spans="1:12" x14ac:dyDescent="0.25">
      <c r="A64" t="s">
        <v>193</v>
      </c>
      <c r="B64">
        <v>77</v>
      </c>
      <c r="C64" s="1">
        <v>45771.715856481482</v>
      </c>
      <c r="D64" t="s">
        <v>58</v>
      </c>
      <c r="E64" t="s">
        <v>59</v>
      </c>
      <c r="F64" t="s">
        <v>30</v>
      </c>
      <c r="G64">
        <v>4810</v>
      </c>
      <c r="H64">
        <v>1</v>
      </c>
      <c r="I64">
        <v>202.44</v>
      </c>
      <c r="J64">
        <v>724.87</v>
      </c>
      <c r="K64" t="s">
        <v>60</v>
      </c>
      <c r="L64">
        <v>0.2</v>
      </c>
    </row>
    <row r="65" spans="1:12" x14ac:dyDescent="0.25">
      <c r="A65" t="s">
        <v>194</v>
      </c>
      <c r="B65">
        <v>4</v>
      </c>
      <c r="C65" s="1">
        <v>45772.366493055553</v>
      </c>
      <c r="D65" t="s">
        <v>58</v>
      </c>
      <c r="E65" t="s">
        <v>59</v>
      </c>
      <c r="F65" t="s">
        <v>30</v>
      </c>
      <c r="G65">
        <v>4784</v>
      </c>
      <c r="H65">
        <v>1</v>
      </c>
      <c r="I65">
        <v>313.64999999999998</v>
      </c>
      <c r="J65">
        <v>832.03</v>
      </c>
      <c r="L65">
        <v>0</v>
      </c>
    </row>
    <row r="66" spans="1:12" x14ac:dyDescent="0.25">
      <c r="A66" t="s">
        <v>195</v>
      </c>
      <c r="B66">
        <v>127</v>
      </c>
      <c r="C66" s="1">
        <v>45773.011053240742</v>
      </c>
      <c r="D66" t="s">
        <v>50</v>
      </c>
      <c r="E66" t="s">
        <v>51</v>
      </c>
      <c r="F66" t="s">
        <v>52</v>
      </c>
      <c r="G66">
        <v>607</v>
      </c>
      <c r="H66">
        <v>2</v>
      </c>
      <c r="I66">
        <v>124.95</v>
      </c>
      <c r="J66">
        <v>199.5</v>
      </c>
      <c r="L66">
        <v>0</v>
      </c>
    </row>
    <row r="67" spans="1:12" x14ac:dyDescent="0.25">
      <c r="A67" t="s">
        <v>196</v>
      </c>
      <c r="B67">
        <v>35</v>
      </c>
      <c r="C67" s="1">
        <v>45773.101238425923</v>
      </c>
      <c r="D67" t="s">
        <v>43</v>
      </c>
      <c r="E67" t="s">
        <v>44</v>
      </c>
      <c r="F67" t="s">
        <v>45</v>
      </c>
      <c r="G67">
        <v>0</v>
      </c>
      <c r="H67">
        <v>1</v>
      </c>
      <c r="I67">
        <v>68.34</v>
      </c>
      <c r="J67">
        <v>92.69</v>
      </c>
      <c r="L67">
        <v>0</v>
      </c>
    </row>
    <row r="68" spans="1:12" x14ac:dyDescent="0.25">
      <c r="A68" t="s">
        <v>197</v>
      </c>
      <c r="B68">
        <v>38</v>
      </c>
      <c r="C68" s="1">
        <v>45773.287002314813</v>
      </c>
      <c r="D68" t="s">
        <v>198</v>
      </c>
      <c r="E68" t="s">
        <v>199</v>
      </c>
      <c r="F68" t="s">
        <v>116</v>
      </c>
      <c r="G68">
        <v>0</v>
      </c>
      <c r="H68">
        <v>2</v>
      </c>
      <c r="I68">
        <v>305.45999999999998</v>
      </c>
      <c r="J68">
        <v>658.66</v>
      </c>
      <c r="L68">
        <v>0</v>
      </c>
    </row>
    <row r="69" spans="1:12" x14ac:dyDescent="0.25">
      <c r="A69" t="s">
        <v>200</v>
      </c>
      <c r="B69">
        <v>99</v>
      </c>
      <c r="C69" s="1">
        <v>45773.70244212963</v>
      </c>
      <c r="D69" t="s">
        <v>58</v>
      </c>
      <c r="E69" t="s">
        <v>59</v>
      </c>
      <c r="F69" t="s">
        <v>30</v>
      </c>
      <c r="G69">
        <v>4212</v>
      </c>
      <c r="H69">
        <v>2</v>
      </c>
      <c r="I69">
        <v>266.77</v>
      </c>
      <c r="J69">
        <v>697.61</v>
      </c>
      <c r="K69" t="s">
        <v>60</v>
      </c>
      <c r="L69">
        <v>0.2</v>
      </c>
    </row>
    <row r="70" spans="1:12" x14ac:dyDescent="0.25">
      <c r="A70" t="s">
        <v>201</v>
      </c>
      <c r="B70">
        <v>43</v>
      </c>
      <c r="C70" s="1">
        <v>45773.734340277777</v>
      </c>
      <c r="D70" t="s">
        <v>148</v>
      </c>
      <c r="E70" t="s">
        <v>149</v>
      </c>
      <c r="F70" t="s">
        <v>30</v>
      </c>
      <c r="G70">
        <v>3333</v>
      </c>
      <c r="H70">
        <v>2</v>
      </c>
      <c r="I70">
        <v>584.94000000000005</v>
      </c>
      <c r="J70">
        <v>963.23</v>
      </c>
      <c r="K70" t="s">
        <v>60</v>
      </c>
      <c r="L70">
        <v>0.2</v>
      </c>
    </row>
    <row r="71" spans="1:12" x14ac:dyDescent="0.25">
      <c r="A71" t="s">
        <v>202</v>
      </c>
      <c r="B71">
        <v>122</v>
      </c>
      <c r="C71" s="1">
        <v>45773.868703703702</v>
      </c>
      <c r="D71" t="s">
        <v>43</v>
      </c>
      <c r="E71" t="s">
        <v>44</v>
      </c>
      <c r="F71" t="s">
        <v>45</v>
      </c>
      <c r="G71">
        <v>0</v>
      </c>
      <c r="H71">
        <v>1</v>
      </c>
      <c r="I71">
        <v>63.81</v>
      </c>
      <c r="J71">
        <v>80.19</v>
      </c>
      <c r="L71">
        <v>0</v>
      </c>
    </row>
    <row r="72" spans="1:12" x14ac:dyDescent="0.25">
      <c r="A72" t="s">
        <v>203</v>
      </c>
      <c r="B72">
        <v>133</v>
      </c>
      <c r="C72" s="1">
        <v>45774.196898148148</v>
      </c>
      <c r="D72" t="s">
        <v>89</v>
      </c>
      <c r="E72" t="s">
        <v>90</v>
      </c>
      <c r="F72" t="s">
        <v>52</v>
      </c>
      <c r="G72">
        <v>226</v>
      </c>
      <c r="H72">
        <v>2</v>
      </c>
      <c r="I72">
        <v>60.53</v>
      </c>
      <c r="J72">
        <v>201.24</v>
      </c>
      <c r="L72">
        <v>0</v>
      </c>
    </row>
    <row r="73" spans="1:12" x14ac:dyDescent="0.25">
      <c r="A73" t="s">
        <v>204</v>
      </c>
      <c r="B73">
        <v>139</v>
      </c>
      <c r="C73" s="1">
        <v>45774.664664351847</v>
      </c>
      <c r="D73" t="s">
        <v>74</v>
      </c>
      <c r="E73" t="s">
        <v>75</v>
      </c>
      <c r="F73" t="s">
        <v>30</v>
      </c>
      <c r="G73">
        <v>2642</v>
      </c>
      <c r="H73">
        <v>2</v>
      </c>
      <c r="I73">
        <v>2983.3</v>
      </c>
      <c r="J73">
        <v>4541.8</v>
      </c>
      <c r="L73">
        <v>0</v>
      </c>
    </row>
    <row r="74" spans="1:12" x14ac:dyDescent="0.25">
      <c r="A74" t="s">
        <v>205</v>
      </c>
      <c r="B74">
        <v>46</v>
      </c>
      <c r="C74" s="1">
        <v>45774.92019675926</v>
      </c>
      <c r="D74" t="s">
        <v>74</v>
      </c>
      <c r="E74" t="s">
        <v>75</v>
      </c>
      <c r="F74" t="s">
        <v>30</v>
      </c>
      <c r="G74">
        <v>2628</v>
      </c>
      <c r="H74">
        <v>1</v>
      </c>
      <c r="I74">
        <v>2257.4</v>
      </c>
      <c r="J74">
        <v>4909.6400000000003</v>
      </c>
      <c r="K74" t="s">
        <v>46</v>
      </c>
      <c r="L74">
        <v>0.1</v>
      </c>
    </row>
    <row r="75" spans="1:12" x14ac:dyDescent="0.25">
      <c r="A75" t="s">
        <v>206</v>
      </c>
      <c r="B75">
        <v>191</v>
      </c>
      <c r="C75" s="1">
        <v>45775.033460648148</v>
      </c>
      <c r="D75" t="s">
        <v>177</v>
      </c>
      <c r="E75" t="s">
        <v>178</v>
      </c>
      <c r="F75" t="s">
        <v>116</v>
      </c>
      <c r="G75">
        <v>0</v>
      </c>
      <c r="H75">
        <v>2</v>
      </c>
      <c r="I75">
        <v>154.25</v>
      </c>
      <c r="J75">
        <v>429.57</v>
      </c>
      <c r="L75">
        <v>0</v>
      </c>
    </row>
    <row r="76" spans="1:12" x14ac:dyDescent="0.25">
      <c r="A76" t="s">
        <v>207</v>
      </c>
      <c r="B76">
        <v>78</v>
      </c>
      <c r="C76" s="1">
        <v>45775.27553240741</v>
      </c>
      <c r="D76" t="s">
        <v>155</v>
      </c>
      <c r="E76" t="s">
        <v>156</v>
      </c>
      <c r="F76" t="s">
        <v>30</v>
      </c>
      <c r="G76">
        <v>3915</v>
      </c>
      <c r="H76">
        <v>3</v>
      </c>
      <c r="I76">
        <v>937.47</v>
      </c>
      <c r="J76">
        <v>1640.48</v>
      </c>
      <c r="L76">
        <v>0</v>
      </c>
    </row>
    <row r="77" spans="1:12" x14ac:dyDescent="0.25">
      <c r="A77" t="s">
        <v>208</v>
      </c>
      <c r="B77">
        <v>107</v>
      </c>
      <c r="C77" s="1">
        <v>45775.376493055563</v>
      </c>
      <c r="D77" t="s">
        <v>81</v>
      </c>
      <c r="E77" t="s">
        <v>82</v>
      </c>
      <c r="F77" t="s">
        <v>45</v>
      </c>
      <c r="G77">
        <v>0</v>
      </c>
      <c r="H77">
        <v>3</v>
      </c>
      <c r="I77">
        <v>97.25</v>
      </c>
      <c r="J77">
        <v>116.33</v>
      </c>
      <c r="L77">
        <v>0</v>
      </c>
    </row>
    <row r="78" spans="1:12" x14ac:dyDescent="0.25">
      <c r="A78" t="s">
        <v>209</v>
      </c>
      <c r="B78">
        <v>77</v>
      </c>
      <c r="C78" s="1">
        <v>45775.468854166669</v>
      </c>
      <c r="D78" t="s">
        <v>28</v>
      </c>
      <c r="E78" t="s">
        <v>29</v>
      </c>
      <c r="F78" t="s">
        <v>30</v>
      </c>
      <c r="G78">
        <v>2587</v>
      </c>
      <c r="H78">
        <v>2</v>
      </c>
      <c r="I78">
        <v>1978</v>
      </c>
      <c r="J78">
        <v>3298.55</v>
      </c>
      <c r="L78">
        <v>0</v>
      </c>
    </row>
    <row r="79" spans="1:12" x14ac:dyDescent="0.25">
      <c r="A79" t="s">
        <v>210</v>
      </c>
      <c r="B79">
        <v>8</v>
      </c>
      <c r="C79" s="1">
        <v>45776.039861111109</v>
      </c>
      <c r="D79" t="s">
        <v>105</v>
      </c>
      <c r="E79" t="s">
        <v>106</v>
      </c>
      <c r="F79" t="s">
        <v>30</v>
      </c>
      <c r="G79">
        <v>2039</v>
      </c>
      <c r="H79">
        <v>2</v>
      </c>
      <c r="I79">
        <v>201.81</v>
      </c>
      <c r="J79">
        <v>540.57000000000005</v>
      </c>
      <c r="K79" t="s">
        <v>60</v>
      </c>
      <c r="L79">
        <v>0.2</v>
      </c>
    </row>
    <row r="80" spans="1:12" x14ac:dyDescent="0.25">
      <c r="A80" t="s">
        <v>212</v>
      </c>
      <c r="B80">
        <v>29</v>
      </c>
      <c r="C80" s="1">
        <v>45776.174108796287</v>
      </c>
      <c r="D80" t="s">
        <v>50</v>
      </c>
      <c r="E80" t="s">
        <v>51</v>
      </c>
      <c r="F80" t="s">
        <v>52</v>
      </c>
      <c r="G80">
        <v>639</v>
      </c>
      <c r="H80">
        <v>1</v>
      </c>
      <c r="I80">
        <v>132.44</v>
      </c>
      <c r="J80">
        <v>218.82</v>
      </c>
      <c r="L80">
        <v>0</v>
      </c>
    </row>
    <row r="81" spans="1:12" x14ac:dyDescent="0.25">
      <c r="A81" t="s">
        <v>213</v>
      </c>
      <c r="B81">
        <v>11</v>
      </c>
      <c r="C81" s="1">
        <v>45777.444178240738</v>
      </c>
      <c r="D81" t="s">
        <v>37</v>
      </c>
      <c r="E81" t="s">
        <v>38</v>
      </c>
      <c r="F81" t="s">
        <v>30</v>
      </c>
      <c r="G81">
        <v>2728</v>
      </c>
      <c r="H81">
        <v>1</v>
      </c>
      <c r="I81">
        <v>833.7</v>
      </c>
      <c r="J81">
        <v>1034.9000000000001</v>
      </c>
      <c r="L81">
        <v>0</v>
      </c>
    </row>
    <row r="82" spans="1:12" x14ac:dyDescent="0.25">
      <c r="A82" t="s">
        <v>214</v>
      </c>
      <c r="B82">
        <v>90</v>
      </c>
      <c r="C82" s="1">
        <v>45777.958773148152</v>
      </c>
      <c r="D82" t="s">
        <v>198</v>
      </c>
      <c r="E82" t="s">
        <v>199</v>
      </c>
      <c r="F82" t="s">
        <v>116</v>
      </c>
      <c r="G82">
        <v>0</v>
      </c>
      <c r="H82">
        <v>1</v>
      </c>
      <c r="I82">
        <v>345.99</v>
      </c>
      <c r="J82">
        <v>577.88</v>
      </c>
      <c r="K82" t="s">
        <v>46</v>
      </c>
      <c r="L82">
        <v>0.1</v>
      </c>
    </row>
    <row r="83" spans="1:12" x14ac:dyDescent="0.25">
      <c r="A83" t="s">
        <v>215</v>
      </c>
      <c r="B83">
        <v>87</v>
      </c>
      <c r="C83" s="1">
        <v>45778.03465277778</v>
      </c>
      <c r="D83" t="s">
        <v>164</v>
      </c>
      <c r="E83" t="s">
        <v>165</v>
      </c>
      <c r="F83" t="s">
        <v>116</v>
      </c>
      <c r="G83">
        <v>0</v>
      </c>
      <c r="H83">
        <v>1</v>
      </c>
      <c r="I83">
        <v>357.05</v>
      </c>
      <c r="J83">
        <v>473.88</v>
      </c>
      <c r="K83" t="s">
        <v>46</v>
      </c>
      <c r="L83">
        <v>0.1</v>
      </c>
    </row>
    <row r="84" spans="1:12" x14ac:dyDescent="0.25">
      <c r="A84" t="s">
        <v>216</v>
      </c>
      <c r="B84">
        <v>178</v>
      </c>
      <c r="C84" s="1">
        <v>45778.713541666657</v>
      </c>
      <c r="D84" t="s">
        <v>81</v>
      </c>
      <c r="E84" t="s">
        <v>82</v>
      </c>
      <c r="F84" t="s">
        <v>45</v>
      </c>
      <c r="G84">
        <v>0</v>
      </c>
      <c r="H84">
        <v>2</v>
      </c>
      <c r="I84">
        <v>99.42</v>
      </c>
      <c r="J84">
        <v>213.36</v>
      </c>
      <c r="L84">
        <v>0</v>
      </c>
    </row>
    <row r="85" spans="1:12" x14ac:dyDescent="0.25">
      <c r="A85" t="s">
        <v>217</v>
      </c>
      <c r="B85">
        <v>180</v>
      </c>
      <c r="C85" s="1">
        <v>45779.398981481478</v>
      </c>
      <c r="D85" t="s">
        <v>123</v>
      </c>
      <c r="E85" t="s">
        <v>124</v>
      </c>
      <c r="F85" t="s">
        <v>45</v>
      </c>
      <c r="G85">
        <v>0</v>
      </c>
      <c r="H85">
        <v>2</v>
      </c>
      <c r="I85">
        <v>218.88</v>
      </c>
      <c r="J85">
        <v>339.9</v>
      </c>
      <c r="K85" t="s">
        <v>60</v>
      </c>
      <c r="L85">
        <v>0.2</v>
      </c>
    </row>
    <row r="86" spans="1:12" x14ac:dyDescent="0.25">
      <c r="A86" t="s">
        <v>218</v>
      </c>
      <c r="B86">
        <v>32</v>
      </c>
      <c r="C86" s="1">
        <v>45780.269745370373</v>
      </c>
      <c r="D86" t="s">
        <v>58</v>
      </c>
      <c r="E86" t="s">
        <v>59</v>
      </c>
      <c r="F86" t="s">
        <v>30</v>
      </c>
      <c r="G86">
        <v>4331</v>
      </c>
      <c r="H86">
        <v>3</v>
      </c>
      <c r="I86">
        <v>485.8</v>
      </c>
      <c r="J86">
        <v>779.13</v>
      </c>
      <c r="L86">
        <v>0</v>
      </c>
    </row>
    <row r="87" spans="1:12" x14ac:dyDescent="0.25">
      <c r="A87" t="s">
        <v>219</v>
      </c>
      <c r="B87">
        <v>181</v>
      </c>
      <c r="C87" s="1">
        <v>45780.429444444453</v>
      </c>
      <c r="D87" t="s">
        <v>37</v>
      </c>
      <c r="E87" t="s">
        <v>38</v>
      </c>
      <c r="F87" t="s">
        <v>30</v>
      </c>
      <c r="G87">
        <v>2132</v>
      </c>
      <c r="H87">
        <v>3</v>
      </c>
      <c r="I87">
        <v>895.66</v>
      </c>
      <c r="J87">
        <v>1092.25</v>
      </c>
      <c r="L87">
        <v>0</v>
      </c>
    </row>
    <row r="88" spans="1:12" x14ac:dyDescent="0.25">
      <c r="A88" t="s">
        <v>220</v>
      </c>
      <c r="B88">
        <v>31</v>
      </c>
      <c r="C88" s="1">
        <v>45780.644502314812</v>
      </c>
      <c r="D88" t="s">
        <v>164</v>
      </c>
      <c r="E88" t="s">
        <v>165</v>
      </c>
      <c r="F88" t="s">
        <v>116</v>
      </c>
      <c r="G88">
        <v>0</v>
      </c>
      <c r="H88">
        <v>3</v>
      </c>
      <c r="I88">
        <v>384.89</v>
      </c>
      <c r="J88">
        <v>592.37</v>
      </c>
      <c r="K88" t="s">
        <v>46</v>
      </c>
      <c r="L88">
        <v>0.1</v>
      </c>
    </row>
    <row r="89" spans="1:12" x14ac:dyDescent="0.25">
      <c r="A89" t="s">
        <v>221</v>
      </c>
      <c r="B89">
        <v>185</v>
      </c>
      <c r="C89" s="1">
        <v>45780.755208333343</v>
      </c>
      <c r="D89" t="s">
        <v>92</v>
      </c>
      <c r="E89" t="s">
        <v>93</v>
      </c>
      <c r="F89" t="s">
        <v>52</v>
      </c>
      <c r="G89">
        <v>230</v>
      </c>
      <c r="H89">
        <v>3</v>
      </c>
      <c r="I89">
        <v>46.36</v>
      </c>
      <c r="J89">
        <v>79.84</v>
      </c>
      <c r="L89">
        <v>0</v>
      </c>
    </row>
    <row r="90" spans="1:12" x14ac:dyDescent="0.25">
      <c r="A90" t="s">
        <v>222</v>
      </c>
      <c r="B90">
        <v>48</v>
      </c>
      <c r="C90" s="1">
        <v>45780.995509259257</v>
      </c>
      <c r="D90" t="s">
        <v>198</v>
      </c>
      <c r="E90" t="s">
        <v>199</v>
      </c>
      <c r="F90" t="s">
        <v>116</v>
      </c>
      <c r="G90">
        <v>0</v>
      </c>
      <c r="H90">
        <v>2</v>
      </c>
      <c r="I90">
        <v>472.37</v>
      </c>
      <c r="J90">
        <v>606.87</v>
      </c>
      <c r="K90" t="s">
        <v>60</v>
      </c>
      <c r="L90">
        <v>0.2</v>
      </c>
    </row>
    <row r="91" spans="1:12" x14ac:dyDescent="0.25">
      <c r="A91" t="s">
        <v>223</v>
      </c>
      <c r="B91">
        <v>118</v>
      </c>
      <c r="C91" s="1">
        <v>45781.817569444444</v>
      </c>
      <c r="D91" t="s">
        <v>137</v>
      </c>
      <c r="E91" t="s">
        <v>138</v>
      </c>
      <c r="F91" t="s">
        <v>52</v>
      </c>
      <c r="G91">
        <v>444</v>
      </c>
      <c r="H91">
        <v>2</v>
      </c>
      <c r="I91">
        <v>65.64</v>
      </c>
      <c r="J91">
        <v>189.77</v>
      </c>
      <c r="L91">
        <v>0</v>
      </c>
    </row>
    <row r="92" spans="1:12" x14ac:dyDescent="0.25">
      <c r="A92" t="s">
        <v>224</v>
      </c>
      <c r="B92">
        <v>90</v>
      </c>
      <c r="C92" s="1">
        <v>45782.23978009259</v>
      </c>
      <c r="D92" t="s">
        <v>164</v>
      </c>
      <c r="E92" t="s">
        <v>165</v>
      </c>
      <c r="F92" t="s">
        <v>116</v>
      </c>
      <c r="G92">
        <v>0</v>
      </c>
      <c r="H92">
        <v>2</v>
      </c>
      <c r="I92">
        <v>444.43</v>
      </c>
      <c r="J92">
        <v>719.86</v>
      </c>
      <c r="L92">
        <v>0</v>
      </c>
    </row>
    <row r="93" spans="1:12" x14ac:dyDescent="0.25">
      <c r="A93" t="s">
        <v>225</v>
      </c>
      <c r="B93">
        <v>67</v>
      </c>
      <c r="C93" s="1">
        <v>45782.826550925929</v>
      </c>
      <c r="D93" t="s">
        <v>110</v>
      </c>
      <c r="E93" t="s">
        <v>111</v>
      </c>
      <c r="F93" t="s">
        <v>30</v>
      </c>
      <c r="G93">
        <v>2111</v>
      </c>
      <c r="H93">
        <v>2</v>
      </c>
      <c r="I93">
        <v>1438.72</v>
      </c>
      <c r="J93">
        <v>1957.07</v>
      </c>
      <c r="K93" t="s">
        <v>60</v>
      </c>
      <c r="L93">
        <v>0.2</v>
      </c>
    </row>
    <row r="94" spans="1:12" x14ac:dyDescent="0.25">
      <c r="A94" t="s">
        <v>226</v>
      </c>
      <c r="B94">
        <v>25</v>
      </c>
      <c r="C94" s="1">
        <v>45783.22215277778</v>
      </c>
      <c r="D94" t="s">
        <v>95</v>
      </c>
      <c r="E94" t="s">
        <v>96</v>
      </c>
      <c r="F94" t="s">
        <v>52</v>
      </c>
      <c r="G94">
        <v>519</v>
      </c>
      <c r="H94">
        <v>2</v>
      </c>
      <c r="I94">
        <v>47.07</v>
      </c>
      <c r="J94">
        <v>58.55</v>
      </c>
      <c r="L94">
        <v>0</v>
      </c>
    </row>
    <row r="95" spans="1:12" x14ac:dyDescent="0.25">
      <c r="A95" t="s">
        <v>227</v>
      </c>
      <c r="B95">
        <v>79</v>
      </c>
      <c r="C95" s="1">
        <v>45783.62222222222</v>
      </c>
      <c r="D95" t="s">
        <v>50</v>
      </c>
      <c r="E95" t="s">
        <v>51</v>
      </c>
      <c r="F95" t="s">
        <v>52</v>
      </c>
      <c r="G95">
        <v>762</v>
      </c>
      <c r="H95">
        <v>2</v>
      </c>
      <c r="I95">
        <v>120.39</v>
      </c>
      <c r="J95">
        <v>300.2</v>
      </c>
      <c r="L95">
        <v>0</v>
      </c>
    </row>
    <row r="96" spans="1:12" x14ac:dyDescent="0.25">
      <c r="A96" t="s">
        <v>228</v>
      </c>
      <c r="B96">
        <v>8</v>
      </c>
      <c r="C96" s="1">
        <v>45783.748402777783</v>
      </c>
      <c r="D96" t="s">
        <v>43</v>
      </c>
      <c r="E96" t="s">
        <v>44</v>
      </c>
      <c r="F96" t="s">
        <v>45</v>
      </c>
      <c r="G96">
        <v>0</v>
      </c>
      <c r="H96">
        <v>1</v>
      </c>
      <c r="I96">
        <v>32.07</v>
      </c>
      <c r="J96">
        <v>119.62</v>
      </c>
      <c r="L96">
        <v>0</v>
      </c>
    </row>
    <row r="97" spans="1:12" x14ac:dyDescent="0.25">
      <c r="A97" t="s">
        <v>229</v>
      </c>
      <c r="B97">
        <v>26</v>
      </c>
      <c r="C97" s="1">
        <v>45783.753460648149</v>
      </c>
      <c r="D97" t="s">
        <v>66</v>
      </c>
      <c r="E97" t="s">
        <v>67</v>
      </c>
      <c r="F97" t="s">
        <v>52</v>
      </c>
      <c r="G97">
        <v>258</v>
      </c>
      <c r="H97">
        <v>1</v>
      </c>
      <c r="I97">
        <v>27.38</v>
      </c>
      <c r="J97">
        <v>60.24</v>
      </c>
      <c r="L97">
        <v>0</v>
      </c>
    </row>
    <row r="98" spans="1:12" x14ac:dyDescent="0.25">
      <c r="A98" t="s">
        <v>231</v>
      </c>
      <c r="B98">
        <v>2</v>
      </c>
      <c r="C98" s="1">
        <v>45784.411863425928</v>
      </c>
      <c r="D98" t="s">
        <v>89</v>
      </c>
      <c r="E98" t="s">
        <v>90</v>
      </c>
      <c r="F98" t="s">
        <v>52</v>
      </c>
      <c r="G98">
        <v>200</v>
      </c>
      <c r="H98">
        <v>3</v>
      </c>
      <c r="I98">
        <v>81.37</v>
      </c>
      <c r="J98">
        <v>208.93</v>
      </c>
      <c r="K98" t="s">
        <v>46</v>
      </c>
      <c r="L98">
        <v>0.1</v>
      </c>
    </row>
    <row r="99" spans="1:12" x14ac:dyDescent="0.25">
      <c r="A99" t="s">
        <v>232</v>
      </c>
      <c r="B99">
        <v>78</v>
      </c>
      <c r="C99" s="1">
        <v>45784.587812500002</v>
      </c>
      <c r="D99" t="s">
        <v>137</v>
      </c>
      <c r="E99" t="s">
        <v>138</v>
      </c>
      <c r="F99" t="s">
        <v>52</v>
      </c>
      <c r="G99">
        <v>338</v>
      </c>
      <c r="H99">
        <v>2</v>
      </c>
      <c r="I99">
        <v>78.37</v>
      </c>
      <c r="J99">
        <v>191.65</v>
      </c>
      <c r="L99">
        <v>0</v>
      </c>
    </row>
    <row r="100" spans="1:12" x14ac:dyDescent="0.25">
      <c r="A100" t="s">
        <v>233</v>
      </c>
      <c r="B100">
        <v>165</v>
      </c>
      <c r="C100" s="1">
        <v>45784.889097222222</v>
      </c>
      <c r="D100" t="s">
        <v>71</v>
      </c>
      <c r="E100" t="s">
        <v>72</v>
      </c>
      <c r="F100" t="s">
        <v>52</v>
      </c>
      <c r="G100">
        <v>202</v>
      </c>
      <c r="H100">
        <v>2</v>
      </c>
      <c r="I100">
        <v>32.15</v>
      </c>
      <c r="J100">
        <v>140.16999999999999</v>
      </c>
      <c r="L100">
        <v>0</v>
      </c>
    </row>
    <row r="101" spans="1:12" x14ac:dyDescent="0.25">
      <c r="A101" t="s">
        <v>234</v>
      </c>
      <c r="B101">
        <v>13</v>
      </c>
      <c r="C101" s="1">
        <v>45785.157013888893</v>
      </c>
      <c r="D101" t="s">
        <v>43</v>
      </c>
      <c r="E101" t="s">
        <v>44</v>
      </c>
      <c r="F101" t="s">
        <v>45</v>
      </c>
      <c r="G101">
        <v>0</v>
      </c>
      <c r="H101">
        <v>3</v>
      </c>
      <c r="I101">
        <v>30.24</v>
      </c>
      <c r="J101">
        <v>59.5</v>
      </c>
      <c r="L101">
        <v>0</v>
      </c>
    </row>
    <row r="102" spans="1:12" x14ac:dyDescent="0.25">
      <c r="A102" t="s">
        <v>235</v>
      </c>
      <c r="B102">
        <v>145</v>
      </c>
      <c r="C102" s="1">
        <v>45785.272152777783</v>
      </c>
      <c r="D102" t="s">
        <v>92</v>
      </c>
      <c r="E102" t="s">
        <v>93</v>
      </c>
      <c r="F102" t="s">
        <v>52</v>
      </c>
      <c r="G102">
        <v>291</v>
      </c>
      <c r="H102">
        <v>3</v>
      </c>
      <c r="I102">
        <v>29.51</v>
      </c>
      <c r="J102">
        <v>55.78</v>
      </c>
      <c r="K102" t="s">
        <v>46</v>
      </c>
      <c r="L102">
        <v>0.1</v>
      </c>
    </row>
    <row r="103" spans="1:12" x14ac:dyDescent="0.25">
      <c r="A103" t="s">
        <v>236</v>
      </c>
      <c r="B103">
        <v>80</v>
      </c>
      <c r="C103" s="1">
        <v>45785.527002314811</v>
      </c>
      <c r="D103" t="s">
        <v>148</v>
      </c>
      <c r="E103" t="s">
        <v>149</v>
      </c>
      <c r="F103" t="s">
        <v>30</v>
      </c>
      <c r="G103">
        <v>3092</v>
      </c>
      <c r="H103">
        <v>2</v>
      </c>
      <c r="I103">
        <v>420.73</v>
      </c>
      <c r="J103">
        <v>627.35</v>
      </c>
      <c r="K103" t="s">
        <v>60</v>
      </c>
      <c r="L103">
        <v>0.2</v>
      </c>
    </row>
    <row r="104" spans="1:12" x14ac:dyDescent="0.25">
      <c r="A104" t="s">
        <v>237</v>
      </c>
      <c r="B104">
        <v>15</v>
      </c>
      <c r="C104" s="1">
        <v>45785.834270833337</v>
      </c>
      <c r="D104" t="s">
        <v>110</v>
      </c>
      <c r="E104" t="s">
        <v>111</v>
      </c>
      <c r="F104" t="s">
        <v>30</v>
      </c>
      <c r="G104">
        <v>2166</v>
      </c>
      <c r="H104">
        <v>3</v>
      </c>
      <c r="I104">
        <v>927.86</v>
      </c>
      <c r="J104">
        <v>1741.95</v>
      </c>
      <c r="L104">
        <v>0</v>
      </c>
    </row>
    <row r="105" spans="1:12" x14ac:dyDescent="0.25">
      <c r="A105" t="s">
        <v>239</v>
      </c>
      <c r="B105">
        <v>56</v>
      </c>
      <c r="C105" s="1">
        <v>45785.911817129629</v>
      </c>
      <c r="D105" t="s">
        <v>164</v>
      </c>
      <c r="E105" t="s">
        <v>165</v>
      </c>
      <c r="F105" t="s">
        <v>116</v>
      </c>
      <c r="G105">
        <v>0</v>
      </c>
      <c r="H105">
        <v>3</v>
      </c>
      <c r="I105">
        <v>234.8</v>
      </c>
      <c r="J105">
        <v>713.42</v>
      </c>
      <c r="L105">
        <v>0</v>
      </c>
    </row>
    <row r="106" spans="1:12" x14ac:dyDescent="0.25">
      <c r="A106" t="s">
        <v>240</v>
      </c>
      <c r="B106">
        <v>200</v>
      </c>
      <c r="C106" s="1">
        <v>45785.983275462961</v>
      </c>
      <c r="D106" t="s">
        <v>105</v>
      </c>
      <c r="E106" t="s">
        <v>106</v>
      </c>
      <c r="F106" t="s">
        <v>30</v>
      </c>
      <c r="G106">
        <v>2079</v>
      </c>
      <c r="H106">
        <v>3</v>
      </c>
      <c r="I106">
        <v>370.55</v>
      </c>
      <c r="J106">
        <v>653.96</v>
      </c>
      <c r="K106" t="s">
        <v>46</v>
      </c>
      <c r="L106">
        <v>0.1</v>
      </c>
    </row>
    <row r="107" spans="1:12" x14ac:dyDescent="0.25">
      <c r="A107" t="s">
        <v>241</v>
      </c>
      <c r="B107">
        <v>26</v>
      </c>
      <c r="C107" s="1">
        <v>45786.003506944442</v>
      </c>
      <c r="D107" t="s">
        <v>155</v>
      </c>
      <c r="E107" t="s">
        <v>156</v>
      </c>
      <c r="F107" t="s">
        <v>30</v>
      </c>
      <c r="G107">
        <v>4135</v>
      </c>
      <c r="H107">
        <v>2</v>
      </c>
      <c r="I107">
        <v>1095.01</v>
      </c>
      <c r="J107">
        <v>1315.82</v>
      </c>
      <c r="K107" t="s">
        <v>46</v>
      </c>
      <c r="L107">
        <v>0.1</v>
      </c>
    </row>
    <row r="108" spans="1:12" x14ac:dyDescent="0.25">
      <c r="A108" t="s">
        <v>242</v>
      </c>
      <c r="B108">
        <v>173</v>
      </c>
      <c r="C108" s="1">
        <v>45786.547002314823</v>
      </c>
      <c r="D108" t="s">
        <v>95</v>
      </c>
      <c r="E108" t="s">
        <v>96</v>
      </c>
      <c r="F108" t="s">
        <v>52</v>
      </c>
      <c r="G108">
        <v>310</v>
      </c>
      <c r="H108">
        <v>1</v>
      </c>
      <c r="I108">
        <v>33.770000000000003</v>
      </c>
      <c r="J108">
        <v>47.17</v>
      </c>
      <c r="K108" t="s">
        <v>46</v>
      </c>
      <c r="L108">
        <v>0.1</v>
      </c>
    </row>
    <row r="109" spans="1:12" x14ac:dyDescent="0.25">
      <c r="A109" t="s">
        <v>244</v>
      </c>
      <c r="B109">
        <v>88</v>
      </c>
      <c r="C109" s="1">
        <v>45786.55878472222</v>
      </c>
      <c r="D109" t="s">
        <v>71</v>
      </c>
      <c r="E109" t="s">
        <v>72</v>
      </c>
      <c r="F109" t="s">
        <v>52</v>
      </c>
      <c r="G109">
        <v>276</v>
      </c>
      <c r="H109">
        <v>1</v>
      </c>
      <c r="I109">
        <v>79.63</v>
      </c>
      <c r="J109">
        <v>98.9</v>
      </c>
      <c r="K109" t="s">
        <v>46</v>
      </c>
      <c r="L109">
        <v>0.1</v>
      </c>
    </row>
    <row r="110" spans="1:12" x14ac:dyDescent="0.25">
      <c r="A110" t="s">
        <v>245</v>
      </c>
      <c r="B110">
        <v>53</v>
      </c>
      <c r="C110" s="1">
        <v>45786.612546296303</v>
      </c>
      <c r="D110" t="s">
        <v>86</v>
      </c>
      <c r="E110" t="s">
        <v>87</v>
      </c>
      <c r="F110" t="s">
        <v>45</v>
      </c>
      <c r="G110">
        <v>0</v>
      </c>
      <c r="H110">
        <v>3</v>
      </c>
      <c r="I110">
        <v>76.760000000000005</v>
      </c>
      <c r="J110">
        <v>129.33000000000001</v>
      </c>
      <c r="K110" t="s">
        <v>46</v>
      </c>
      <c r="L110">
        <v>0.1</v>
      </c>
    </row>
    <row r="111" spans="1:12" x14ac:dyDescent="0.25">
      <c r="A111" t="s">
        <v>246</v>
      </c>
      <c r="B111">
        <v>154</v>
      </c>
      <c r="C111" s="1">
        <v>45786.65520833333</v>
      </c>
      <c r="D111" t="s">
        <v>86</v>
      </c>
      <c r="E111" t="s">
        <v>87</v>
      </c>
      <c r="F111" t="s">
        <v>45</v>
      </c>
      <c r="G111">
        <v>0</v>
      </c>
      <c r="H111">
        <v>2</v>
      </c>
      <c r="I111">
        <v>86.51</v>
      </c>
      <c r="J111">
        <v>112.57</v>
      </c>
      <c r="K111" t="s">
        <v>46</v>
      </c>
      <c r="L111">
        <v>0.1</v>
      </c>
    </row>
    <row r="112" spans="1:12" x14ac:dyDescent="0.25">
      <c r="A112" t="s">
        <v>247</v>
      </c>
      <c r="B112">
        <v>71</v>
      </c>
      <c r="C112" s="1">
        <v>45786.774131944447</v>
      </c>
      <c r="D112" t="s">
        <v>114</v>
      </c>
      <c r="E112" t="s">
        <v>115</v>
      </c>
      <c r="F112" t="s">
        <v>116</v>
      </c>
      <c r="G112">
        <v>0</v>
      </c>
      <c r="H112">
        <v>1</v>
      </c>
      <c r="I112">
        <v>462.83</v>
      </c>
      <c r="J112">
        <v>715.71</v>
      </c>
      <c r="L112">
        <v>0</v>
      </c>
    </row>
    <row r="113" spans="1:12" x14ac:dyDescent="0.25">
      <c r="A113" t="s">
        <v>249</v>
      </c>
      <c r="B113">
        <v>104</v>
      </c>
      <c r="C113" s="1">
        <v>45786.970972222232</v>
      </c>
      <c r="D113" t="s">
        <v>37</v>
      </c>
      <c r="E113" t="s">
        <v>38</v>
      </c>
      <c r="F113" t="s">
        <v>30</v>
      </c>
      <c r="G113">
        <v>2604</v>
      </c>
      <c r="H113">
        <v>2</v>
      </c>
      <c r="I113">
        <v>503.33</v>
      </c>
      <c r="J113">
        <v>922.66</v>
      </c>
      <c r="L113">
        <v>0</v>
      </c>
    </row>
    <row r="114" spans="1:12" x14ac:dyDescent="0.25">
      <c r="A114" t="s">
        <v>250</v>
      </c>
      <c r="B114">
        <v>167</v>
      </c>
      <c r="C114" s="1">
        <v>45787.047476851847</v>
      </c>
      <c r="D114" t="s">
        <v>164</v>
      </c>
      <c r="E114" t="s">
        <v>165</v>
      </c>
      <c r="F114" t="s">
        <v>116</v>
      </c>
      <c r="G114">
        <v>0</v>
      </c>
      <c r="H114">
        <v>1</v>
      </c>
      <c r="I114">
        <v>287.68</v>
      </c>
      <c r="J114">
        <v>683.42</v>
      </c>
      <c r="K114" t="s">
        <v>60</v>
      </c>
      <c r="L114">
        <v>0.2</v>
      </c>
    </row>
    <row r="115" spans="1:12" x14ac:dyDescent="0.25">
      <c r="A115" t="s">
        <v>251</v>
      </c>
      <c r="B115">
        <v>99</v>
      </c>
      <c r="C115" s="1">
        <v>45787.409004629633</v>
      </c>
      <c r="D115" t="s">
        <v>105</v>
      </c>
      <c r="E115" t="s">
        <v>106</v>
      </c>
      <c r="F115" t="s">
        <v>30</v>
      </c>
      <c r="G115">
        <v>2060</v>
      </c>
      <c r="H115">
        <v>2</v>
      </c>
      <c r="I115">
        <v>231.23</v>
      </c>
      <c r="J115">
        <v>687.92</v>
      </c>
      <c r="L115">
        <v>0</v>
      </c>
    </row>
    <row r="116" spans="1:12" x14ac:dyDescent="0.25">
      <c r="A116" t="s">
        <v>252</v>
      </c>
      <c r="B116">
        <v>50</v>
      </c>
      <c r="C116" s="1">
        <v>45787.479409722233</v>
      </c>
      <c r="D116" t="s">
        <v>71</v>
      </c>
      <c r="E116" t="s">
        <v>72</v>
      </c>
      <c r="F116" t="s">
        <v>52</v>
      </c>
      <c r="G116">
        <v>209</v>
      </c>
      <c r="H116">
        <v>3</v>
      </c>
      <c r="I116">
        <v>39.94</v>
      </c>
      <c r="J116">
        <v>82.03</v>
      </c>
      <c r="L116">
        <v>0</v>
      </c>
    </row>
    <row r="117" spans="1:12" x14ac:dyDescent="0.25">
      <c r="A117" t="s">
        <v>253</v>
      </c>
      <c r="B117">
        <v>194</v>
      </c>
      <c r="C117" s="1">
        <v>45787.883368055547</v>
      </c>
      <c r="D117" t="s">
        <v>137</v>
      </c>
      <c r="E117" t="s">
        <v>138</v>
      </c>
      <c r="F117" t="s">
        <v>52</v>
      </c>
      <c r="G117">
        <v>318</v>
      </c>
      <c r="H117">
        <v>2</v>
      </c>
      <c r="I117">
        <v>98.38</v>
      </c>
      <c r="J117">
        <v>162.72</v>
      </c>
      <c r="L117">
        <v>0</v>
      </c>
    </row>
    <row r="118" spans="1:12" x14ac:dyDescent="0.25">
      <c r="A118" t="s">
        <v>254</v>
      </c>
      <c r="B118">
        <v>90</v>
      </c>
      <c r="C118" s="1">
        <v>45787.904456018521</v>
      </c>
      <c r="D118" t="s">
        <v>137</v>
      </c>
      <c r="E118" t="s">
        <v>138</v>
      </c>
      <c r="F118" t="s">
        <v>52</v>
      </c>
      <c r="G118">
        <v>467</v>
      </c>
      <c r="H118">
        <v>1</v>
      </c>
      <c r="I118">
        <v>120.23</v>
      </c>
      <c r="J118">
        <v>172.14</v>
      </c>
      <c r="K118" t="s">
        <v>60</v>
      </c>
      <c r="L118">
        <v>0.2</v>
      </c>
    </row>
    <row r="119" spans="1:12" x14ac:dyDescent="0.25">
      <c r="A119" t="s">
        <v>255</v>
      </c>
      <c r="B119">
        <v>39</v>
      </c>
      <c r="C119" s="1">
        <v>45788.673518518517</v>
      </c>
      <c r="D119" t="s">
        <v>81</v>
      </c>
      <c r="E119" t="s">
        <v>82</v>
      </c>
      <c r="F119" t="s">
        <v>45</v>
      </c>
      <c r="G119">
        <v>0</v>
      </c>
      <c r="H119">
        <v>1</v>
      </c>
      <c r="I119">
        <v>30.35</v>
      </c>
      <c r="J119">
        <v>191.41</v>
      </c>
      <c r="L119">
        <v>0</v>
      </c>
    </row>
    <row r="120" spans="1:12" x14ac:dyDescent="0.25">
      <c r="A120" t="s">
        <v>256</v>
      </c>
      <c r="B120">
        <v>52</v>
      </c>
      <c r="C120" s="1">
        <v>45788.792175925933</v>
      </c>
      <c r="D120" t="s">
        <v>110</v>
      </c>
      <c r="E120" t="s">
        <v>111</v>
      </c>
      <c r="F120" t="s">
        <v>30</v>
      </c>
      <c r="G120">
        <v>2129</v>
      </c>
      <c r="H120">
        <v>2</v>
      </c>
      <c r="I120">
        <v>935.02</v>
      </c>
      <c r="J120">
        <v>1974.19</v>
      </c>
      <c r="L120">
        <v>0</v>
      </c>
    </row>
    <row r="121" spans="1:12" x14ac:dyDescent="0.25">
      <c r="A121" t="s">
        <v>257</v>
      </c>
      <c r="B121">
        <v>105</v>
      </c>
      <c r="C121" s="1">
        <v>45788.949606481481</v>
      </c>
      <c r="D121" t="s">
        <v>137</v>
      </c>
      <c r="E121" t="s">
        <v>138</v>
      </c>
      <c r="F121" t="s">
        <v>52</v>
      </c>
      <c r="G121">
        <v>474</v>
      </c>
      <c r="H121">
        <v>1</v>
      </c>
      <c r="I121">
        <v>101.09</v>
      </c>
      <c r="J121">
        <v>275.27999999999997</v>
      </c>
      <c r="L121">
        <v>0</v>
      </c>
    </row>
    <row r="122" spans="1:12" x14ac:dyDescent="0.25">
      <c r="A122" t="s">
        <v>259</v>
      </c>
      <c r="B122">
        <v>38</v>
      </c>
      <c r="C122" s="1">
        <v>45789.080358796287</v>
      </c>
      <c r="D122" t="s">
        <v>137</v>
      </c>
      <c r="E122" t="s">
        <v>138</v>
      </c>
      <c r="F122" t="s">
        <v>52</v>
      </c>
      <c r="G122">
        <v>388</v>
      </c>
      <c r="H122">
        <v>1</v>
      </c>
      <c r="I122">
        <v>128.41</v>
      </c>
      <c r="J122">
        <v>263.5</v>
      </c>
      <c r="K122" t="s">
        <v>60</v>
      </c>
      <c r="L122">
        <v>0.2</v>
      </c>
    </row>
    <row r="123" spans="1:12" x14ac:dyDescent="0.25">
      <c r="A123" t="s">
        <v>260</v>
      </c>
      <c r="B123">
        <v>10</v>
      </c>
      <c r="C123" s="1">
        <v>45789.191145833327</v>
      </c>
      <c r="D123" t="s">
        <v>37</v>
      </c>
      <c r="E123" t="s">
        <v>38</v>
      </c>
      <c r="F123" t="s">
        <v>30</v>
      </c>
      <c r="G123">
        <v>2720</v>
      </c>
      <c r="H123">
        <v>3</v>
      </c>
      <c r="I123">
        <v>613.24</v>
      </c>
      <c r="J123">
        <v>1093.08</v>
      </c>
      <c r="K123" t="s">
        <v>60</v>
      </c>
      <c r="L123">
        <v>0.2</v>
      </c>
    </row>
    <row r="124" spans="1:12" x14ac:dyDescent="0.25">
      <c r="A124" t="s">
        <v>261</v>
      </c>
      <c r="B124">
        <v>46</v>
      </c>
      <c r="C124" s="1">
        <v>45789.523576388892</v>
      </c>
      <c r="D124" t="s">
        <v>86</v>
      </c>
      <c r="E124" t="s">
        <v>87</v>
      </c>
      <c r="F124" t="s">
        <v>45</v>
      </c>
      <c r="G124">
        <v>0</v>
      </c>
      <c r="H124">
        <v>1</v>
      </c>
      <c r="I124">
        <v>68.25</v>
      </c>
      <c r="J124">
        <v>166.83</v>
      </c>
      <c r="L124">
        <v>0</v>
      </c>
    </row>
    <row r="125" spans="1:12" x14ac:dyDescent="0.25">
      <c r="A125" t="s">
        <v>262</v>
      </c>
      <c r="B125">
        <v>119</v>
      </c>
      <c r="C125" s="1">
        <v>45790.134398148148</v>
      </c>
      <c r="D125" t="s">
        <v>198</v>
      </c>
      <c r="E125" t="s">
        <v>199</v>
      </c>
      <c r="F125" t="s">
        <v>116</v>
      </c>
      <c r="G125">
        <v>0</v>
      </c>
      <c r="H125">
        <v>1</v>
      </c>
      <c r="I125">
        <v>378.7</v>
      </c>
      <c r="J125">
        <v>565.74</v>
      </c>
      <c r="L125">
        <v>0</v>
      </c>
    </row>
    <row r="126" spans="1:12" x14ac:dyDescent="0.25">
      <c r="A126" t="s">
        <v>263</v>
      </c>
      <c r="B126">
        <v>38</v>
      </c>
      <c r="C126" s="1">
        <v>45790.366643518522</v>
      </c>
      <c r="D126" t="s">
        <v>164</v>
      </c>
      <c r="E126" t="s">
        <v>165</v>
      </c>
      <c r="F126" t="s">
        <v>116</v>
      </c>
      <c r="G126">
        <v>0</v>
      </c>
      <c r="H126">
        <v>2</v>
      </c>
      <c r="I126">
        <v>274.13</v>
      </c>
      <c r="J126">
        <v>592.48</v>
      </c>
      <c r="K126" t="s">
        <v>46</v>
      </c>
      <c r="L126">
        <v>0.1</v>
      </c>
    </row>
    <row r="127" spans="1:12" x14ac:dyDescent="0.25">
      <c r="A127" t="s">
        <v>265</v>
      </c>
      <c r="B127">
        <v>20</v>
      </c>
      <c r="C127" s="1">
        <v>45790.391643518517</v>
      </c>
      <c r="D127" t="s">
        <v>43</v>
      </c>
      <c r="E127" t="s">
        <v>44</v>
      </c>
      <c r="F127" t="s">
        <v>45</v>
      </c>
      <c r="G127">
        <v>0</v>
      </c>
      <c r="H127">
        <v>3</v>
      </c>
      <c r="I127">
        <v>69.91</v>
      </c>
      <c r="J127">
        <v>108.66</v>
      </c>
      <c r="K127" t="s">
        <v>60</v>
      </c>
      <c r="L127">
        <v>0.2</v>
      </c>
    </row>
    <row r="128" spans="1:12" x14ac:dyDescent="0.25">
      <c r="A128" t="s">
        <v>266</v>
      </c>
      <c r="B128">
        <v>84</v>
      </c>
      <c r="C128" s="1">
        <v>45790.502962962957</v>
      </c>
      <c r="D128" t="s">
        <v>71</v>
      </c>
      <c r="E128" t="s">
        <v>72</v>
      </c>
      <c r="F128" t="s">
        <v>52</v>
      </c>
      <c r="G128">
        <v>202</v>
      </c>
      <c r="H128">
        <v>1</v>
      </c>
      <c r="I128">
        <v>60.86</v>
      </c>
      <c r="J128">
        <v>130.65</v>
      </c>
      <c r="L128">
        <v>0</v>
      </c>
    </row>
    <row r="129" spans="1:12" x14ac:dyDescent="0.25">
      <c r="A129" t="s">
        <v>267</v>
      </c>
      <c r="B129">
        <v>122</v>
      </c>
      <c r="C129" s="1">
        <v>45790.51599537037</v>
      </c>
      <c r="D129" t="s">
        <v>50</v>
      </c>
      <c r="E129" t="s">
        <v>51</v>
      </c>
      <c r="F129" t="s">
        <v>52</v>
      </c>
      <c r="G129">
        <v>725</v>
      </c>
      <c r="H129">
        <v>1</v>
      </c>
      <c r="I129">
        <v>174.05</v>
      </c>
      <c r="J129">
        <v>287.11</v>
      </c>
      <c r="K129" t="s">
        <v>60</v>
      </c>
      <c r="L129">
        <v>0.2</v>
      </c>
    </row>
    <row r="130" spans="1:12" x14ac:dyDescent="0.25">
      <c r="A130" t="s">
        <v>268</v>
      </c>
      <c r="B130">
        <v>13</v>
      </c>
      <c r="C130" s="1">
        <v>45790.987500000003</v>
      </c>
      <c r="D130" t="s">
        <v>110</v>
      </c>
      <c r="E130" t="s">
        <v>111</v>
      </c>
      <c r="F130" t="s">
        <v>30</v>
      </c>
      <c r="G130">
        <v>2023</v>
      </c>
      <c r="H130">
        <v>3</v>
      </c>
      <c r="I130">
        <v>942.25</v>
      </c>
      <c r="J130">
        <v>1204.7</v>
      </c>
      <c r="L130">
        <v>0</v>
      </c>
    </row>
    <row r="131" spans="1:12" x14ac:dyDescent="0.25">
      <c r="A131" t="s">
        <v>269</v>
      </c>
      <c r="B131">
        <v>154</v>
      </c>
      <c r="C131" s="1">
        <v>45791.794872685183</v>
      </c>
      <c r="D131" t="s">
        <v>43</v>
      </c>
      <c r="E131" t="s">
        <v>44</v>
      </c>
      <c r="F131" t="s">
        <v>45</v>
      </c>
      <c r="G131">
        <v>0</v>
      </c>
      <c r="H131">
        <v>1</v>
      </c>
      <c r="I131">
        <v>60.88</v>
      </c>
      <c r="J131">
        <v>120.3</v>
      </c>
      <c r="L131">
        <v>0</v>
      </c>
    </row>
    <row r="132" spans="1:12" x14ac:dyDescent="0.25">
      <c r="A132" t="s">
        <v>270</v>
      </c>
      <c r="B132">
        <v>181</v>
      </c>
      <c r="C132" s="1">
        <v>45791.862037037034</v>
      </c>
      <c r="D132" t="s">
        <v>74</v>
      </c>
      <c r="E132" t="s">
        <v>75</v>
      </c>
      <c r="F132" t="s">
        <v>30</v>
      </c>
      <c r="G132">
        <v>2421</v>
      </c>
      <c r="H132">
        <v>1</v>
      </c>
      <c r="I132">
        <v>2133.0100000000002</v>
      </c>
      <c r="J132">
        <v>3222.91</v>
      </c>
      <c r="L132">
        <v>0</v>
      </c>
    </row>
    <row r="133" spans="1:12" x14ac:dyDescent="0.25">
      <c r="A133" t="s">
        <v>271</v>
      </c>
      <c r="B133">
        <v>191</v>
      </c>
      <c r="C133" s="1">
        <v>45791.86996527778</v>
      </c>
      <c r="D133" t="s">
        <v>74</v>
      </c>
      <c r="E133" t="s">
        <v>75</v>
      </c>
      <c r="F133" t="s">
        <v>30</v>
      </c>
      <c r="G133">
        <v>2859</v>
      </c>
      <c r="H133">
        <v>3</v>
      </c>
      <c r="I133">
        <v>2232.11</v>
      </c>
      <c r="J133">
        <v>4470.1899999999996</v>
      </c>
      <c r="K133" t="s">
        <v>46</v>
      </c>
      <c r="L133">
        <v>0.1</v>
      </c>
    </row>
    <row r="134" spans="1:12" x14ac:dyDescent="0.25">
      <c r="A134" t="s">
        <v>272</v>
      </c>
      <c r="B134">
        <v>155</v>
      </c>
      <c r="C134" s="1">
        <v>45791.917673611111</v>
      </c>
      <c r="D134" t="s">
        <v>37</v>
      </c>
      <c r="E134" t="s">
        <v>38</v>
      </c>
      <c r="F134" t="s">
        <v>30</v>
      </c>
      <c r="G134">
        <v>2273</v>
      </c>
      <c r="H134">
        <v>1</v>
      </c>
      <c r="I134">
        <v>636.25</v>
      </c>
      <c r="J134">
        <v>1133.6300000000001</v>
      </c>
      <c r="L134">
        <v>0</v>
      </c>
    </row>
    <row r="135" spans="1:12" x14ac:dyDescent="0.25">
      <c r="A135" t="s">
        <v>273</v>
      </c>
      <c r="B135">
        <v>121</v>
      </c>
      <c r="C135" s="1">
        <v>45792.070601851847</v>
      </c>
      <c r="D135" t="s">
        <v>50</v>
      </c>
      <c r="E135" t="s">
        <v>51</v>
      </c>
      <c r="F135" t="s">
        <v>52</v>
      </c>
      <c r="G135">
        <v>666</v>
      </c>
      <c r="H135">
        <v>1</v>
      </c>
      <c r="I135">
        <v>188.35</v>
      </c>
      <c r="J135">
        <v>309.45</v>
      </c>
      <c r="K135" t="s">
        <v>60</v>
      </c>
      <c r="L135">
        <v>0.2</v>
      </c>
    </row>
    <row r="136" spans="1:12" x14ac:dyDescent="0.25">
      <c r="A136" t="s">
        <v>274</v>
      </c>
      <c r="B136">
        <v>92</v>
      </c>
      <c r="C136" s="1">
        <v>45792.3827662037</v>
      </c>
      <c r="D136" t="s">
        <v>66</v>
      </c>
      <c r="E136" t="s">
        <v>67</v>
      </c>
      <c r="F136" t="s">
        <v>52</v>
      </c>
      <c r="G136">
        <v>251</v>
      </c>
      <c r="H136">
        <v>3</v>
      </c>
      <c r="I136">
        <v>48.22</v>
      </c>
      <c r="J136">
        <v>147.31</v>
      </c>
      <c r="K136" t="s">
        <v>60</v>
      </c>
      <c r="L136">
        <v>0.2</v>
      </c>
    </row>
    <row r="137" spans="1:12" x14ac:dyDescent="0.25">
      <c r="A137" t="s">
        <v>275</v>
      </c>
      <c r="B137">
        <v>127</v>
      </c>
      <c r="C137" s="1">
        <v>45792.637858796297</v>
      </c>
      <c r="D137" t="s">
        <v>110</v>
      </c>
      <c r="E137" t="s">
        <v>111</v>
      </c>
      <c r="F137" t="s">
        <v>30</v>
      </c>
      <c r="G137">
        <v>2104</v>
      </c>
      <c r="H137">
        <v>2</v>
      </c>
      <c r="I137">
        <v>1414.04</v>
      </c>
      <c r="J137">
        <v>1764.96</v>
      </c>
      <c r="K137" t="s">
        <v>46</v>
      </c>
      <c r="L137">
        <v>0.1</v>
      </c>
    </row>
    <row r="138" spans="1:12" x14ac:dyDescent="0.25">
      <c r="A138" t="s">
        <v>276</v>
      </c>
      <c r="B138">
        <v>5</v>
      </c>
      <c r="C138" s="1">
        <v>45792.686354166668</v>
      </c>
      <c r="D138" t="s">
        <v>105</v>
      </c>
      <c r="E138" t="s">
        <v>106</v>
      </c>
      <c r="F138" t="s">
        <v>30</v>
      </c>
      <c r="G138">
        <v>2042</v>
      </c>
      <c r="H138">
        <v>3</v>
      </c>
      <c r="I138">
        <v>310.92</v>
      </c>
      <c r="J138">
        <v>454.85</v>
      </c>
      <c r="L138">
        <v>0</v>
      </c>
    </row>
    <row r="139" spans="1:12" x14ac:dyDescent="0.25">
      <c r="A139" t="s">
        <v>277</v>
      </c>
      <c r="B139">
        <v>32</v>
      </c>
      <c r="C139" s="1">
        <v>45792.773611111108</v>
      </c>
      <c r="D139" t="s">
        <v>74</v>
      </c>
      <c r="E139" t="s">
        <v>75</v>
      </c>
      <c r="F139" t="s">
        <v>30</v>
      </c>
      <c r="G139">
        <v>2874</v>
      </c>
      <c r="H139">
        <v>3</v>
      </c>
      <c r="I139">
        <v>2381.94</v>
      </c>
      <c r="J139">
        <v>4296.76</v>
      </c>
      <c r="K139" t="s">
        <v>60</v>
      </c>
      <c r="L139">
        <v>0.2</v>
      </c>
    </row>
    <row r="140" spans="1:12" x14ac:dyDescent="0.25">
      <c r="A140" t="s">
        <v>278</v>
      </c>
      <c r="B140">
        <v>102</v>
      </c>
      <c r="C140" s="1">
        <v>45792.823437500003</v>
      </c>
      <c r="D140" t="s">
        <v>95</v>
      </c>
      <c r="E140" t="s">
        <v>96</v>
      </c>
      <c r="F140" t="s">
        <v>52</v>
      </c>
      <c r="G140">
        <v>347</v>
      </c>
      <c r="H140">
        <v>1</v>
      </c>
      <c r="I140">
        <v>26.66</v>
      </c>
      <c r="J140">
        <v>67.83</v>
      </c>
      <c r="K140" t="s">
        <v>60</v>
      </c>
      <c r="L140">
        <v>0.2</v>
      </c>
    </row>
    <row r="141" spans="1:12" x14ac:dyDescent="0.25">
      <c r="A141" t="s">
        <v>279</v>
      </c>
      <c r="B141">
        <v>177</v>
      </c>
      <c r="C141" s="1">
        <v>45793.498622685183</v>
      </c>
      <c r="D141" t="s">
        <v>74</v>
      </c>
      <c r="E141" t="s">
        <v>75</v>
      </c>
      <c r="F141" t="s">
        <v>30</v>
      </c>
      <c r="G141">
        <v>2895</v>
      </c>
      <c r="H141">
        <v>3</v>
      </c>
      <c r="I141">
        <v>2761.99</v>
      </c>
      <c r="J141">
        <v>3631.78</v>
      </c>
      <c r="K141" t="s">
        <v>46</v>
      </c>
      <c r="L141">
        <v>0.1</v>
      </c>
    </row>
    <row r="142" spans="1:12" x14ac:dyDescent="0.25">
      <c r="A142" t="s">
        <v>280</v>
      </c>
      <c r="B142">
        <v>17</v>
      </c>
      <c r="C142" s="1">
        <v>45794.564756944441</v>
      </c>
      <c r="D142" t="s">
        <v>105</v>
      </c>
      <c r="E142" t="s">
        <v>106</v>
      </c>
      <c r="F142" t="s">
        <v>30</v>
      </c>
      <c r="G142">
        <v>2001</v>
      </c>
      <c r="H142">
        <v>3</v>
      </c>
      <c r="I142">
        <v>288.69</v>
      </c>
      <c r="J142">
        <v>544.53</v>
      </c>
      <c r="K142" t="s">
        <v>46</v>
      </c>
      <c r="L142">
        <v>0.1</v>
      </c>
    </row>
    <row r="143" spans="1:12" x14ac:dyDescent="0.25">
      <c r="A143" t="s">
        <v>281</v>
      </c>
      <c r="B143">
        <v>187</v>
      </c>
      <c r="C143" s="1">
        <v>45795.072824074072</v>
      </c>
      <c r="D143" t="s">
        <v>198</v>
      </c>
      <c r="E143" t="s">
        <v>199</v>
      </c>
      <c r="F143" t="s">
        <v>116</v>
      </c>
      <c r="G143">
        <v>0</v>
      </c>
      <c r="H143">
        <v>1</v>
      </c>
      <c r="I143">
        <v>428.34</v>
      </c>
      <c r="J143">
        <v>605.9</v>
      </c>
      <c r="L143">
        <v>0</v>
      </c>
    </row>
    <row r="144" spans="1:12" x14ac:dyDescent="0.25">
      <c r="A144" t="s">
        <v>282</v>
      </c>
      <c r="B144">
        <v>44</v>
      </c>
      <c r="C144" s="1">
        <v>45795.167766203696</v>
      </c>
      <c r="D144" t="s">
        <v>58</v>
      </c>
      <c r="E144" t="s">
        <v>59</v>
      </c>
      <c r="F144" t="s">
        <v>30</v>
      </c>
      <c r="G144">
        <v>4989</v>
      </c>
      <c r="H144">
        <v>2</v>
      </c>
      <c r="I144">
        <v>333.05</v>
      </c>
      <c r="J144">
        <v>551.87</v>
      </c>
      <c r="K144" t="s">
        <v>46</v>
      </c>
      <c r="L144">
        <v>0.1</v>
      </c>
    </row>
    <row r="145" spans="1:12" x14ac:dyDescent="0.25">
      <c r="A145" t="s">
        <v>283</v>
      </c>
      <c r="B145">
        <v>69</v>
      </c>
      <c r="C145" s="1">
        <v>45796.22729166667</v>
      </c>
      <c r="D145" t="s">
        <v>110</v>
      </c>
      <c r="E145" t="s">
        <v>111</v>
      </c>
      <c r="F145" t="s">
        <v>30</v>
      </c>
      <c r="G145">
        <v>2062</v>
      </c>
      <c r="H145">
        <v>3</v>
      </c>
      <c r="I145">
        <v>1157.93</v>
      </c>
      <c r="J145">
        <v>1656.88</v>
      </c>
      <c r="L145">
        <v>0</v>
      </c>
    </row>
    <row r="146" spans="1:12" x14ac:dyDescent="0.25">
      <c r="A146" t="s">
        <v>284</v>
      </c>
      <c r="B146">
        <v>47</v>
      </c>
      <c r="C146" s="1">
        <v>45796.291805555556</v>
      </c>
      <c r="D146" t="s">
        <v>74</v>
      </c>
      <c r="E146" t="s">
        <v>75</v>
      </c>
      <c r="F146" t="s">
        <v>30</v>
      </c>
      <c r="G146">
        <v>2730</v>
      </c>
      <c r="H146">
        <v>2</v>
      </c>
      <c r="I146">
        <v>2926.02</v>
      </c>
      <c r="J146">
        <v>3475.29</v>
      </c>
      <c r="L146">
        <v>0</v>
      </c>
    </row>
    <row r="147" spans="1:12" x14ac:dyDescent="0.25">
      <c r="A147" t="s">
        <v>285</v>
      </c>
      <c r="B147">
        <v>172</v>
      </c>
      <c r="C147" s="1">
        <v>45796.326724537037</v>
      </c>
      <c r="D147" t="s">
        <v>148</v>
      </c>
      <c r="E147" t="s">
        <v>149</v>
      </c>
      <c r="F147" t="s">
        <v>30</v>
      </c>
      <c r="G147">
        <v>3269</v>
      </c>
      <c r="H147">
        <v>1</v>
      </c>
      <c r="I147">
        <v>437.91</v>
      </c>
      <c r="J147">
        <v>955.82</v>
      </c>
      <c r="K147" t="s">
        <v>60</v>
      </c>
      <c r="L147">
        <v>0.2</v>
      </c>
    </row>
    <row r="148" spans="1:12" x14ac:dyDescent="0.25">
      <c r="A148" t="s">
        <v>286</v>
      </c>
      <c r="B148">
        <v>135</v>
      </c>
      <c r="C148" s="1">
        <v>45796.43037037037</v>
      </c>
      <c r="D148" t="s">
        <v>28</v>
      </c>
      <c r="E148" t="s">
        <v>29</v>
      </c>
      <c r="F148" t="s">
        <v>30</v>
      </c>
      <c r="G148">
        <v>2214</v>
      </c>
      <c r="H148">
        <v>2</v>
      </c>
      <c r="I148">
        <v>1777.81</v>
      </c>
      <c r="J148">
        <v>3378.03</v>
      </c>
      <c r="K148" t="s">
        <v>46</v>
      </c>
      <c r="L148">
        <v>0.1</v>
      </c>
    </row>
    <row r="149" spans="1:12" x14ac:dyDescent="0.25">
      <c r="A149" t="s">
        <v>287</v>
      </c>
      <c r="B149">
        <v>108</v>
      </c>
      <c r="C149" s="1">
        <v>45796.750937500001</v>
      </c>
      <c r="D149" t="s">
        <v>28</v>
      </c>
      <c r="E149" t="s">
        <v>29</v>
      </c>
      <c r="F149" t="s">
        <v>30</v>
      </c>
      <c r="G149">
        <v>2525</v>
      </c>
      <c r="H149">
        <v>2</v>
      </c>
      <c r="I149">
        <v>2369.13</v>
      </c>
      <c r="J149">
        <v>3409.71</v>
      </c>
      <c r="L149">
        <v>0</v>
      </c>
    </row>
    <row r="150" spans="1:12" x14ac:dyDescent="0.25">
      <c r="A150" t="s">
        <v>288</v>
      </c>
      <c r="B150">
        <v>19</v>
      </c>
      <c r="C150" s="1">
        <v>45797.116678240738</v>
      </c>
      <c r="D150" t="s">
        <v>137</v>
      </c>
      <c r="E150" t="s">
        <v>138</v>
      </c>
      <c r="F150" t="s">
        <v>52</v>
      </c>
      <c r="G150">
        <v>418</v>
      </c>
      <c r="H150">
        <v>3</v>
      </c>
      <c r="I150">
        <v>113.83</v>
      </c>
      <c r="J150">
        <v>156.77000000000001</v>
      </c>
      <c r="K150" t="s">
        <v>46</v>
      </c>
      <c r="L150">
        <v>0.1</v>
      </c>
    </row>
    <row r="151" spans="1:12" x14ac:dyDescent="0.25">
      <c r="A151" t="s">
        <v>289</v>
      </c>
      <c r="B151">
        <v>150</v>
      </c>
      <c r="C151" s="1">
        <v>45797.41946759259</v>
      </c>
      <c r="D151" t="s">
        <v>148</v>
      </c>
      <c r="E151" t="s">
        <v>149</v>
      </c>
      <c r="F151" t="s">
        <v>30</v>
      </c>
      <c r="G151">
        <v>3238</v>
      </c>
      <c r="H151">
        <v>2</v>
      </c>
      <c r="I151">
        <v>586.42999999999995</v>
      </c>
      <c r="J151">
        <v>883.06</v>
      </c>
      <c r="L151">
        <v>0</v>
      </c>
    </row>
    <row r="152" spans="1:12" x14ac:dyDescent="0.25">
      <c r="A152" t="s">
        <v>290</v>
      </c>
      <c r="B152">
        <v>9</v>
      </c>
      <c r="C152" s="1">
        <v>45797.893333333333</v>
      </c>
      <c r="D152" t="s">
        <v>148</v>
      </c>
      <c r="E152" t="s">
        <v>149</v>
      </c>
      <c r="F152" t="s">
        <v>30</v>
      </c>
      <c r="G152">
        <v>2624</v>
      </c>
      <c r="H152">
        <v>2</v>
      </c>
      <c r="I152">
        <v>494.86</v>
      </c>
      <c r="J152">
        <v>616.91999999999996</v>
      </c>
      <c r="L152">
        <v>0</v>
      </c>
    </row>
    <row r="153" spans="1:12" x14ac:dyDescent="0.25">
      <c r="A153" t="s">
        <v>291</v>
      </c>
      <c r="B153">
        <v>19</v>
      </c>
      <c r="C153" s="1">
        <v>45798.089097222219</v>
      </c>
      <c r="D153" t="s">
        <v>105</v>
      </c>
      <c r="E153" t="s">
        <v>106</v>
      </c>
      <c r="F153" t="s">
        <v>30</v>
      </c>
      <c r="G153">
        <v>2049</v>
      </c>
      <c r="H153">
        <v>3</v>
      </c>
      <c r="I153">
        <v>211.93</v>
      </c>
      <c r="J153">
        <v>576.28</v>
      </c>
      <c r="L153">
        <v>0</v>
      </c>
    </row>
    <row r="154" spans="1:12" x14ac:dyDescent="0.25">
      <c r="A154" t="s">
        <v>292</v>
      </c>
      <c r="B154">
        <v>90</v>
      </c>
      <c r="C154" s="1">
        <v>45798.367789351847</v>
      </c>
      <c r="D154" t="s">
        <v>114</v>
      </c>
      <c r="E154" t="s">
        <v>115</v>
      </c>
      <c r="F154" t="s">
        <v>116</v>
      </c>
      <c r="G154">
        <v>0</v>
      </c>
      <c r="H154">
        <v>3</v>
      </c>
      <c r="I154">
        <v>449.86</v>
      </c>
      <c r="J154">
        <v>598.19000000000005</v>
      </c>
      <c r="L154">
        <v>0</v>
      </c>
    </row>
    <row r="155" spans="1:12" x14ac:dyDescent="0.25">
      <c r="A155" t="s">
        <v>293</v>
      </c>
      <c r="B155">
        <v>103</v>
      </c>
      <c r="C155" s="1">
        <v>45798.428831018522</v>
      </c>
      <c r="D155" t="s">
        <v>66</v>
      </c>
      <c r="E155" t="s">
        <v>67</v>
      </c>
      <c r="F155" t="s">
        <v>52</v>
      </c>
      <c r="G155">
        <v>248</v>
      </c>
      <c r="H155">
        <v>2</v>
      </c>
      <c r="I155">
        <v>50.72</v>
      </c>
      <c r="J155">
        <v>66.849999999999994</v>
      </c>
      <c r="L155">
        <v>0</v>
      </c>
    </row>
    <row r="156" spans="1:12" x14ac:dyDescent="0.25">
      <c r="A156" t="s">
        <v>294</v>
      </c>
      <c r="B156">
        <v>154</v>
      </c>
      <c r="C156" s="1">
        <v>45798.482303240737</v>
      </c>
      <c r="D156" t="s">
        <v>86</v>
      </c>
      <c r="E156" t="s">
        <v>87</v>
      </c>
      <c r="F156" t="s">
        <v>45</v>
      </c>
      <c r="G156">
        <v>0</v>
      </c>
      <c r="H156">
        <v>3</v>
      </c>
      <c r="I156">
        <v>89.76</v>
      </c>
      <c r="J156">
        <v>161.49</v>
      </c>
      <c r="L156">
        <v>0</v>
      </c>
    </row>
    <row r="157" spans="1:12" x14ac:dyDescent="0.25">
      <c r="A157" t="s">
        <v>295</v>
      </c>
      <c r="B157">
        <v>194</v>
      </c>
      <c r="C157" s="1">
        <v>45798.811168981483</v>
      </c>
      <c r="D157" t="s">
        <v>137</v>
      </c>
      <c r="E157" t="s">
        <v>138</v>
      </c>
      <c r="F157" t="s">
        <v>52</v>
      </c>
      <c r="G157">
        <v>450</v>
      </c>
      <c r="H157">
        <v>3</v>
      </c>
      <c r="I157">
        <v>133.49</v>
      </c>
      <c r="J157">
        <v>163.37</v>
      </c>
      <c r="K157" t="s">
        <v>60</v>
      </c>
      <c r="L157">
        <v>0.2</v>
      </c>
    </row>
    <row r="158" spans="1:12" x14ac:dyDescent="0.25">
      <c r="A158" t="s">
        <v>296</v>
      </c>
      <c r="B158">
        <v>131</v>
      </c>
      <c r="C158" s="1">
        <v>45799.28402777778</v>
      </c>
      <c r="D158" t="s">
        <v>58</v>
      </c>
      <c r="E158" t="s">
        <v>59</v>
      </c>
      <c r="F158" t="s">
        <v>30</v>
      </c>
      <c r="G158">
        <v>4215</v>
      </c>
      <c r="H158">
        <v>1</v>
      </c>
      <c r="I158">
        <v>359.61</v>
      </c>
      <c r="J158">
        <v>622.33000000000004</v>
      </c>
      <c r="K158" t="s">
        <v>46</v>
      </c>
      <c r="L158">
        <v>0.1</v>
      </c>
    </row>
    <row r="159" spans="1:12" x14ac:dyDescent="0.25">
      <c r="A159" t="s">
        <v>297</v>
      </c>
      <c r="B159">
        <v>88</v>
      </c>
      <c r="C159" s="1">
        <v>45799.759837962964</v>
      </c>
      <c r="D159" t="s">
        <v>137</v>
      </c>
      <c r="E159" t="s">
        <v>138</v>
      </c>
      <c r="F159" t="s">
        <v>52</v>
      </c>
      <c r="G159">
        <v>408</v>
      </c>
      <c r="H159">
        <v>3</v>
      </c>
      <c r="I159">
        <v>77.739999999999995</v>
      </c>
      <c r="J159">
        <v>262.24</v>
      </c>
      <c r="K159" t="s">
        <v>60</v>
      </c>
      <c r="L159">
        <v>0.2</v>
      </c>
    </row>
    <row r="160" spans="1:12" x14ac:dyDescent="0.25">
      <c r="A160" t="s">
        <v>298</v>
      </c>
      <c r="B160">
        <v>183</v>
      </c>
      <c r="C160" s="1">
        <v>45800.229189814818</v>
      </c>
      <c r="D160" t="s">
        <v>37</v>
      </c>
      <c r="E160" t="s">
        <v>38</v>
      </c>
      <c r="F160" t="s">
        <v>30</v>
      </c>
      <c r="G160">
        <v>2545</v>
      </c>
      <c r="H160">
        <v>2</v>
      </c>
      <c r="I160">
        <v>671.22</v>
      </c>
      <c r="J160">
        <v>1125.1600000000001</v>
      </c>
      <c r="L160">
        <v>0</v>
      </c>
    </row>
    <row r="161" spans="1:12" x14ac:dyDescent="0.25">
      <c r="A161" t="s">
        <v>299</v>
      </c>
      <c r="B161">
        <v>167</v>
      </c>
      <c r="C161" s="1">
        <v>45800.694131944438</v>
      </c>
      <c r="D161" t="s">
        <v>110</v>
      </c>
      <c r="E161" t="s">
        <v>111</v>
      </c>
      <c r="F161" t="s">
        <v>30</v>
      </c>
      <c r="G161">
        <v>2136</v>
      </c>
      <c r="H161">
        <v>2</v>
      </c>
      <c r="I161">
        <v>1347.83</v>
      </c>
      <c r="J161">
        <v>1817.64</v>
      </c>
      <c r="L161">
        <v>0</v>
      </c>
    </row>
    <row r="162" spans="1:12" x14ac:dyDescent="0.25">
      <c r="A162" t="s">
        <v>300</v>
      </c>
      <c r="B162">
        <v>131</v>
      </c>
      <c r="C162" s="1">
        <v>45801.286643518521</v>
      </c>
      <c r="D162" t="s">
        <v>28</v>
      </c>
      <c r="E162" t="s">
        <v>29</v>
      </c>
      <c r="F162" t="s">
        <v>30</v>
      </c>
      <c r="G162">
        <v>2026</v>
      </c>
      <c r="H162">
        <v>2</v>
      </c>
      <c r="I162">
        <v>1808.8</v>
      </c>
      <c r="J162">
        <v>3053.3</v>
      </c>
      <c r="L162">
        <v>0</v>
      </c>
    </row>
    <row r="163" spans="1:12" x14ac:dyDescent="0.25">
      <c r="A163" t="s">
        <v>301</v>
      </c>
      <c r="B163">
        <v>62</v>
      </c>
      <c r="C163" s="1">
        <v>45801.327824074076</v>
      </c>
      <c r="D163" t="s">
        <v>71</v>
      </c>
      <c r="E163" t="s">
        <v>72</v>
      </c>
      <c r="F163" t="s">
        <v>52</v>
      </c>
      <c r="G163">
        <v>273</v>
      </c>
      <c r="H163">
        <v>3</v>
      </c>
      <c r="I163">
        <v>42.81</v>
      </c>
      <c r="J163">
        <v>140.18</v>
      </c>
      <c r="K163" t="s">
        <v>46</v>
      </c>
      <c r="L163">
        <v>0.1</v>
      </c>
    </row>
    <row r="164" spans="1:12" x14ac:dyDescent="0.25">
      <c r="A164" t="s">
        <v>302</v>
      </c>
      <c r="B164">
        <v>97</v>
      </c>
      <c r="C164" s="1">
        <v>45801.405115740738</v>
      </c>
      <c r="D164" t="s">
        <v>92</v>
      </c>
      <c r="E164" t="s">
        <v>93</v>
      </c>
      <c r="F164" t="s">
        <v>52</v>
      </c>
      <c r="G164">
        <v>265</v>
      </c>
      <c r="H164">
        <v>1</v>
      </c>
      <c r="I164">
        <v>57.59</v>
      </c>
      <c r="J164">
        <v>108.35</v>
      </c>
      <c r="L164">
        <v>0</v>
      </c>
    </row>
    <row r="165" spans="1:12" x14ac:dyDescent="0.25">
      <c r="A165" t="s">
        <v>303</v>
      </c>
      <c r="B165">
        <v>194</v>
      </c>
      <c r="C165" s="1">
        <v>45801.421458333331</v>
      </c>
      <c r="D165" t="s">
        <v>155</v>
      </c>
      <c r="E165" t="s">
        <v>156</v>
      </c>
      <c r="F165" t="s">
        <v>30</v>
      </c>
      <c r="G165">
        <v>3989</v>
      </c>
      <c r="H165">
        <v>2</v>
      </c>
      <c r="I165">
        <v>740.41</v>
      </c>
      <c r="J165">
        <v>1952.81</v>
      </c>
      <c r="K165" t="s">
        <v>60</v>
      </c>
      <c r="L165">
        <v>0.2</v>
      </c>
    </row>
    <row r="166" spans="1:12" x14ac:dyDescent="0.25">
      <c r="A166" t="s">
        <v>304</v>
      </c>
      <c r="B166">
        <v>118</v>
      </c>
      <c r="C166" s="1">
        <v>45802.450069444443</v>
      </c>
      <c r="D166" t="s">
        <v>155</v>
      </c>
      <c r="E166" t="s">
        <v>156</v>
      </c>
      <c r="F166" t="s">
        <v>30</v>
      </c>
      <c r="G166">
        <v>3879</v>
      </c>
      <c r="H166">
        <v>3</v>
      </c>
      <c r="I166">
        <v>1000.39</v>
      </c>
      <c r="J166">
        <v>1343.8</v>
      </c>
      <c r="L166">
        <v>0</v>
      </c>
    </row>
    <row r="167" spans="1:12" x14ac:dyDescent="0.25">
      <c r="A167" t="s">
        <v>305</v>
      </c>
      <c r="B167">
        <v>5</v>
      </c>
      <c r="C167" s="1">
        <v>45802.460717592592</v>
      </c>
      <c r="D167" t="s">
        <v>86</v>
      </c>
      <c r="E167" t="s">
        <v>87</v>
      </c>
      <c r="F167" t="s">
        <v>45</v>
      </c>
      <c r="G167">
        <v>0</v>
      </c>
      <c r="H167">
        <v>3</v>
      </c>
      <c r="I167">
        <v>69.36</v>
      </c>
      <c r="J167">
        <v>157.18</v>
      </c>
      <c r="K167" t="s">
        <v>60</v>
      </c>
      <c r="L167">
        <v>0.2</v>
      </c>
    </row>
    <row r="168" spans="1:12" x14ac:dyDescent="0.25">
      <c r="A168" t="s">
        <v>306</v>
      </c>
      <c r="B168">
        <v>101</v>
      </c>
      <c r="C168" s="1">
        <v>45803.697511574072</v>
      </c>
      <c r="D168" t="s">
        <v>86</v>
      </c>
      <c r="E168" t="s">
        <v>87</v>
      </c>
      <c r="F168" t="s">
        <v>45</v>
      </c>
      <c r="G168">
        <v>0</v>
      </c>
      <c r="H168">
        <v>3</v>
      </c>
      <c r="I168">
        <v>74.41</v>
      </c>
      <c r="J168">
        <v>146.04</v>
      </c>
      <c r="K168" t="s">
        <v>60</v>
      </c>
      <c r="L168">
        <v>0.2</v>
      </c>
    </row>
    <row r="169" spans="1:12" x14ac:dyDescent="0.25">
      <c r="A169" t="s">
        <v>307</v>
      </c>
      <c r="B169">
        <v>175</v>
      </c>
      <c r="C169" s="1">
        <v>45804.246990740743</v>
      </c>
      <c r="D169" t="s">
        <v>114</v>
      </c>
      <c r="E169" t="s">
        <v>115</v>
      </c>
      <c r="F169" t="s">
        <v>116</v>
      </c>
      <c r="G169">
        <v>0</v>
      </c>
      <c r="H169">
        <v>2</v>
      </c>
      <c r="I169">
        <v>344.59</v>
      </c>
      <c r="J169">
        <v>477.74</v>
      </c>
      <c r="L169">
        <v>0</v>
      </c>
    </row>
    <row r="170" spans="1:12" x14ac:dyDescent="0.25">
      <c r="A170" t="s">
        <v>308</v>
      </c>
      <c r="B170">
        <v>34</v>
      </c>
      <c r="C170" s="1">
        <v>45804.296493055554</v>
      </c>
      <c r="D170" t="s">
        <v>71</v>
      </c>
      <c r="E170" t="s">
        <v>72</v>
      </c>
      <c r="F170" t="s">
        <v>52</v>
      </c>
      <c r="G170">
        <v>265</v>
      </c>
      <c r="H170">
        <v>3</v>
      </c>
      <c r="I170">
        <v>45.6</v>
      </c>
      <c r="J170">
        <v>79.78</v>
      </c>
      <c r="K170" t="s">
        <v>60</v>
      </c>
      <c r="L170">
        <v>0.2</v>
      </c>
    </row>
    <row r="171" spans="1:12" x14ac:dyDescent="0.25">
      <c r="A171" t="s">
        <v>309</v>
      </c>
      <c r="B171">
        <v>75</v>
      </c>
      <c r="C171" s="1">
        <v>45805.164560185192</v>
      </c>
      <c r="D171" t="s">
        <v>50</v>
      </c>
      <c r="E171" t="s">
        <v>51</v>
      </c>
      <c r="F171" t="s">
        <v>52</v>
      </c>
      <c r="G171">
        <v>771</v>
      </c>
      <c r="H171">
        <v>1</v>
      </c>
      <c r="I171">
        <v>172.67</v>
      </c>
      <c r="J171">
        <v>254.97</v>
      </c>
      <c r="L171">
        <v>0</v>
      </c>
    </row>
    <row r="172" spans="1:12" x14ac:dyDescent="0.25">
      <c r="A172" t="s">
        <v>310</v>
      </c>
      <c r="B172">
        <v>77</v>
      </c>
      <c r="C172" s="1">
        <v>45805.604317129633</v>
      </c>
      <c r="D172" t="s">
        <v>155</v>
      </c>
      <c r="E172" t="s">
        <v>156</v>
      </c>
      <c r="F172" t="s">
        <v>30</v>
      </c>
      <c r="G172">
        <v>4801</v>
      </c>
      <c r="H172">
        <v>1</v>
      </c>
      <c r="I172">
        <v>782</v>
      </c>
      <c r="J172">
        <v>1476.05</v>
      </c>
      <c r="K172" t="s">
        <v>46</v>
      </c>
      <c r="L172">
        <v>0.1</v>
      </c>
    </row>
    <row r="173" spans="1:12" x14ac:dyDescent="0.25">
      <c r="A173" t="s">
        <v>311</v>
      </c>
      <c r="B173">
        <v>98</v>
      </c>
      <c r="C173" s="1">
        <v>45805.645057870373</v>
      </c>
      <c r="D173" t="s">
        <v>66</v>
      </c>
      <c r="E173" t="s">
        <v>67</v>
      </c>
      <c r="F173" t="s">
        <v>52</v>
      </c>
      <c r="G173">
        <v>281</v>
      </c>
      <c r="H173">
        <v>2</v>
      </c>
      <c r="I173">
        <v>30.34</v>
      </c>
      <c r="J173">
        <v>73.14</v>
      </c>
      <c r="L173">
        <v>0</v>
      </c>
    </row>
    <row r="174" spans="1:12" x14ac:dyDescent="0.25">
      <c r="A174" t="s">
        <v>312</v>
      </c>
      <c r="B174">
        <v>47</v>
      </c>
      <c r="C174" s="1">
        <v>45805.692604166667</v>
      </c>
      <c r="D174" t="s">
        <v>43</v>
      </c>
      <c r="E174" t="s">
        <v>44</v>
      </c>
      <c r="F174" t="s">
        <v>45</v>
      </c>
      <c r="G174">
        <v>0</v>
      </c>
      <c r="H174">
        <v>1</v>
      </c>
      <c r="I174">
        <v>62.36</v>
      </c>
      <c r="J174">
        <v>127.9</v>
      </c>
      <c r="L174">
        <v>0</v>
      </c>
    </row>
    <row r="175" spans="1:12" x14ac:dyDescent="0.25">
      <c r="A175" t="s">
        <v>313</v>
      </c>
      <c r="B175">
        <v>8</v>
      </c>
      <c r="C175" s="1">
        <v>45806.190104166657</v>
      </c>
      <c r="D175" t="s">
        <v>37</v>
      </c>
      <c r="E175" t="s">
        <v>38</v>
      </c>
      <c r="F175" t="s">
        <v>30</v>
      </c>
      <c r="G175">
        <v>2203</v>
      </c>
      <c r="H175">
        <v>1</v>
      </c>
      <c r="I175">
        <v>441</v>
      </c>
      <c r="J175">
        <v>1327.64</v>
      </c>
      <c r="L175">
        <v>0</v>
      </c>
    </row>
    <row r="176" spans="1:12" x14ac:dyDescent="0.25">
      <c r="A176" t="s">
        <v>314</v>
      </c>
      <c r="B176">
        <v>125</v>
      </c>
      <c r="C176" s="1">
        <v>45806.301550925928</v>
      </c>
      <c r="D176" t="s">
        <v>89</v>
      </c>
      <c r="E176" t="s">
        <v>90</v>
      </c>
      <c r="F176" t="s">
        <v>52</v>
      </c>
      <c r="G176">
        <v>247</v>
      </c>
      <c r="H176">
        <v>3</v>
      </c>
      <c r="I176">
        <v>106.1</v>
      </c>
      <c r="J176">
        <v>218.06</v>
      </c>
      <c r="L176">
        <v>0</v>
      </c>
    </row>
    <row r="177" spans="1:12" x14ac:dyDescent="0.25">
      <c r="A177" t="s">
        <v>315</v>
      </c>
      <c r="B177">
        <v>13</v>
      </c>
      <c r="C177" s="1">
        <v>45806.804189814808</v>
      </c>
      <c r="D177" t="s">
        <v>137</v>
      </c>
      <c r="E177" t="s">
        <v>138</v>
      </c>
      <c r="F177" t="s">
        <v>52</v>
      </c>
      <c r="G177">
        <v>350</v>
      </c>
      <c r="H177">
        <v>3</v>
      </c>
      <c r="I177">
        <v>103.15</v>
      </c>
      <c r="J177">
        <v>253.56</v>
      </c>
      <c r="L177">
        <v>0</v>
      </c>
    </row>
    <row r="178" spans="1:12" x14ac:dyDescent="0.25">
      <c r="A178" t="s">
        <v>316</v>
      </c>
      <c r="B178">
        <v>117</v>
      </c>
      <c r="C178" s="1">
        <v>45806.958437499998</v>
      </c>
      <c r="D178" t="s">
        <v>164</v>
      </c>
      <c r="E178" t="s">
        <v>165</v>
      </c>
      <c r="F178" t="s">
        <v>116</v>
      </c>
      <c r="G178">
        <v>0</v>
      </c>
      <c r="H178">
        <v>1</v>
      </c>
      <c r="I178">
        <v>389.98</v>
      </c>
      <c r="J178">
        <v>663.33</v>
      </c>
      <c r="K178" t="s">
        <v>60</v>
      </c>
      <c r="L178">
        <v>0.2</v>
      </c>
    </row>
    <row r="179" spans="1:12" x14ac:dyDescent="0.25">
      <c r="A179" t="s">
        <v>317</v>
      </c>
      <c r="B179">
        <v>106</v>
      </c>
      <c r="C179" s="1">
        <v>45807.054629629631</v>
      </c>
      <c r="D179" t="s">
        <v>74</v>
      </c>
      <c r="E179" t="s">
        <v>75</v>
      </c>
      <c r="F179" t="s">
        <v>30</v>
      </c>
      <c r="G179">
        <v>2404</v>
      </c>
      <c r="H179">
        <v>1</v>
      </c>
      <c r="I179">
        <v>2734.27</v>
      </c>
      <c r="J179">
        <v>3464.65</v>
      </c>
      <c r="L179">
        <v>0</v>
      </c>
    </row>
    <row r="180" spans="1:12" x14ac:dyDescent="0.25">
      <c r="A180" t="s">
        <v>318</v>
      </c>
      <c r="B180">
        <v>8</v>
      </c>
      <c r="C180" s="1">
        <v>45807.150138888886</v>
      </c>
      <c r="D180" t="s">
        <v>177</v>
      </c>
      <c r="E180" t="s">
        <v>178</v>
      </c>
      <c r="F180" t="s">
        <v>116</v>
      </c>
      <c r="G180">
        <v>0</v>
      </c>
      <c r="H180">
        <v>1</v>
      </c>
      <c r="I180">
        <v>240.6</v>
      </c>
      <c r="J180">
        <v>303.64</v>
      </c>
      <c r="L180">
        <v>0</v>
      </c>
    </row>
    <row r="181" spans="1:12" x14ac:dyDescent="0.25">
      <c r="A181" t="s">
        <v>319</v>
      </c>
      <c r="B181">
        <v>185</v>
      </c>
      <c r="C181" s="1">
        <v>45807.899131944447</v>
      </c>
      <c r="D181" t="s">
        <v>28</v>
      </c>
      <c r="E181" t="s">
        <v>29</v>
      </c>
      <c r="F181" t="s">
        <v>30</v>
      </c>
      <c r="G181">
        <v>2036</v>
      </c>
      <c r="H181">
        <v>3</v>
      </c>
      <c r="I181">
        <v>2300.4</v>
      </c>
      <c r="J181">
        <v>3320.27</v>
      </c>
      <c r="L181">
        <v>0</v>
      </c>
    </row>
    <row r="182" spans="1:12" x14ac:dyDescent="0.25">
      <c r="A182" t="s">
        <v>320</v>
      </c>
      <c r="B182">
        <v>14</v>
      </c>
      <c r="C182" s="1">
        <v>45808.512777777767</v>
      </c>
      <c r="D182" t="s">
        <v>66</v>
      </c>
      <c r="E182" t="s">
        <v>67</v>
      </c>
      <c r="F182" t="s">
        <v>52</v>
      </c>
      <c r="G182">
        <v>222</v>
      </c>
      <c r="H182">
        <v>2</v>
      </c>
      <c r="I182">
        <v>67.209999999999994</v>
      </c>
      <c r="J182">
        <v>133.47999999999999</v>
      </c>
      <c r="L182">
        <v>0</v>
      </c>
    </row>
    <row r="183" spans="1:12" x14ac:dyDescent="0.25">
      <c r="A183" t="s">
        <v>321</v>
      </c>
      <c r="B183">
        <v>25</v>
      </c>
      <c r="C183" s="1">
        <v>45808.741006944438</v>
      </c>
      <c r="D183" t="s">
        <v>105</v>
      </c>
      <c r="E183" t="s">
        <v>106</v>
      </c>
      <c r="F183" t="s">
        <v>30</v>
      </c>
      <c r="G183">
        <v>2058</v>
      </c>
      <c r="H183">
        <v>1</v>
      </c>
      <c r="I183">
        <v>259.55</v>
      </c>
      <c r="J183">
        <v>682.87</v>
      </c>
      <c r="L183">
        <v>0</v>
      </c>
    </row>
    <row r="184" spans="1:12" x14ac:dyDescent="0.25">
      <c r="A184" t="s">
        <v>322</v>
      </c>
      <c r="B184">
        <v>11</v>
      </c>
      <c r="C184" s="1">
        <v>45809.244502314818</v>
      </c>
      <c r="D184" t="s">
        <v>148</v>
      </c>
      <c r="E184" t="s">
        <v>149</v>
      </c>
      <c r="F184" t="s">
        <v>30</v>
      </c>
      <c r="G184">
        <v>2702</v>
      </c>
      <c r="H184">
        <v>2</v>
      </c>
      <c r="I184">
        <v>499.2</v>
      </c>
      <c r="J184">
        <v>824.51</v>
      </c>
      <c r="K184" t="s">
        <v>46</v>
      </c>
      <c r="L184">
        <v>0.1</v>
      </c>
    </row>
    <row r="185" spans="1:12" x14ac:dyDescent="0.25">
      <c r="A185" t="s">
        <v>323</v>
      </c>
      <c r="B185">
        <v>63</v>
      </c>
      <c r="C185" s="1">
        <v>45809.359456018523</v>
      </c>
      <c r="D185" t="s">
        <v>92</v>
      </c>
      <c r="E185" t="s">
        <v>93</v>
      </c>
      <c r="F185" t="s">
        <v>52</v>
      </c>
      <c r="G185">
        <v>236</v>
      </c>
      <c r="H185">
        <v>2</v>
      </c>
      <c r="I185">
        <v>22.66</v>
      </c>
      <c r="J185">
        <v>107.71</v>
      </c>
      <c r="L185">
        <v>0</v>
      </c>
    </row>
    <row r="186" spans="1:12" x14ac:dyDescent="0.25">
      <c r="A186" t="s">
        <v>324</v>
      </c>
      <c r="B186">
        <v>155</v>
      </c>
      <c r="C186" s="1">
        <v>45809.473124999997</v>
      </c>
      <c r="D186" t="s">
        <v>58</v>
      </c>
      <c r="E186" t="s">
        <v>59</v>
      </c>
      <c r="F186" t="s">
        <v>30</v>
      </c>
      <c r="G186">
        <v>4917</v>
      </c>
      <c r="H186">
        <v>1</v>
      </c>
      <c r="I186">
        <v>320.77999999999997</v>
      </c>
      <c r="J186">
        <v>400.02</v>
      </c>
      <c r="L186">
        <v>0</v>
      </c>
    </row>
    <row r="187" spans="1:12" x14ac:dyDescent="0.25">
      <c r="A187" t="s">
        <v>325</v>
      </c>
      <c r="B187">
        <v>33</v>
      </c>
      <c r="C187" s="1">
        <v>45809.505289351851</v>
      </c>
      <c r="D187" t="s">
        <v>95</v>
      </c>
      <c r="E187" t="s">
        <v>96</v>
      </c>
      <c r="F187" t="s">
        <v>52</v>
      </c>
      <c r="G187">
        <v>394</v>
      </c>
      <c r="H187">
        <v>3</v>
      </c>
      <c r="I187">
        <v>23.47</v>
      </c>
      <c r="J187">
        <v>67.650000000000006</v>
      </c>
      <c r="K187" t="s">
        <v>60</v>
      </c>
      <c r="L187">
        <v>0.2</v>
      </c>
    </row>
    <row r="188" spans="1:12" x14ac:dyDescent="0.25">
      <c r="A188" t="s">
        <v>326</v>
      </c>
      <c r="B188">
        <v>196</v>
      </c>
      <c r="C188" s="1">
        <v>45811.055439814823</v>
      </c>
      <c r="D188" t="s">
        <v>74</v>
      </c>
      <c r="E188" t="s">
        <v>75</v>
      </c>
      <c r="F188" t="s">
        <v>30</v>
      </c>
      <c r="G188">
        <v>2222</v>
      </c>
      <c r="H188">
        <v>3</v>
      </c>
      <c r="I188">
        <v>2610.04</v>
      </c>
      <c r="J188">
        <v>4148.75</v>
      </c>
      <c r="L188">
        <v>0</v>
      </c>
    </row>
    <row r="189" spans="1:12" x14ac:dyDescent="0.25">
      <c r="A189" t="s">
        <v>327</v>
      </c>
      <c r="B189">
        <v>179</v>
      </c>
      <c r="C189" s="1">
        <v>45811.48064814815</v>
      </c>
      <c r="D189" t="s">
        <v>164</v>
      </c>
      <c r="E189" t="s">
        <v>165</v>
      </c>
      <c r="F189" t="s">
        <v>116</v>
      </c>
      <c r="G189">
        <v>0</v>
      </c>
      <c r="H189">
        <v>1</v>
      </c>
      <c r="I189">
        <v>213.86</v>
      </c>
      <c r="J189">
        <v>538.09</v>
      </c>
      <c r="L189">
        <v>0</v>
      </c>
    </row>
    <row r="190" spans="1:12" x14ac:dyDescent="0.25">
      <c r="A190" t="s">
        <v>328</v>
      </c>
      <c r="B190">
        <v>197</v>
      </c>
      <c r="C190" s="1">
        <v>45811.647928240738</v>
      </c>
      <c r="D190" t="s">
        <v>89</v>
      </c>
      <c r="E190" t="s">
        <v>90</v>
      </c>
      <c r="F190" t="s">
        <v>52</v>
      </c>
      <c r="G190">
        <v>228</v>
      </c>
      <c r="H190">
        <v>3</v>
      </c>
      <c r="I190">
        <v>104.5</v>
      </c>
      <c r="J190">
        <v>156.94999999999999</v>
      </c>
      <c r="L190">
        <v>0</v>
      </c>
    </row>
    <row r="191" spans="1:12" x14ac:dyDescent="0.25">
      <c r="A191" t="s">
        <v>329</v>
      </c>
      <c r="B191">
        <v>65</v>
      </c>
      <c r="C191" s="1">
        <v>45811.739374999997</v>
      </c>
      <c r="D191" t="s">
        <v>198</v>
      </c>
      <c r="E191" t="s">
        <v>199</v>
      </c>
      <c r="F191" t="s">
        <v>116</v>
      </c>
      <c r="G191">
        <v>0</v>
      </c>
      <c r="H191">
        <v>3</v>
      </c>
      <c r="I191">
        <v>335.33</v>
      </c>
      <c r="J191">
        <v>741.86</v>
      </c>
      <c r="K191" t="s">
        <v>60</v>
      </c>
      <c r="L191">
        <v>0.2</v>
      </c>
    </row>
    <row r="192" spans="1:12" x14ac:dyDescent="0.25">
      <c r="A192" t="s">
        <v>330</v>
      </c>
      <c r="B192">
        <v>48</v>
      </c>
      <c r="C192" s="1">
        <v>45812.128263888888</v>
      </c>
      <c r="D192" t="s">
        <v>123</v>
      </c>
      <c r="E192" t="s">
        <v>124</v>
      </c>
      <c r="F192" t="s">
        <v>45</v>
      </c>
      <c r="G192">
        <v>0</v>
      </c>
      <c r="H192">
        <v>3</v>
      </c>
      <c r="I192">
        <v>290.58999999999997</v>
      </c>
      <c r="J192">
        <v>356.06</v>
      </c>
      <c r="L192">
        <v>0</v>
      </c>
    </row>
    <row r="193" spans="1:12" x14ac:dyDescent="0.25">
      <c r="A193" t="s">
        <v>331</v>
      </c>
      <c r="B193">
        <v>4</v>
      </c>
      <c r="C193" s="1">
        <v>45812.744016203702</v>
      </c>
      <c r="D193" t="s">
        <v>43</v>
      </c>
      <c r="E193" t="s">
        <v>44</v>
      </c>
      <c r="F193" t="s">
        <v>45</v>
      </c>
      <c r="G193">
        <v>0</v>
      </c>
      <c r="H193">
        <v>3</v>
      </c>
      <c r="I193">
        <v>53.31</v>
      </c>
      <c r="J193">
        <v>130.31</v>
      </c>
      <c r="L193">
        <v>0</v>
      </c>
    </row>
    <row r="194" spans="1:12" x14ac:dyDescent="0.25">
      <c r="A194" t="s">
        <v>332</v>
      </c>
      <c r="B194">
        <v>72</v>
      </c>
      <c r="C194" s="1">
        <v>45813.629247685189</v>
      </c>
      <c r="D194" t="s">
        <v>74</v>
      </c>
      <c r="E194" t="s">
        <v>75</v>
      </c>
      <c r="F194" t="s">
        <v>30</v>
      </c>
      <c r="G194">
        <v>2941</v>
      </c>
      <c r="H194">
        <v>3</v>
      </c>
      <c r="I194">
        <v>2599.6</v>
      </c>
      <c r="J194">
        <v>4041.59</v>
      </c>
      <c r="L194">
        <v>0</v>
      </c>
    </row>
    <row r="195" spans="1:12" x14ac:dyDescent="0.25">
      <c r="A195" t="s">
        <v>333</v>
      </c>
      <c r="B195">
        <v>47</v>
      </c>
      <c r="C195" s="1">
        <v>45813.746828703697</v>
      </c>
      <c r="D195" t="s">
        <v>37</v>
      </c>
      <c r="E195" t="s">
        <v>38</v>
      </c>
      <c r="F195" t="s">
        <v>30</v>
      </c>
      <c r="G195">
        <v>2710</v>
      </c>
      <c r="H195">
        <v>2</v>
      </c>
      <c r="I195">
        <v>649.88</v>
      </c>
      <c r="J195">
        <v>1264.56</v>
      </c>
      <c r="K195" t="s">
        <v>46</v>
      </c>
      <c r="L195">
        <v>0.1</v>
      </c>
    </row>
    <row r="196" spans="1:12" x14ac:dyDescent="0.25">
      <c r="A196" t="s">
        <v>334</v>
      </c>
      <c r="B196">
        <v>106</v>
      </c>
      <c r="C196" s="1">
        <v>45813.910729166673</v>
      </c>
      <c r="D196" t="s">
        <v>148</v>
      </c>
      <c r="E196" t="s">
        <v>149</v>
      </c>
      <c r="F196" t="s">
        <v>30</v>
      </c>
      <c r="G196">
        <v>3489</v>
      </c>
      <c r="H196">
        <v>3</v>
      </c>
      <c r="I196">
        <v>564.22</v>
      </c>
      <c r="J196">
        <v>964.5</v>
      </c>
      <c r="L196">
        <v>0</v>
      </c>
    </row>
    <row r="197" spans="1:12" x14ac:dyDescent="0.25">
      <c r="A197" t="s">
        <v>335</v>
      </c>
      <c r="B197">
        <v>6</v>
      </c>
      <c r="C197" s="1">
        <v>45813.937164351853</v>
      </c>
      <c r="D197" t="s">
        <v>50</v>
      </c>
      <c r="E197" t="s">
        <v>51</v>
      </c>
      <c r="F197" t="s">
        <v>52</v>
      </c>
      <c r="G197">
        <v>639</v>
      </c>
      <c r="H197">
        <v>1</v>
      </c>
      <c r="I197">
        <v>114.02</v>
      </c>
      <c r="J197">
        <v>216.69</v>
      </c>
      <c r="L197">
        <v>0</v>
      </c>
    </row>
    <row r="198" spans="1:12" x14ac:dyDescent="0.25">
      <c r="A198" t="s">
        <v>336</v>
      </c>
      <c r="B198">
        <v>22</v>
      </c>
      <c r="C198" s="1">
        <v>45814.475810185177</v>
      </c>
      <c r="D198" t="s">
        <v>74</v>
      </c>
      <c r="E198" t="s">
        <v>75</v>
      </c>
      <c r="F198" t="s">
        <v>30</v>
      </c>
      <c r="G198">
        <v>2248</v>
      </c>
      <c r="H198">
        <v>1</v>
      </c>
      <c r="I198">
        <v>2420.14</v>
      </c>
      <c r="J198">
        <v>3966.62</v>
      </c>
      <c r="K198" t="s">
        <v>46</v>
      </c>
      <c r="L198">
        <v>0.1</v>
      </c>
    </row>
    <row r="199" spans="1:12" x14ac:dyDescent="0.25">
      <c r="A199" t="s">
        <v>337</v>
      </c>
      <c r="B199">
        <v>77</v>
      </c>
      <c r="C199" s="1">
        <v>45814.823912037027</v>
      </c>
      <c r="D199" t="s">
        <v>66</v>
      </c>
      <c r="E199" t="s">
        <v>67</v>
      </c>
      <c r="F199" t="s">
        <v>52</v>
      </c>
      <c r="G199">
        <v>209</v>
      </c>
      <c r="H199">
        <v>2</v>
      </c>
      <c r="I199">
        <v>38.21</v>
      </c>
      <c r="J199">
        <v>53.88</v>
      </c>
      <c r="L199">
        <v>0</v>
      </c>
    </row>
    <row r="200" spans="1:12" x14ac:dyDescent="0.25">
      <c r="A200" t="s">
        <v>338</v>
      </c>
      <c r="B200">
        <v>61</v>
      </c>
      <c r="C200" s="1">
        <v>45815.460694444453</v>
      </c>
      <c r="D200" t="s">
        <v>37</v>
      </c>
      <c r="E200" t="s">
        <v>38</v>
      </c>
      <c r="F200" t="s">
        <v>30</v>
      </c>
      <c r="G200">
        <v>2576</v>
      </c>
      <c r="H200">
        <v>3</v>
      </c>
      <c r="I200">
        <v>896.52</v>
      </c>
      <c r="J200">
        <v>1064.07</v>
      </c>
      <c r="L200">
        <v>0</v>
      </c>
    </row>
    <row r="201" spans="1:12" x14ac:dyDescent="0.25">
      <c r="A201" t="s">
        <v>339</v>
      </c>
      <c r="B201">
        <v>180</v>
      </c>
      <c r="C201" s="1">
        <v>45815.692199074067</v>
      </c>
      <c r="D201" t="s">
        <v>58</v>
      </c>
      <c r="E201" t="s">
        <v>59</v>
      </c>
      <c r="F201" t="s">
        <v>30</v>
      </c>
      <c r="G201">
        <v>4835</v>
      </c>
      <c r="H201">
        <v>3</v>
      </c>
      <c r="I201">
        <v>409.76</v>
      </c>
      <c r="J201">
        <v>882.29</v>
      </c>
      <c r="K201" t="s">
        <v>46</v>
      </c>
      <c r="L201">
        <v>0.1</v>
      </c>
    </row>
    <row r="202" spans="1:12" x14ac:dyDescent="0.25">
      <c r="A202" t="s">
        <v>340</v>
      </c>
      <c r="B202">
        <v>156</v>
      </c>
      <c r="C202" s="1">
        <v>45816.374409722222</v>
      </c>
      <c r="D202" t="s">
        <v>28</v>
      </c>
      <c r="E202" t="s">
        <v>29</v>
      </c>
      <c r="F202" t="s">
        <v>30</v>
      </c>
      <c r="G202">
        <v>2484</v>
      </c>
      <c r="H202">
        <v>2</v>
      </c>
      <c r="I202">
        <v>2180.58</v>
      </c>
      <c r="J202">
        <v>3027.96</v>
      </c>
      <c r="K202" t="s">
        <v>46</v>
      </c>
      <c r="L202">
        <v>0.1</v>
      </c>
    </row>
    <row r="203" spans="1:12" x14ac:dyDescent="0.25">
      <c r="A203" t="s">
        <v>341</v>
      </c>
      <c r="B203">
        <v>2</v>
      </c>
      <c r="C203" s="1">
        <v>45816.498657407406</v>
      </c>
      <c r="D203" t="s">
        <v>50</v>
      </c>
      <c r="E203" t="s">
        <v>51</v>
      </c>
      <c r="F203" t="s">
        <v>52</v>
      </c>
      <c r="G203">
        <v>726</v>
      </c>
      <c r="H203">
        <v>3</v>
      </c>
      <c r="I203">
        <v>106.91</v>
      </c>
      <c r="J203">
        <v>154.4</v>
      </c>
      <c r="L203">
        <v>0</v>
      </c>
    </row>
    <row r="204" spans="1:12" x14ac:dyDescent="0.25">
      <c r="A204" t="s">
        <v>342</v>
      </c>
      <c r="B204">
        <v>43</v>
      </c>
      <c r="C204" s="1">
        <v>45816.593518518523</v>
      </c>
      <c r="D204" t="s">
        <v>37</v>
      </c>
      <c r="E204" t="s">
        <v>38</v>
      </c>
      <c r="F204" t="s">
        <v>30</v>
      </c>
      <c r="G204">
        <v>2378</v>
      </c>
      <c r="H204">
        <v>1</v>
      </c>
      <c r="I204">
        <v>786.11</v>
      </c>
      <c r="J204">
        <v>1098.06</v>
      </c>
      <c r="L204">
        <v>0</v>
      </c>
    </row>
    <row r="205" spans="1:12" x14ac:dyDescent="0.25">
      <c r="A205" t="s">
        <v>343</v>
      </c>
      <c r="B205">
        <v>101</v>
      </c>
      <c r="C205" s="1">
        <v>45816.613819444443</v>
      </c>
      <c r="D205" t="s">
        <v>164</v>
      </c>
      <c r="E205" t="s">
        <v>165</v>
      </c>
      <c r="F205" t="s">
        <v>116</v>
      </c>
      <c r="G205">
        <v>0</v>
      </c>
      <c r="H205">
        <v>1</v>
      </c>
      <c r="I205">
        <v>191.4</v>
      </c>
      <c r="J205">
        <v>390.13</v>
      </c>
      <c r="K205" t="s">
        <v>60</v>
      </c>
      <c r="L205">
        <v>0.2</v>
      </c>
    </row>
    <row r="206" spans="1:12" x14ac:dyDescent="0.25">
      <c r="A206" t="s">
        <v>344</v>
      </c>
      <c r="B206">
        <v>110</v>
      </c>
      <c r="C206" s="1">
        <v>45816.971215277779</v>
      </c>
      <c r="D206" t="s">
        <v>71</v>
      </c>
      <c r="E206" t="s">
        <v>72</v>
      </c>
      <c r="F206" t="s">
        <v>52</v>
      </c>
      <c r="G206">
        <v>259</v>
      </c>
      <c r="H206">
        <v>2</v>
      </c>
      <c r="I206">
        <v>67.66</v>
      </c>
      <c r="J206">
        <v>81.93</v>
      </c>
      <c r="L206">
        <v>0</v>
      </c>
    </row>
    <row r="207" spans="1:12" x14ac:dyDescent="0.25">
      <c r="A207" t="s">
        <v>345</v>
      </c>
      <c r="B207">
        <v>11</v>
      </c>
      <c r="C207" s="1">
        <v>45817.603136574071</v>
      </c>
      <c r="D207" t="s">
        <v>50</v>
      </c>
      <c r="E207" t="s">
        <v>51</v>
      </c>
      <c r="F207" t="s">
        <v>52</v>
      </c>
      <c r="G207">
        <v>718</v>
      </c>
      <c r="H207">
        <v>3</v>
      </c>
      <c r="I207">
        <v>140.01</v>
      </c>
      <c r="J207">
        <v>249.6</v>
      </c>
      <c r="L207">
        <v>0</v>
      </c>
    </row>
    <row r="208" spans="1:12" x14ac:dyDescent="0.25">
      <c r="A208" t="s">
        <v>346</v>
      </c>
      <c r="B208">
        <v>149</v>
      </c>
      <c r="C208" s="1">
        <v>45817.61347222222</v>
      </c>
      <c r="D208" t="s">
        <v>95</v>
      </c>
      <c r="E208" t="s">
        <v>96</v>
      </c>
      <c r="F208" t="s">
        <v>52</v>
      </c>
      <c r="G208">
        <v>594</v>
      </c>
      <c r="H208">
        <v>2</v>
      </c>
      <c r="I208">
        <v>47.3</v>
      </c>
      <c r="J208">
        <v>92.25</v>
      </c>
      <c r="K208" t="s">
        <v>60</v>
      </c>
      <c r="L208">
        <v>0.2</v>
      </c>
    </row>
    <row r="209" spans="1:12" x14ac:dyDescent="0.25">
      <c r="A209" t="s">
        <v>347</v>
      </c>
      <c r="B209">
        <v>150</v>
      </c>
      <c r="C209" s="1">
        <v>45817.825428240743</v>
      </c>
      <c r="D209" t="s">
        <v>71</v>
      </c>
      <c r="E209" t="s">
        <v>72</v>
      </c>
      <c r="F209" t="s">
        <v>52</v>
      </c>
      <c r="G209">
        <v>338</v>
      </c>
      <c r="H209">
        <v>2</v>
      </c>
      <c r="I209">
        <v>33.07</v>
      </c>
      <c r="J209">
        <v>84.28</v>
      </c>
      <c r="L209">
        <v>0</v>
      </c>
    </row>
    <row r="210" spans="1:12" x14ac:dyDescent="0.25">
      <c r="A210" t="s">
        <v>348</v>
      </c>
      <c r="B210">
        <v>197</v>
      </c>
      <c r="C210" s="1">
        <v>45817.865694444437</v>
      </c>
      <c r="D210" t="s">
        <v>155</v>
      </c>
      <c r="E210" t="s">
        <v>156</v>
      </c>
      <c r="F210" t="s">
        <v>30</v>
      </c>
      <c r="G210">
        <v>4585</v>
      </c>
      <c r="H210">
        <v>2</v>
      </c>
      <c r="I210">
        <v>776.64</v>
      </c>
      <c r="J210">
        <v>1940.95</v>
      </c>
      <c r="K210" t="s">
        <v>46</v>
      </c>
      <c r="L210">
        <v>0.1</v>
      </c>
    </row>
    <row r="211" spans="1:12" x14ac:dyDescent="0.25">
      <c r="A211" t="s">
        <v>349</v>
      </c>
      <c r="B211">
        <v>59</v>
      </c>
      <c r="C211" s="1">
        <v>45818.030891203707</v>
      </c>
      <c r="D211" t="s">
        <v>86</v>
      </c>
      <c r="E211" t="s">
        <v>87</v>
      </c>
      <c r="F211" t="s">
        <v>45</v>
      </c>
      <c r="G211">
        <v>0</v>
      </c>
      <c r="H211">
        <v>3</v>
      </c>
      <c r="I211">
        <v>66.2</v>
      </c>
      <c r="J211">
        <v>129.91999999999999</v>
      </c>
      <c r="L211">
        <v>0</v>
      </c>
    </row>
    <row r="212" spans="1:12" x14ac:dyDescent="0.25">
      <c r="A212" t="s">
        <v>350</v>
      </c>
      <c r="B212">
        <v>196</v>
      </c>
      <c r="C212" s="1">
        <v>45818.107106481482</v>
      </c>
      <c r="D212" t="s">
        <v>164</v>
      </c>
      <c r="E212" t="s">
        <v>165</v>
      </c>
      <c r="F212" t="s">
        <v>116</v>
      </c>
      <c r="G212">
        <v>0</v>
      </c>
      <c r="H212">
        <v>3</v>
      </c>
      <c r="I212">
        <v>262.67</v>
      </c>
      <c r="J212">
        <v>720.13</v>
      </c>
      <c r="L212">
        <v>0</v>
      </c>
    </row>
    <row r="213" spans="1:12" x14ac:dyDescent="0.25">
      <c r="A213" t="s">
        <v>351</v>
      </c>
      <c r="B213">
        <v>154</v>
      </c>
      <c r="C213" s="1">
        <v>45818.375057870369</v>
      </c>
      <c r="D213" t="s">
        <v>137</v>
      </c>
      <c r="E213" t="s">
        <v>138</v>
      </c>
      <c r="F213" t="s">
        <v>52</v>
      </c>
      <c r="G213">
        <v>423</v>
      </c>
      <c r="H213">
        <v>2</v>
      </c>
      <c r="I213">
        <v>130.81</v>
      </c>
      <c r="J213">
        <v>201.22</v>
      </c>
      <c r="K213" t="s">
        <v>46</v>
      </c>
      <c r="L213">
        <v>0.1</v>
      </c>
    </row>
    <row r="214" spans="1:12" x14ac:dyDescent="0.25">
      <c r="A214" t="s">
        <v>353</v>
      </c>
      <c r="B214">
        <v>10</v>
      </c>
      <c r="C214" s="1">
        <v>45818.478472222218</v>
      </c>
      <c r="D214" t="s">
        <v>43</v>
      </c>
      <c r="E214" t="s">
        <v>44</v>
      </c>
      <c r="F214" t="s">
        <v>45</v>
      </c>
      <c r="G214">
        <v>0</v>
      </c>
      <c r="H214">
        <v>2</v>
      </c>
      <c r="I214">
        <v>57.22</v>
      </c>
      <c r="J214">
        <v>112.9</v>
      </c>
      <c r="K214" t="s">
        <v>60</v>
      </c>
      <c r="L214">
        <v>0.2</v>
      </c>
    </row>
    <row r="215" spans="1:12" x14ac:dyDescent="0.25">
      <c r="A215" t="s">
        <v>354</v>
      </c>
      <c r="B215">
        <v>14</v>
      </c>
      <c r="C215" s="1">
        <v>45818.77783564815</v>
      </c>
      <c r="D215" t="s">
        <v>95</v>
      </c>
      <c r="E215" t="s">
        <v>96</v>
      </c>
      <c r="F215" t="s">
        <v>52</v>
      </c>
      <c r="G215">
        <v>519</v>
      </c>
      <c r="H215">
        <v>3</v>
      </c>
      <c r="I215">
        <v>35.39</v>
      </c>
      <c r="J215">
        <v>45.31</v>
      </c>
      <c r="L215">
        <v>0</v>
      </c>
    </row>
    <row r="216" spans="1:12" x14ac:dyDescent="0.25">
      <c r="A216" t="s">
        <v>355</v>
      </c>
      <c r="B216">
        <v>84</v>
      </c>
      <c r="C216" s="1">
        <v>45820.34202546296</v>
      </c>
      <c r="D216" t="s">
        <v>92</v>
      </c>
      <c r="E216" t="s">
        <v>93</v>
      </c>
      <c r="F216" t="s">
        <v>52</v>
      </c>
      <c r="G216">
        <v>297</v>
      </c>
      <c r="H216">
        <v>1</v>
      </c>
      <c r="I216">
        <v>36.090000000000003</v>
      </c>
      <c r="J216">
        <v>117.08</v>
      </c>
      <c r="L216">
        <v>0</v>
      </c>
    </row>
    <row r="217" spans="1:12" x14ac:dyDescent="0.25">
      <c r="A217" t="s">
        <v>356</v>
      </c>
      <c r="B217">
        <v>75</v>
      </c>
      <c r="C217" s="1">
        <v>45820.500833333332</v>
      </c>
      <c r="D217" t="s">
        <v>86</v>
      </c>
      <c r="E217" t="s">
        <v>87</v>
      </c>
      <c r="F217" t="s">
        <v>45</v>
      </c>
      <c r="G217">
        <v>0</v>
      </c>
      <c r="H217">
        <v>3</v>
      </c>
      <c r="I217">
        <v>99.14</v>
      </c>
      <c r="J217">
        <v>118.57</v>
      </c>
      <c r="L217">
        <v>0</v>
      </c>
    </row>
    <row r="218" spans="1:12" x14ac:dyDescent="0.25">
      <c r="A218" t="s">
        <v>357</v>
      </c>
      <c r="B218">
        <v>77</v>
      </c>
      <c r="C218" s="1">
        <v>45820.611307870371</v>
      </c>
      <c r="D218" t="s">
        <v>81</v>
      </c>
      <c r="E218" t="s">
        <v>82</v>
      </c>
      <c r="F218" t="s">
        <v>45</v>
      </c>
      <c r="G218">
        <v>0</v>
      </c>
      <c r="H218">
        <v>3</v>
      </c>
      <c r="I218">
        <v>107.09</v>
      </c>
      <c r="J218">
        <v>214.46</v>
      </c>
      <c r="L218">
        <v>0</v>
      </c>
    </row>
    <row r="219" spans="1:12" x14ac:dyDescent="0.25">
      <c r="A219" t="s">
        <v>358</v>
      </c>
      <c r="B219">
        <v>160</v>
      </c>
      <c r="C219" s="1">
        <v>45820.816180555557</v>
      </c>
      <c r="D219" t="s">
        <v>28</v>
      </c>
      <c r="E219" t="s">
        <v>29</v>
      </c>
      <c r="F219" t="s">
        <v>30</v>
      </c>
      <c r="G219">
        <v>2251</v>
      </c>
      <c r="H219">
        <v>1</v>
      </c>
      <c r="I219">
        <v>1927.67</v>
      </c>
      <c r="J219">
        <v>3888.08</v>
      </c>
      <c r="L219">
        <v>0</v>
      </c>
    </row>
    <row r="220" spans="1:12" x14ac:dyDescent="0.25">
      <c r="A220" t="s">
        <v>359</v>
      </c>
      <c r="B220">
        <v>54</v>
      </c>
      <c r="C220" s="1">
        <v>45820.947777777779</v>
      </c>
      <c r="D220" t="s">
        <v>71</v>
      </c>
      <c r="E220" t="s">
        <v>72</v>
      </c>
      <c r="F220" t="s">
        <v>52</v>
      </c>
      <c r="G220">
        <v>292</v>
      </c>
      <c r="H220">
        <v>3</v>
      </c>
      <c r="I220">
        <v>70.7</v>
      </c>
      <c r="J220">
        <v>113.21</v>
      </c>
      <c r="L220">
        <v>0</v>
      </c>
    </row>
    <row r="221" spans="1:12" x14ac:dyDescent="0.25">
      <c r="A221" t="s">
        <v>360</v>
      </c>
      <c r="B221">
        <v>37</v>
      </c>
      <c r="C221" s="1">
        <v>45821.521782407413</v>
      </c>
      <c r="D221" t="s">
        <v>114</v>
      </c>
      <c r="E221" t="s">
        <v>115</v>
      </c>
      <c r="F221" t="s">
        <v>116</v>
      </c>
      <c r="G221">
        <v>0</v>
      </c>
      <c r="H221">
        <v>2</v>
      </c>
      <c r="I221">
        <v>421.57</v>
      </c>
      <c r="J221">
        <v>782.61</v>
      </c>
      <c r="L221">
        <v>0</v>
      </c>
    </row>
    <row r="222" spans="1:12" x14ac:dyDescent="0.25">
      <c r="A222" t="s">
        <v>361</v>
      </c>
      <c r="B222">
        <v>165</v>
      </c>
      <c r="C222" s="1">
        <v>45821.537986111107</v>
      </c>
      <c r="D222" t="s">
        <v>37</v>
      </c>
      <c r="E222" t="s">
        <v>38</v>
      </c>
      <c r="F222" t="s">
        <v>30</v>
      </c>
      <c r="G222">
        <v>2429</v>
      </c>
      <c r="H222">
        <v>2</v>
      </c>
      <c r="I222">
        <v>456.82</v>
      </c>
      <c r="J222">
        <v>846.39</v>
      </c>
      <c r="K222" t="s">
        <v>46</v>
      </c>
      <c r="L222">
        <v>0.1</v>
      </c>
    </row>
    <row r="223" spans="1:12" x14ac:dyDescent="0.25">
      <c r="A223" t="s">
        <v>362</v>
      </c>
      <c r="B223">
        <v>185</v>
      </c>
      <c r="C223" s="1">
        <v>45821.684849537043</v>
      </c>
      <c r="D223" t="s">
        <v>43</v>
      </c>
      <c r="E223" t="s">
        <v>44</v>
      </c>
      <c r="F223" t="s">
        <v>45</v>
      </c>
      <c r="G223">
        <v>0</v>
      </c>
      <c r="H223">
        <v>2</v>
      </c>
      <c r="I223">
        <v>34.89</v>
      </c>
      <c r="J223">
        <v>43.43</v>
      </c>
      <c r="K223" t="s">
        <v>46</v>
      </c>
      <c r="L223">
        <v>0.1</v>
      </c>
    </row>
    <row r="224" spans="1:12" x14ac:dyDescent="0.25">
      <c r="A224" t="s">
        <v>363</v>
      </c>
      <c r="B224">
        <v>169</v>
      </c>
      <c r="C224" s="1">
        <v>45822.607118055559</v>
      </c>
      <c r="D224" t="s">
        <v>114</v>
      </c>
      <c r="E224" t="s">
        <v>115</v>
      </c>
      <c r="F224" t="s">
        <v>116</v>
      </c>
      <c r="G224">
        <v>0</v>
      </c>
      <c r="H224">
        <v>1</v>
      </c>
      <c r="I224">
        <v>436.74</v>
      </c>
      <c r="J224">
        <v>782.5</v>
      </c>
      <c r="L224">
        <v>0</v>
      </c>
    </row>
    <row r="225" spans="1:12" x14ac:dyDescent="0.25">
      <c r="A225" t="s">
        <v>364</v>
      </c>
      <c r="B225">
        <v>200</v>
      </c>
      <c r="C225" s="1">
        <v>45822.771238425928</v>
      </c>
      <c r="D225" t="s">
        <v>74</v>
      </c>
      <c r="E225" t="s">
        <v>75</v>
      </c>
      <c r="F225" t="s">
        <v>30</v>
      </c>
      <c r="G225">
        <v>2920</v>
      </c>
      <c r="H225">
        <v>2</v>
      </c>
      <c r="I225">
        <v>2976.91</v>
      </c>
      <c r="J225">
        <v>4377.74</v>
      </c>
      <c r="L225">
        <v>0</v>
      </c>
    </row>
    <row r="226" spans="1:12" x14ac:dyDescent="0.25">
      <c r="A226" t="s">
        <v>365</v>
      </c>
      <c r="B226">
        <v>90</v>
      </c>
      <c r="C226" s="1">
        <v>45823.233749999999</v>
      </c>
      <c r="D226" t="s">
        <v>105</v>
      </c>
      <c r="E226" t="s">
        <v>106</v>
      </c>
      <c r="F226" t="s">
        <v>30</v>
      </c>
      <c r="G226">
        <v>2072</v>
      </c>
      <c r="H226">
        <v>2</v>
      </c>
      <c r="I226">
        <v>337.32</v>
      </c>
      <c r="J226">
        <v>482.89</v>
      </c>
      <c r="L226">
        <v>0</v>
      </c>
    </row>
    <row r="227" spans="1:12" x14ac:dyDescent="0.25">
      <c r="A227" t="s">
        <v>366</v>
      </c>
      <c r="B227">
        <v>1</v>
      </c>
      <c r="C227" s="1">
        <v>45823.706307870372</v>
      </c>
      <c r="D227" t="s">
        <v>43</v>
      </c>
      <c r="E227" t="s">
        <v>44</v>
      </c>
      <c r="F227" t="s">
        <v>45</v>
      </c>
      <c r="G227">
        <v>0</v>
      </c>
      <c r="H227">
        <v>2</v>
      </c>
      <c r="I227">
        <v>22.45</v>
      </c>
      <c r="J227">
        <v>45.02</v>
      </c>
      <c r="L227">
        <v>0</v>
      </c>
    </row>
    <row r="228" spans="1:12" x14ac:dyDescent="0.25">
      <c r="A228" t="s">
        <v>367</v>
      </c>
      <c r="B228">
        <v>198</v>
      </c>
      <c r="C228" s="1">
        <v>45824.815983796303</v>
      </c>
      <c r="D228" t="s">
        <v>28</v>
      </c>
      <c r="E228" t="s">
        <v>29</v>
      </c>
      <c r="F228" t="s">
        <v>30</v>
      </c>
      <c r="G228">
        <v>2493</v>
      </c>
      <c r="H228">
        <v>1</v>
      </c>
      <c r="I228">
        <v>1577.92</v>
      </c>
      <c r="J228">
        <v>3728.64</v>
      </c>
      <c r="L228">
        <v>0</v>
      </c>
    </row>
    <row r="229" spans="1:12" x14ac:dyDescent="0.25">
      <c r="A229" t="s">
        <v>368</v>
      </c>
      <c r="B229">
        <v>46</v>
      </c>
      <c r="C229" s="1">
        <v>45824.931574074071</v>
      </c>
      <c r="D229" t="s">
        <v>95</v>
      </c>
      <c r="E229" t="s">
        <v>96</v>
      </c>
      <c r="F229" t="s">
        <v>52</v>
      </c>
      <c r="G229">
        <v>340</v>
      </c>
      <c r="H229">
        <v>3</v>
      </c>
      <c r="I229">
        <v>44.04</v>
      </c>
      <c r="J229">
        <v>69.61</v>
      </c>
      <c r="L229">
        <v>0</v>
      </c>
    </row>
    <row r="230" spans="1:12" x14ac:dyDescent="0.25">
      <c r="A230" t="s">
        <v>369</v>
      </c>
      <c r="B230">
        <v>168</v>
      </c>
      <c r="C230" s="1">
        <v>45824.938090277778</v>
      </c>
      <c r="D230" t="s">
        <v>50</v>
      </c>
      <c r="E230" t="s">
        <v>51</v>
      </c>
      <c r="F230" t="s">
        <v>52</v>
      </c>
      <c r="G230">
        <v>676</v>
      </c>
      <c r="H230">
        <v>2</v>
      </c>
      <c r="I230">
        <v>166.34</v>
      </c>
      <c r="J230">
        <v>278.14999999999998</v>
      </c>
      <c r="L230">
        <v>0</v>
      </c>
    </row>
    <row r="231" spans="1:12" x14ac:dyDescent="0.25">
      <c r="A231" t="s">
        <v>370</v>
      </c>
      <c r="B231">
        <v>60</v>
      </c>
      <c r="C231" s="1">
        <v>45825.335775462961</v>
      </c>
      <c r="D231" t="s">
        <v>66</v>
      </c>
      <c r="E231" t="s">
        <v>67</v>
      </c>
      <c r="F231" t="s">
        <v>52</v>
      </c>
      <c r="G231">
        <v>236</v>
      </c>
      <c r="H231">
        <v>3</v>
      </c>
      <c r="I231">
        <v>43.64</v>
      </c>
      <c r="J231">
        <v>72.77</v>
      </c>
      <c r="K231" t="s">
        <v>46</v>
      </c>
      <c r="L231">
        <v>0.1</v>
      </c>
    </row>
    <row r="232" spans="1:12" x14ac:dyDescent="0.25">
      <c r="A232" t="s">
        <v>371</v>
      </c>
      <c r="B232">
        <v>199</v>
      </c>
      <c r="C232" s="1">
        <v>45825.582962962973</v>
      </c>
      <c r="D232" t="s">
        <v>71</v>
      </c>
      <c r="E232" t="s">
        <v>72</v>
      </c>
      <c r="F232" t="s">
        <v>52</v>
      </c>
      <c r="G232">
        <v>308</v>
      </c>
      <c r="H232">
        <v>1</v>
      </c>
      <c r="I232">
        <v>32</v>
      </c>
      <c r="J232">
        <v>122.95</v>
      </c>
      <c r="L232">
        <v>0</v>
      </c>
    </row>
    <row r="233" spans="1:12" x14ac:dyDescent="0.25">
      <c r="A233" t="s">
        <v>372</v>
      </c>
      <c r="B233">
        <v>102</v>
      </c>
      <c r="C233" s="1">
        <v>45825.924826388888</v>
      </c>
      <c r="D233" t="s">
        <v>95</v>
      </c>
      <c r="E233" t="s">
        <v>96</v>
      </c>
      <c r="F233" t="s">
        <v>52</v>
      </c>
      <c r="G233">
        <v>570</v>
      </c>
      <c r="H233">
        <v>3</v>
      </c>
      <c r="I233">
        <v>33.93</v>
      </c>
      <c r="J233">
        <v>83.95</v>
      </c>
      <c r="K233" t="s">
        <v>60</v>
      </c>
      <c r="L233">
        <v>0.2</v>
      </c>
    </row>
    <row r="234" spans="1:12" x14ac:dyDescent="0.25">
      <c r="A234" t="s">
        <v>373</v>
      </c>
      <c r="B234">
        <v>107</v>
      </c>
      <c r="C234" s="1">
        <v>45826.87537037037</v>
      </c>
      <c r="D234" t="s">
        <v>28</v>
      </c>
      <c r="E234" t="s">
        <v>29</v>
      </c>
      <c r="F234" t="s">
        <v>30</v>
      </c>
      <c r="G234">
        <v>2137</v>
      </c>
      <c r="H234">
        <v>2</v>
      </c>
      <c r="I234">
        <v>1786.33</v>
      </c>
      <c r="J234">
        <v>2473.92</v>
      </c>
      <c r="L234">
        <v>0</v>
      </c>
    </row>
    <row r="235" spans="1:12" x14ac:dyDescent="0.25">
      <c r="A235" t="s">
        <v>374</v>
      </c>
      <c r="B235">
        <v>161</v>
      </c>
      <c r="C235" s="1">
        <v>45827.673275462963</v>
      </c>
      <c r="D235" t="s">
        <v>164</v>
      </c>
      <c r="E235" t="s">
        <v>165</v>
      </c>
      <c r="F235" t="s">
        <v>116</v>
      </c>
      <c r="G235">
        <v>0</v>
      </c>
      <c r="H235">
        <v>1</v>
      </c>
      <c r="I235">
        <v>275.92</v>
      </c>
      <c r="J235">
        <v>478.46</v>
      </c>
      <c r="K235" t="s">
        <v>60</v>
      </c>
      <c r="L235">
        <v>0.2</v>
      </c>
    </row>
    <row r="236" spans="1:12" x14ac:dyDescent="0.25">
      <c r="A236" t="s">
        <v>375</v>
      </c>
      <c r="B236">
        <v>129</v>
      </c>
      <c r="C236" s="1">
        <v>45828.033136574071</v>
      </c>
      <c r="D236" t="s">
        <v>177</v>
      </c>
      <c r="E236" t="s">
        <v>178</v>
      </c>
      <c r="F236" t="s">
        <v>116</v>
      </c>
      <c r="G236">
        <v>0</v>
      </c>
      <c r="H236">
        <v>2</v>
      </c>
      <c r="I236">
        <v>309.13</v>
      </c>
      <c r="J236">
        <v>572.66</v>
      </c>
      <c r="L236">
        <v>0</v>
      </c>
    </row>
    <row r="237" spans="1:12" x14ac:dyDescent="0.25">
      <c r="A237" t="s">
        <v>376</v>
      </c>
      <c r="B237">
        <v>107</v>
      </c>
      <c r="C237" s="1">
        <v>45828.404803240737</v>
      </c>
      <c r="D237" t="s">
        <v>105</v>
      </c>
      <c r="E237" t="s">
        <v>106</v>
      </c>
      <c r="F237" t="s">
        <v>30</v>
      </c>
      <c r="G237">
        <v>2062</v>
      </c>
      <c r="H237">
        <v>2</v>
      </c>
      <c r="I237">
        <v>286.94</v>
      </c>
      <c r="J237">
        <v>455.42</v>
      </c>
      <c r="L237">
        <v>0</v>
      </c>
    </row>
    <row r="238" spans="1:12" x14ac:dyDescent="0.25">
      <c r="A238" t="s">
        <v>377</v>
      </c>
      <c r="B238">
        <v>151</v>
      </c>
      <c r="C238" s="1">
        <v>45828.790902777779</v>
      </c>
      <c r="D238" t="s">
        <v>155</v>
      </c>
      <c r="E238" t="s">
        <v>156</v>
      </c>
      <c r="F238" t="s">
        <v>30</v>
      </c>
      <c r="G238">
        <v>3992</v>
      </c>
      <c r="H238">
        <v>2</v>
      </c>
      <c r="I238">
        <v>913.14</v>
      </c>
      <c r="J238">
        <v>1331.49</v>
      </c>
      <c r="K238" t="s">
        <v>60</v>
      </c>
      <c r="L238">
        <v>0.2</v>
      </c>
    </row>
    <row r="239" spans="1:12" x14ac:dyDescent="0.25">
      <c r="A239" t="s">
        <v>378</v>
      </c>
      <c r="B239">
        <v>91</v>
      </c>
      <c r="C239" s="1">
        <v>45829.741006944438</v>
      </c>
      <c r="D239" t="s">
        <v>92</v>
      </c>
      <c r="E239" t="s">
        <v>93</v>
      </c>
      <c r="F239" t="s">
        <v>52</v>
      </c>
      <c r="G239">
        <v>249</v>
      </c>
      <c r="H239">
        <v>1</v>
      </c>
      <c r="I239">
        <v>43.01</v>
      </c>
      <c r="J239">
        <v>111.74</v>
      </c>
      <c r="L239">
        <v>0</v>
      </c>
    </row>
    <row r="240" spans="1:12" x14ac:dyDescent="0.25">
      <c r="A240" t="s">
        <v>379</v>
      </c>
      <c r="B240">
        <v>50</v>
      </c>
      <c r="C240" s="1">
        <v>45829.924895833326</v>
      </c>
      <c r="D240" t="s">
        <v>105</v>
      </c>
      <c r="E240" t="s">
        <v>106</v>
      </c>
      <c r="F240" t="s">
        <v>30</v>
      </c>
      <c r="G240">
        <v>2059</v>
      </c>
      <c r="H240">
        <v>3</v>
      </c>
      <c r="I240">
        <v>399.98</v>
      </c>
      <c r="J240">
        <v>604.20000000000005</v>
      </c>
      <c r="L240">
        <v>0</v>
      </c>
    </row>
    <row r="241" spans="1:12" x14ac:dyDescent="0.25">
      <c r="A241" t="s">
        <v>380</v>
      </c>
      <c r="B241">
        <v>84</v>
      </c>
      <c r="C241" s="1">
        <v>45829.938437500001</v>
      </c>
      <c r="D241" t="s">
        <v>105</v>
      </c>
      <c r="E241" t="s">
        <v>106</v>
      </c>
      <c r="F241" t="s">
        <v>30</v>
      </c>
      <c r="G241">
        <v>2033</v>
      </c>
      <c r="H241">
        <v>2</v>
      </c>
      <c r="I241">
        <v>288.45999999999998</v>
      </c>
      <c r="J241">
        <v>668.05</v>
      </c>
      <c r="K241" t="s">
        <v>46</v>
      </c>
      <c r="L241">
        <v>0.1</v>
      </c>
    </row>
    <row r="242" spans="1:12" x14ac:dyDescent="0.25">
      <c r="A242" t="s">
        <v>381</v>
      </c>
      <c r="B242">
        <v>39</v>
      </c>
      <c r="C242" s="1">
        <v>45829.972708333327</v>
      </c>
      <c r="D242" t="s">
        <v>177</v>
      </c>
      <c r="E242" t="s">
        <v>178</v>
      </c>
      <c r="F242" t="s">
        <v>116</v>
      </c>
      <c r="G242">
        <v>0</v>
      </c>
      <c r="H242">
        <v>3</v>
      </c>
      <c r="I242">
        <v>163.05000000000001</v>
      </c>
      <c r="J242">
        <v>339.61</v>
      </c>
      <c r="L242">
        <v>0</v>
      </c>
    </row>
    <row r="243" spans="1:12" x14ac:dyDescent="0.25">
      <c r="A243" t="s">
        <v>382</v>
      </c>
      <c r="B243">
        <v>155</v>
      </c>
      <c r="C243" s="1">
        <v>45831.290891203702</v>
      </c>
      <c r="D243" t="s">
        <v>92</v>
      </c>
      <c r="E243" t="s">
        <v>93</v>
      </c>
      <c r="F243" t="s">
        <v>52</v>
      </c>
      <c r="G243">
        <v>292</v>
      </c>
      <c r="H243">
        <v>1</v>
      </c>
      <c r="I243">
        <v>53.78</v>
      </c>
      <c r="J243">
        <v>96.77</v>
      </c>
      <c r="L243">
        <v>0</v>
      </c>
    </row>
    <row r="244" spans="1:12" x14ac:dyDescent="0.25">
      <c r="A244" t="s">
        <v>383</v>
      </c>
      <c r="B244">
        <v>159</v>
      </c>
      <c r="C244" s="1">
        <v>45831.334374999999</v>
      </c>
      <c r="D244" t="s">
        <v>28</v>
      </c>
      <c r="E244" t="s">
        <v>29</v>
      </c>
      <c r="F244" t="s">
        <v>30</v>
      </c>
      <c r="G244">
        <v>2004</v>
      </c>
      <c r="H244">
        <v>1</v>
      </c>
      <c r="I244">
        <v>2244.36</v>
      </c>
      <c r="J244">
        <v>3584.93</v>
      </c>
      <c r="L244">
        <v>0</v>
      </c>
    </row>
    <row r="245" spans="1:12" x14ac:dyDescent="0.25">
      <c r="A245" t="s">
        <v>384</v>
      </c>
      <c r="B245">
        <v>24</v>
      </c>
      <c r="C245" s="1">
        <v>45831.593298611107</v>
      </c>
      <c r="D245" t="s">
        <v>28</v>
      </c>
      <c r="E245" t="s">
        <v>29</v>
      </c>
      <c r="F245" t="s">
        <v>30</v>
      </c>
      <c r="G245">
        <v>2577</v>
      </c>
      <c r="H245">
        <v>2</v>
      </c>
      <c r="I245">
        <v>1818.56</v>
      </c>
      <c r="J245">
        <v>2720.53</v>
      </c>
      <c r="L245">
        <v>0</v>
      </c>
    </row>
    <row r="246" spans="1:12" x14ac:dyDescent="0.25">
      <c r="A246" t="s">
        <v>385</v>
      </c>
      <c r="B246">
        <v>121</v>
      </c>
      <c r="C246" s="1">
        <v>45832.480462962973</v>
      </c>
      <c r="D246" t="s">
        <v>74</v>
      </c>
      <c r="E246" t="s">
        <v>75</v>
      </c>
      <c r="F246" t="s">
        <v>30</v>
      </c>
      <c r="G246">
        <v>2906</v>
      </c>
      <c r="H246">
        <v>3</v>
      </c>
      <c r="I246">
        <v>2775.97</v>
      </c>
      <c r="J246">
        <v>4333.6899999999996</v>
      </c>
      <c r="K246" t="s">
        <v>46</v>
      </c>
      <c r="L246">
        <v>0.1</v>
      </c>
    </row>
    <row r="247" spans="1:12" x14ac:dyDescent="0.25">
      <c r="A247" t="s">
        <v>386</v>
      </c>
      <c r="B247">
        <v>122</v>
      </c>
      <c r="C247" s="1">
        <v>45832.583611111113</v>
      </c>
      <c r="D247" t="s">
        <v>148</v>
      </c>
      <c r="E247" t="s">
        <v>149</v>
      </c>
      <c r="F247" t="s">
        <v>30</v>
      </c>
      <c r="G247">
        <v>2608</v>
      </c>
      <c r="H247">
        <v>2</v>
      </c>
      <c r="I247">
        <v>438.9</v>
      </c>
      <c r="J247">
        <v>546.74</v>
      </c>
      <c r="K247" t="s">
        <v>46</v>
      </c>
      <c r="L247">
        <v>0.1</v>
      </c>
    </row>
    <row r="248" spans="1:12" x14ac:dyDescent="0.25">
      <c r="A248" t="s">
        <v>387</v>
      </c>
      <c r="B248">
        <v>155</v>
      </c>
      <c r="C248" s="1">
        <v>45833.362141203703</v>
      </c>
      <c r="D248" t="s">
        <v>105</v>
      </c>
      <c r="E248" t="s">
        <v>106</v>
      </c>
      <c r="F248" t="s">
        <v>30</v>
      </c>
      <c r="G248">
        <v>2094</v>
      </c>
      <c r="H248">
        <v>3</v>
      </c>
      <c r="I248">
        <v>333.1</v>
      </c>
      <c r="J248">
        <v>384.34</v>
      </c>
      <c r="L248">
        <v>0</v>
      </c>
    </row>
    <row r="249" spans="1:12" x14ac:dyDescent="0.25">
      <c r="A249" t="s">
        <v>388</v>
      </c>
      <c r="B249">
        <v>79</v>
      </c>
      <c r="C249" s="1">
        <v>45833.665393518517</v>
      </c>
      <c r="D249" t="s">
        <v>28</v>
      </c>
      <c r="E249" t="s">
        <v>29</v>
      </c>
      <c r="F249" t="s">
        <v>30</v>
      </c>
      <c r="G249">
        <v>2380</v>
      </c>
      <c r="H249">
        <v>1</v>
      </c>
      <c r="I249">
        <v>1537.05</v>
      </c>
      <c r="J249">
        <v>2609.06</v>
      </c>
      <c r="K249" t="s">
        <v>60</v>
      </c>
      <c r="L249">
        <v>0.2</v>
      </c>
    </row>
    <row r="250" spans="1:12" x14ac:dyDescent="0.25">
      <c r="A250" t="s">
        <v>389</v>
      </c>
      <c r="B250">
        <v>68</v>
      </c>
      <c r="C250" s="1">
        <v>45833.853472222218</v>
      </c>
      <c r="D250" t="s">
        <v>37</v>
      </c>
      <c r="E250" t="s">
        <v>38</v>
      </c>
      <c r="F250" t="s">
        <v>30</v>
      </c>
      <c r="G250">
        <v>2228</v>
      </c>
      <c r="H250">
        <v>1</v>
      </c>
      <c r="I250">
        <v>843.78</v>
      </c>
      <c r="J250">
        <v>1212.94</v>
      </c>
      <c r="K250" t="s">
        <v>60</v>
      </c>
      <c r="L250">
        <v>0.2</v>
      </c>
    </row>
    <row r="251" spans="1:12" x14ac:dyDescent="0.25">
      <c r="A251" t="s">
        <v>390</v>
      </c>
      <c r="B251">
        <v>2</v>
      </c>
      <c r="C251" s="1">
        <v>45834.806770833333</v>
      </c>
      <c r="D251" t="s">
        <v>148</v>
      </c>
      <c r="E251" t="s">
        <v>149</v>
      </c>
      <c r="F251" t="s">
        <v>30</v>
      </c>
      <c r="G251">
        <v>3016</v>
      </c>
      <c r="H251">
        <v>3</v>
      </c>
      <c r="I251">
        <v>352.64</v>
      </c>
      <c r="J251">
        <v>723.81</v>
      </c>
      <c r="L251">
        <v>0</v>
      </c>
    </row>
    <row r="252" spans="1:12" x14ac:dyDescent="0.25">
      <c r="A252" t="s">
        <v>391</v>
      </c>
      <c r="B252">
        <v>78</v>
      </c>
      <c r="C252" s="1">
        <v>45835.114016203697</v>
      </c>
      <c r="D252" t="s">
        <v>28</v>
      </c>
      <c r="E252" t="s">
        <v>29</v>
      </c>
      <c r="F252" t="s">
        <v>30</v>
      </c>
      <c r="G252">
        <v>2735</v>
      </c>
      <c r="H252">
        <v>1</v>
      </c>
      <c r="I252">
        <v>2114.0100000000002</v>
      </c>
      <c r="J252">
        <v>3390.52</v>
      </c>
      <c r="L252">
        <v>0</v>
      </c>
    </row>
    <row r="253" spans="1:12" x14ac:dyDescent="0.25">
      <c r="A253" t="s">
        <v>392</v>
      </c>
      <c r="B253">
        <v>38</v>
      </c>
      <c r="C253" s="1">
        <v>45835.588773148149</v>
      </c>
      <c r="D253" t="s">
        <v>81</v>
      </c>
      <c r="E253" t="s">
        <v>82</v>
      </c>
      <c r="F253" t="s">
        <v>45</v>
      </c>
      <c r="G253">
        <v>0</v>
      </c>
      <c r="H253">
        <v>1</v>
      </c>
      <c r="I253">
        <v>53.63</v>
      </c>
      <c r="J253">
        <v>126.7</v>
      </c>
      <c r="K253" t="s">
        <v>60</v>
      </c>
      <c r="L253">
        <v>0.2</v>
      </c>
    </row>
    <row r="254" spans="1:12" x14ac:dyDescent="0.25">
      <c r="A254" t="s">
        <v>393</v>
      </c>
      <c r="B254">
        <v>154</v>
      </c>
      <c r="C254" s="1">
        <v>45836.091238425928</v>
      </c>
      <c r="D254" t="s">
        <v>89</v>
      </c>
      <c r="E254" t="s">
        <v>90</v>
      </c>
      <c r="F254" t="s">
        <v>52</v>
      </c>
      <c r="G254">
        <v>262</v>
      </c>
      <c r="H254">
        <v>3</v>
      </c>
      <c r="I254">
        <v>105.86</v>
      </c>
      <c r="J254">
        <v>152.87</v>
      </c>
      <c r="L254">
        <v>0</v>
      </c>
    </row>
    <row r="255" spans="1:12" x14ac:dyDescent="0.25">
      <c r="A255" t="s">
        <v>394</v>
      </c>
      <c r="B255">
        <v>9</v>
      </c>
      <c r="C255" s="1">
        <v>45836.205474537041</v>
      </c>
      <c r="D255" t="s">
        <v>43</v>
      </c>
      <c r="E255" t="s">
        <v>44</v>
      </c>
      <c r="F255" t="s">
        <v>45</v>
      </c>
      <c r="G255">
        <v>0</v>
      </c>
      <c r="H255">
        <v>2</v>
      </c>
      <c r="I255">
        <v>56.76</v>
      </c>
      <c r="J255">
        <v>140.66</v>
      </c>
      <c r="L255">
        <v>0</v>
      </c>
    </row>
    <row r="256" spans="1:12" x14ac:dyDescent="0.25">
      <c r="A256" t="s">
        <v>395</v>
      </c>
      <c r="B256">
        <v>199</v>
      </c>
      <c r="C256" s="1">
        <v>45836.521273148152</v>
      </c>
      <c r="D256" t="s">
        <v>37</v>
      </c>
      <c r="E256" t="s">
        <v>38</v>
      </c>
      <c r="F256" t="s">
        <v>30</v>
      </c>
      <c r="G256">
        <v>2619</v>
      </c>
      <c r="H256">
        <v>1</v>
      </c>
      <c r="I256">
        <v>784.46</v>
      </c>
      <c r="J256">
        <v>926.33</v>
      </c>
      <c r="K256" t="s">
        <v>46</v>
      </c>
      <c r="L256">
        <v>0.1</v>
      </c>
    </row>
    <row r="257" spans="1:12" x14ac:dyDescent="0.25">
      <c r="A257" t="s">
        <v>396</v>
      </c>
      <c r="B257">
        <v>134</v>
      </c>
      <c r="C257" s="1">
        <v>45836.707361111112</v>
      </c>
      <c r="D257" t="s">
        <v>92</v>
      </c>
      <c r="E257" t="s">
        <v>93</v>
      </c>
      <c r="F257" t="s">
        <v>52</v>
      </c>
      <c r="G257">
        <v>209</v>
      </c>
      <c r="H257">
        <v>1</v>
      </c>
      <c r="I257">
        <v>30.92</v>
      </c>
      <c r="J257">
        <v>62.98</v>
      </c>
      <c r="L257">
        <v>0</v>
      </c>
    </row>
    <row r="258" spans="1:12" x14ac:dyDescent="0.25">
      <c r="A258" t="s">
        <v>397</v>
      </c>
      <c r="B258">
        <v>90</v>
      </c>
      <c r="C258" s="1">
        <v>45836.715219907397</v>
      </c>
      <c r="D258" t="s">
        <v>74</v>
      </c>
      <c r="E258" t="s">
        <v>75</v>
      </c>
      <c r="F258" t="s">
        <v>30</v>
      </c>
      <c r="G258">
        <v>2581</v>
      </c>
      <c r="H258">
        <v>1</v>
      </c>
      <c r="I258">
        <v>2110.89</v>
      </c>
      <c r="J258">
        <v>4329.12</v>
      </c>
      <c r="L258">
        <v>0</v>
      </c>
    </row>
    <row r="259" spans="1:12" x14ac:dyDescent="0.25">
      <c r="A259" t="s">
        <v>398</v>
      </c>
      <c r="B259">
        <v>79</v>
      </c>
      <c r="C259" s="1">
        <v>45837.188437500001</v>
      </c>
      <c r="D259" t="s">
        <v>50</v>
      </c>
      <c r="E259" t="s">
        <v>51</v>
      </c>
      <c r="F259" t="s">
        <v>52</v>
      </c>
      <c r="G259">
        <v>696</v>
      </c>
      <c r="H259">
        <v>1</v>
      </c>
      <c r="I259">
        <v>173.87</v>
      </c>
      <c r="J259">
        <v>331.68</v>
      </c>
      <c r="L259">
        <v>0</v>
      </c>
    </row>
    <row r="260" spans="1:12" x14ac:dyDescent="0.25">
      <c r="A260" t="s">
        <v>399</v>
      </c>
      <c r="B260">
        <v>99</v>
      </c>
      <c r="C260" s="1">
        <v>45837.203923611109</v>
      </c>
      <c r="D260" t="s">
        <v>148</v>
      </c>
      <c r="E260" t="s">
        <v>149</v>
      </c>
      <c r="F260" t="s">
        <v>30</v>
      </c>
      <c r="G260">
        <v>3288</v>
      </c>
      <c r="H260">
        <v>1</v>
      </c>
      <c r="I260">
        <v>351.69</v>
      </c>
      <c r="J260">
        <v>621.14</v>
      </c>
      <c r="L260">
        <v>0</v>
      </c>
    </row>
    <row r="261" spans="1:12" x14ac:dyDescent="0.25">
      <c r="A261" t="s">
        <v>400</v>
      </c>
      <c r="B261">
        <v>51</v>
      </c>
      <c r="C261" s="1">
        <v>45837.684733796297</v>
      </c>
      <c r="D261" t="s">
        <v>164</v>
      </c>
      <c r="E261" t="s">
        <v>165</v>
      </c>
      <c r="F261" t="s">
        <v>116</v>
      </c>
      <c r="G261">
        <v>0</v>
      </c>
      <c r="H261">
        <v>3</v>
      </c>
      <c r="I261">
        <v>275.42</v>
      </c>
      <c r="J261">
        <v>625.95000000000005</v>
      </c>
      <c r="L261">
        <v>0</v>
      </c>
    </row>
    <row r="262" spans="1:12" x14ac:dyDescent="0.25">
      <c r="A262" t="s">
        <v>401</v>
      </c>
      <c r="B262">
        <v>8</v>
      </c>
      <c r="C262" s="1">
        <v>45837.78806712963</v>
      </c>
      <c r="D262" t="s">
        <v>43</v>
      </c>
      <c r="E262" t="s">
        <v>44</v>
      </c>
      <c r="F262" t="s">
        <v>45</v>
      </c>
      <c r="G262">
        <v>0</v>
      </c>
      <c r="H262">
        <v>1</v>
      </c>
      <c r="I262">
        <v>51.23</v>
      </c>
      <c r="J262">
        <v>141.91</v>
      </c>
      <c r="L262">
        <v>0</v>
      </c>
    </row>
    <row r="263" spans="1:12" x14ac:dyDescent="0.25">
      <c r="A263" t="s">
        <v>402</v>
      </c>
      <c r="B263">
        <v>164</v>
      </c>
      <c r="C263" s="1">
        <v>45838.245775462958</v>
      </c>
      <c r="D263" t="s">
        <v>74</v>
      </c>
      <c r="E263" t="s">
        <v>75</v>
      </c>
      <c r="F263" t="s">
        <v>30</v>
      </c>
      <c r="G263">
        <v>2414</v>
      </c>
      <c r="H263">
        <v>3</v>
      </c>
      <c r="I263">
        <v>2812.69</v>
      </c>
      <c r="J263">
        <v>4850.07</v>
      </c>
      <c r="L263">
        <v>0</v>
      </c>
    </row>
    <row r="264" spans="1:12" x14ac:dyDescent="0.25">
      <c r="A264" t="s">
        <v>403</v>
      </c>
      <c r="B264">
        <v>97</v>
      </c>
      <c r="C264" s="1">
        <v>45838.554652777777</v>
      </c>
      <c r="D264" t="s">
        <v>148</v>
      </c>
      <c r="E264" t="s">
        <v>149</v>
      </c>
      <c r="F264" t="s">
        <v>30</v>
      </c>
      <c r="G264">
        <v>2987</v>
      </c>
      <c r="H264">
        <v>3</v>
      </c>
      <c r="I264">
        <v>551.79</v>
      </c>
      <c r="J264">
        <v>949.47</v>
      </c>
      <c r="K264" t="s">
        <v>60</v>
      </c>
      <c r="L264">
        <v>0.2</v>
      </c>
    </row>
    <row r="265" spans="1:12" x14ac:dyDescent="0.25">
      <c r="A265" t="s">
        <v>404</v>
      </c>
      <c r="B265">
        <v>189</v>
      </c>
      <c r="C265" s="1">
        <v>45839.097129629627</v>
      </c>
      <c r="D265" t="s">
        <v>92</v>
      </c>
      <c r="E265" t="s">
        <v>93</v>
      </c>
      <c r="F265" t="s">
        <v>52</v>
      </c>
      <c r="G265">
        <v>207</v>
      </c>
      <c r="H265">
        <v>1</v>
      </c>
      <c r="I265">
        <v>31.7</v>
      </c>
      <c r="J265">
        <v>47.61</v>
      </c>
      <c r="L265">
        <v>0</v>
      </c>
    </row>
    <row r="266" spans="1:12" x14ac:dyDescent="0.25">
      <c r="A266" t="s">
        <v>406</v>
      </c>
      <c r="B266">
        <v>14</v>
      </c>
      <c r="C266" s="1">
        <v>45839.71266203704</v>
      </c>
      <c r="D266" t="s">
        <v>114</v>
      </c>
      <c r="E266" t="s">
        <v>115</v>
      </c>
      <c r="F266" t="s">
        <v>116</v>
      </c>
      <c r="G266">
        <v>0</v>
      </c>
      <c r="H266">
        <v>2</v>
      </c>
      <c r="I266">
        <v>272.36</v>
      </c>
      <c r="J266">
        <v>439.74</v>
      </c>
      <c r="L266">
        <v>0</v>
      </c>
    </row>
    <row r="267" spans="1:12" x14ac:dyDescent="0.25">
      <c r="A267" t="s">
        <v>407</v>
      </c>
      <c r="B267">
        <v>69</v>
      </c>
      <c r="C267" s="1">
        <v>45839.82435185185</v>
      </c>
      <c r="D267" t="s">
        <v>137</v>
      </c>
      <c r="E267" t="s">
        <v>138</v>
      </c>
      <c r="F267" t="s">
        <v>52</v>
      </c>
      <c r="G267">
        <v>462</v>
      </c>
      <c r="H267">
        <v>2</v>
      </c>
      <c r="I267">
        <v>115.53</v>
      </c>
      <c r="J267">
        <v>186.86</v>
      </c>
      <c r="K267" t="s">
        <v>46</v>
      </c>
      <c r="L267">
        <v>0.1</v>
      </c>
    </row>
    <row r="268" spans="1:12" x14ac:dyDescent="0.25">
      <c r="A268" t="s">
        <v>408</v>
      </c>
      <c r="B268">
        <v>52</v>
      </c>
      <c r="C268" s="1">
        <v>45840.021828703713</v>
      </c>
      <c r="D268" t="s">
        <v>105</v>
      </c>
      <c r="E268" t="s">
        <v>106</v>
      </c>
      <c r="F268" t="s">
        <v>30</v>
      </c>
      <c r="G268">
        <v>2016</v>
      </c>
      <c r="H268">
        <v>3</v>
      </c>
      <c r="I268">
        <v>204.97</v>
      </c>
      <c r="J268">
        <v>505.47</v>
      </c>
      <c r="L268">
        <v>0</v>
      </c>
    </row>
    <row r="269" spans="1:12" x14ac:dyDescent="0.25">
      <c r="A269" t="s">
        <v>409</v>
      </c>
      <c r="B269">
        <v>18</v>
      </c>
      <c r="C269" s="1">
        <v>45840.312997685192</v>
      </c>
      <c r="D269" t="s">
        <v>177</v>
      </c>
      <c r="E269" t="s">
        <v>178</v>
      </c>
      <c r="F269" t="s">
        <v>116</v>
      </c>
      <c r="G269">
        <v>0</v>
      </c>
      <c r="H269">
        <v>1</v>
      </c>
      <c r="I269">
        <v>299.89999999999998</v>
      </c>
      <c r="J269">
        <v>384.25</v>
      </c>
      <c r="L269">
        <v>0</v>
      </c>
    </row>
    <row r="270" spans="1:12" x14ac:dyDescent="0.25">
      <c r="A270" t="s">
        <v>410</v>
      </c>
      <c r="B270">
        <v>26</v>
      </c>
      <c r="C270" s="1">
        <v>45840.351261574076</v>
      </c>
      <c r="D270" t="s">
        <v>81</v>
      </c>
      <c r="E270" t="s">
        <v>82</v>
      </c>
      <c r="F270" t="s">
        <v>45</v>
      </c>
      <c r="G270">
        <v>0</v>
      </c>
      <c r="H270">
        <v>1</v>
      </c>
      <c r="I270">
        <v>105.91</v>
      </c>
      <c r="J270">
        <v>243.58</v>
      </c>
      <c r="K270" t="s">
        <v>46</v>
      </c>
      <c r="L270">
        <v>0.1</v>
      </c>
    </row>
    <row r="271" spans="1:12" x14ac:dyDescent="0.25">
      <c r="A271" t="s">
        <v>411</v>
      </c>
      <c r="B271">
        <v>200</v>
      </c>
      <c r="C271" s="1">
        <v>45840.54215277778</v>
      </c>
      <c r="D271" t="s">
        <v>81</v>
      </c>
      <c r="E271" t="s">
        <v>82</v>
      </c>
      <c r="F271" t="s">
        <v>45</v>
      </c>
      <c r="G271">
        <v>0</v>
      </c>
      <c r="H271">
        <v>3</v>
      </c>
      <c r="I271">
        <v>26.46</v>
      </c>
      <c r="J271">
        <v>153.18</v>
      </c>
      <c r="L271">
        <v>0</v>
      </c>
    </row>
    <row r="272" spans="1:12" x14ac:dyDescent="0.25">
      <c r="A272" t="s">
        <v>412</v>
      </c>
      <c r="B272">
        <v>21</v>
      </c>
      <c r="C272" s="1">
        <v>45840.686157407406</v>
      </c>
      <c r="D272" t="s">
        <v>43</v>
      </c>
      <c r="E272" t="s">
        <v>44</v>
      </c>
      <c r="F272" t="s">
        <v>45</v>
      </c>
      <c r="G272">
        <v>0</v>
      </c>
      <c r="H272">
        <v>1</v>
      </c>
      <c r="I272">
        <v>48.51</v>
      </c>
      <c r="J272">
        <v>81.95</v>
      </c>
      <c r="L272">
        <v>0</v>
      </c>
    </row>
    <row r="273" spans="1:12" x14ac:dyDescent="0.25">
      <c r="A273" t="s">
        <v>413</v>
      </c>
      <c r="B273">
        <v>128</v>
      </c>
      <c r="C273" s="1">
        <v>45841.011006944442</v>
      </c>
      <c r="D273" t="s">
        <v>74</v>
      </c>
      <c r="E273" t="s">
        <v>75</v>
      </c>
      <c r="F273" t="s">
        <v>30</v>
      </c>
      <c r="G273">
        <v>2943</v>
      </c>
      <c r="H273">
        <v>2</v>
      </c>
      <c r="I273">
        <v>2473.56</v>
      </c>
      <c r="J273">
        <v>4552.16</v>
      </c>
      <c r="L273">
        <v>0</v>
      </c>
    </row>
    <row r="274" spans="1:12" x14ac:dyDescent="0.25">
      <c r="A274" t="s">
        <v>414</v>
      </c>
      <c r="B274">
        <v>83</v>
      </c>
      <c r="C274" s="1">
        <v>45841.209722222222</v>
      </c>
      <c r="D274" t="s">
        <v>155</v>
      </c>
      <c r="E274" t="s">
        <v>156</v>
      </c>
      <c r="F274" t="s">
        <v>30</v>
      </c>
      <c r="G274">
        <v>4566</v>
      </c>
      <c r="H274">
        <v>2</v>
      </c>
      <c r="I274">
        <v>542.04999999999995</v>
      </c>
      <c r="J274">
        <v>876.38</v>
      </c>
      <c r="K274" t="s">
        <v>60</v>
      </c>
      <c r="L274">
        <v>0.2</v>
      </c>
    </row>
    <row r="275" spans="1:12" x14ac:dyDescent="0.25">
      <c r="A275" t="s">
        <v>415</v>
      </c>
      <c r="B275">
        <v>110</v>
      </c>
      <c r="C275" s="1">
        <v>45841.284421296303</v>
      </c>
      <c r="D275" t="s">
        <v>86</v>
      </c>
      <c r="E275" t="s">
        <v>87</v>
      </c>
      <c r="F275" t="s">
        <v>45</v>
      </c>
      <c r="G275">
        <v>0</v>
      </c>
      <c r="H275">
        <v>2</v>
      </c>
      <c r="I275">
        <v>30.86</v>
      </c>
      <c r="J275">
        <v>74.19</v>
      </c>
      <c r="L275">
        <v>0</v>
      </c>
    </row>
    <row r="276" spans="1:12" x14ac:dyDescent="0.25">
      <c r="A276" t="s">
        <v>416</v>
      </c>
      <c r="B276">
        <v>37</v>
      </c>
      <c r="C276" s="1">
        <v>45841.455000000002</v>
      </c>
      <c r="D276" t="s">
        <v>92</v>
      </c>
      <c r="E276" t="s">
        <v>93</v>
      </c>
      <c r="F276" t="s">
        <v>52</v>
      </c>
      <c r="G276">
        <v>203</v>
      </c>
      <c r="H276">
        <v>3</v>
      </c>
      <c r="I276">
        <v>52.03</v>
      </c>
      <c r="J276">
        <v>72.03</v>
      </c>
      <c r="L276">
        <v>0</v>
      </c>
    </row>
    <row r="277" spans="1:12" x14ac:dyDescent="0.25">
      <c r="A277" t="s">
        <v>417</v>
      </c>
      <c r="B277">
        <v>161</v>
      </c>
      <c r="C277" s="1">
        <v>45841.793009259258</v>
      </c>
      <c r="D277" t="s">
        <v>148</v>
      </c>
      <c r="E277" t="s">
        <v>149</v>
      </c>
      <c r="F277" t="s">
        <v>30</v>
      </c>
      <c r="G277">
        <v>3164</v>
      </c>
      <c r="H277">
        <v>2</v>
      </c>
      <c r="I277">
        <v>357.93</v>
      </c>
      <c r="J277">
        <v>766.1</v>
      </c>
      <c r="L277">
        <v>0</v>
      </c>
    </row>
    <row r="278" spans="1:12" x14ac:dyDescent="0.25">
      <c r="A278" t="s">
        <v>418</v>
      </c>
      <c r="B278">
        <v>44</v>
      </c>
      <c r="C278" s="1">
        <v>45842.150729166657</v>
      </c>
      <c r="D278" t="s">
        <v>50</v>
      </c>
      <c r="E278" t="s">
        <v>51</v>
      </c>
      <c r="F278" t="s">
        <v>52</v>
      </c>
      <c r="G278">
        <v>797</v>
      </c>
      <c r="H278">
        <v>2</v>
      </c>
      <c r="I278">
        <v>183.57</v>
      </c>
      <c r="J278">
        <v>315.75</v>
      </c>
      <c r="L278">
        <v>0</v>
      </c>
    </row>
    <row r="279" spans="1:12" x14ac:dyDescent="0.25">
      <c r="A279" t="s">
        <v>419</v>
      </c>
      <c r="B279">
        <v>74</v>
      </c>
      <c r="C279" s="1">
        <v>45842.549212962957</v>
      </c>
      <c r="D279" t="s">
        <v>71</v>
      </c>
      <c r="E279" t="s">
        <v>72</v>
      </c>
      <c r="F279" t="s">
        <v>52</v>
      </c>
      <c r="G279">
        <v>341</v>
      </c>
      <c r="H279">
        <v>3</v>
      </c>
      <c r="I279">
        <v>52.54</v>
      </c>
      <c r="J279">
        <v>137.82</v>
      </c>
      <c r="L279">
        <v>0</v>
      </c>
    </row>
    <row r="280" spans="1:12" x14ac:dyDescent="0.25">
      <c r="A280" t="s">
        <v>420</v>
      </c>
      <c r="B280">
        <v>187</v>
      </c>
      <c r="C280" s="1">
        <v>45842.894270833327</v>
      </c>
      <c r="D280" t="s">
        <v>86</v>
      </c>
      <c r="E280" t="s">
        <v>87</v>
      </c>
      <c r="F280" t="s">
        <v>45</v>
      </c>
      <c r="G280">
        <v>0</v>
      </c>
      <c r="H280">
        <v>3</v>
      </c>
      <c r="I280">
        <v>43.44</v>
      </c>
      <c r="J280">
        <v>188.54</v>
      </c>
      <c r="L280">
        <v>0</v>
      </c>
    </row>
    <row r="281" spans="1:12" x14ac:dyDescent="0.25">
      <c r="A281" t="s">
        <v>421</v>
      </c>
      <c r="B281">
        <v>97</v>
      </c>
      <c r="C281" s="1">
        <v>45843.281736111108</v>
      </c>
      <c r="D281" t="s">
        <v>37</v>
      </c>
      <c r="E281" t="s">
        <v>38</v>
      </c>
      <c r="F281" t="s">
        <v>30</v>
      </c>
      <c r="G281">
        <v>2639</v>
      </c>
      <c r="H281">
        <v>3</v>
      </c>
      <c r="I281">
        <v>470.28</v>
      </c>
      <c r="J281">
        <v>1316.05</v>
      </c>
      <c r="K281" t="s">
        <v>46</v>
      </c>
      <c r="L281">
        <v>0.1</v>
      </c>
    </row>
    <row r="282" spans="1:12" x14ac:dyDescent="0.25">
      <c r="A282" t="s">
        <v>422</v>
      </c>
      <c r="B282">
        <v>26</v>
      </c>
      <c r="C282" s="1">
        <v>45843.422002314823</v>
      </c>
      <c r="D282" t="s">
        <v>110</v>
      </c>
      <c r="E282" t="s">
        <v>111</v>
      </c>
      <c r="F282" t="s">
        <v>30</v>
      </c>
      <c r="G282">
        <v>2122</v>
      </c>
      <c r="H282">
        <v>1</v>
      </c>
      <c r="I282">
        <v>1412.22</v>
      </c>
      <c r="J282">
        <v>1757.2</v>
      </c>
      <c r="K282" t="s">
        <v>60</v>
      </c>
      <c r="L282">
        <v>0.2</v>
      </c>
    </row>
    <row r="283" spans="1:12" x14ac:dyDescent="0.25">
      <c r="A283" t="s">
        <v>423</v>
      </c>
      <c r="B283">
        <v>73</v>
      </c>
      <c r="C283" s="1">
        <v>45844.187916666669</v>
      </c>
      <c r="D283" t="s">
        <v>164</v>
      </c>
      <c r="E283" t="s">
        <v>165</v>
      </c>
      <c r="F283" t="s">
        <v>116</v>
      </c>
      <c r="G283">
        <v>0</v>
      </c>
      <c r="H283">
        <v>1</v>
      </c>
      <c r="I283">
        <v>340.24</v>
      </c>
      <c r="J283">
        <v>402.68</v>
      </c>
      <c r="L283">
        <v>0</v>
      </c>
    </row>
    <row r="284" spans="1:12" x14ac:dyDescent="0.25">
      <c r="A284" t="s">
        <v>424</v>
      </c>
      <c r="B284">
        <v>44</v>
      </c>
      <c r="C284" s="1">
        <v>45844.361828703702</v>
      </c>
      <c r="D284" t="s">
        <v>28</v>
      </c>
      <c r="E284" t="s">
        <v>29</v>
      </c>
      <c r="F284" t="s">
        <v>30</v>
      </c>
      <c r="G284">
        <v>2151</v>
      </c>
      <c r="H284">
        <v>1</v>
      </c>
      <c r="I284">
        <v>2195.77</v>
      </c>
      <c r="J284">
        <v>3623.55</v>
      </c>
      <c r="L284">
        <v>0</v>
      </c>
    </row>
    <row r="285" spans="1:12" x14ac:dyDescent="0.25">
      <c r="A285" t="s">
        <v>425</v>
      </c>
      <c r="B285">
        <v>67</v>
      </c>
      <c r="C285" s="1">
        <v>45844.454930555563</v>
      </c>
      <c r="D285" t="s">
        <v>74</v>
      </c>
      <c r="E285" t="s">
        <v>75</v>
      </c>
      <c r="F285" t="s">
        <v>30</v>
      </c>
      <c r="G285">
        <v>2995</v>
      </c>
      <c r="H285">
        <v>3</v>
      </c>
      <c r="I285">
        <v>2474.79</v>
      </c>
      <c r="J285">
        <v>3819.87</v>
      </c>
      <c r="L285">
        <v>0</v>
      </c>
    </row>
    <row r="286" spans="1:12" x14ac:dyDescent="0.25">
      <c r="A286" t="s">
        <v>426</v>
      </c>
      <c r="B286">
        <v>154</v>
      </c>
      <c r="C286" s="1">
        <v>45844.565520833326</v>
      </c>
      <c r="D286" t="s">
        <v>198</v>
      </c>
      <c r="E286" t="s">
        <v>199</v>
      </c>
      <c r="F286" t="s">
        <v>116</v>
      </c>
      <c r="G286">
        <v>0</v>
      </c>
      <c r="H286">
        <v>2</v>
      </c>
      <c r="I286">
        <v>486.06</v>
      </c>
      <c r="J286">
        <v>688.86</v>
      </c>
      <c r="L286">
        <v>0</v>
      </c>
    </row>
    <row r="287" spans="1:12" x14ac:dyDescent="0.25">
      <c r="A287" t="s">
        <v>427</v>
      </c>
      <c r="B287">
        <v>168</v>
      </c>
      <c r="C287" s="1">
        <v>45844.586678240739</v>
      </c>
      <c r="D287" t="s">
        <v>177</v>
      </c>
      <c r="E287" t="s">
        <v>178</v>
      </c>
      <c r="F287" t="s">
        <v>116</v>
      </c>
      <c r="G287">
        <v>0</v>
      </c>
      <c r="H287">
        <v>1</v>
      </c>
      <c r="I287">
        <v>172.6</v>
      </c>
      <c r="J287">
        <v>479.93</v>
      </c>
      <c r="L287">
        <v>0</v>
      </c>
    </row>
    <row r="288" spans="1:12" x14ac:dyDescent="0.25">
      <c r="A288" t="s">
        <v>428</v>
      </c>
      <c r="B288">
        <v>142</v>
      </c>
      <c r="C288" s="1">
        <v>45844.597557870373</v>
      </c>
      <c r="D288" t="s">
        <v>114</v>
      </c>
      <c r="E288" t="s">
        <v>115</v>
      </c>
      <c r="F288" t="s">
        <v>116</v>
      </c>
      <c r="G288">
        <v>0</v>
      </c>
      <c r="H288">
        <v>2</v>
      </c>
      <c r="I288">
        <v>292.14999999999998</v>
      </c>
      <c r="J288">
        <v>453.4</v>
      </c>
      <c r="L288">
        <v>0</v>
      </c>
    </row>
    <row r="289" spans="1:12" x14ac:dyDescent="0.25">
      <c r="A289" t="s">
        <v>429</v>
      </c>
      <c r="B289">
        <v>164</v>
      </c>
      <c r="C289" s="1">
        <v>45844.907916666663</v>
      </c>
      <c r="D289" t="s">
        <v>89</v>
      </c>
      <c r="E289" t="s">
        <v>90</v>
      </c>
      <c r="F289" t="s">
        <v>52</v>
      </c>
      <c r="G289">
        <v>283</v>
      </c>
      <c r="H289">
        <v>2</v>
      </c>
      <c r="I289">
        <v>59.37</v>
      </c>
      <c r="J289">
        <v>173.37</v>
      </c>
      <c r="L289">
        <v>0</v>
      </c>
    </row>
    <row r="290" spans="1:12" x14ac:dyDescent="0.25">
      <c r="A290" t="s">
        <v>430</v>
      </c>
      <c r="B290">
        <v>46</v>
      </c>
      <c r="C290" s="1">
        <v>45845.267650462964</v>
      </c>
      <c r="D290" t="s">
        <v>43</v>
      </c>
      <c r="E290" t="s">
        <v>44</v>
      </c>
      <c r="F290" t="s">
        <v>45</v>
      </c>
      <c r="G290">
        <v>0</v>
      </c>
      <c r="H290">
        <v>2</v>
      </c>
      <c r="I290">
        <v>36.590000000000003</v>
      </c>
      <c r="J290">
        <v>91.28</v>
      </c>
      <c r="K290" t="s">
        <v>60</v>
      </c>
      <c r="L290">
        <v>0.2</v>
      </c>
    </row>
    <row r="291" spans="1:12" x14ac:dyDescent="0.25">
      <c r="A291" t="s">
        <v>431</v>
      </c>
      <c r="B291">
        <v>186</v>
      </c>
      <c r="C291" s="1">
        <v>45846.299513888887</v>
      </c>
      <c r="D291" t="s">
        <v>86</v>
      </c>
      <c r="E291" t="s">
        <v>87</v>
      </c>
      <c r="F291" t="s">
        <v>45</v>
      </c>
      <c r="G291">
        <v>0</v>
      </c>
      <c r="H291">
        <v>1</v>
      </c>
      <c r="I291">
        <v>31.33</v>
      </c>
      <c r="J291">
        <v>175.41</v>
      </c>
      <c r="K291" t="s">
        <v>46</v>
      </c>
      <c r="L291">
        <v>0.1</v>
      </c>
    </row>
    <row r="292" spans="1:12" x14ac:dyDescent="0.25">
      <c r="A292" t="s">
        <v>432</v>
      </c>
      <c r="B292">
        <v>125</v>
      </c>
      <c r="C292" s="1">
        <v>45846.337847222218</v>
      </c>
      <c r="D292" t="s">
        <v>89</v>
      </c>
      <c r="E292" t="s">
        <v>90</v>
      </c>
      <c r="F292" t="s">
        <v>52</v>
      </c>
      <c r="G292">
        <v>225</v>
      </c>
      <c r="H292">
        <v>3</v>
      </c>
      <c r="I292">
        <v>74.569999999999993</v>
      </c>
      <c r="J292">
        <v>127.73</v>
      </c>
      <c r="L292">
        <v>0</v>
      </c>
    </row>
    <row r="293" spans="1:12" x14ac:dyDescent="0.25">
      <c r="A293" t="s">
        <v>433</v>
      </c>
      <c r="B293">
        <v>85</v>
      </c>
      <c r="C293" s="1">
        <v>45846.881388888891</v>
      </c>
      <c r="D293" t="s">
        <v>148</v>
      </c>
      <c r="E293" t="s">
        <v>149</v>
      </c>
      <c r="F293" t="s">
        <v>30</v>
      </c>
      <c r="G293">
        <v>3204</v>
      </c>
      <c r="H293">
        <v>3</v>
      </c>
      <c r="I293">
        <v>468.21</v>
      </c>
      <c r="J293">
        <v>617.89</v>
      </c>
      <c r="L293">
        <v>0</v>
      </c>
    </row>
    <row r="294" spans="1:12" x14ac:dyDescent="0.25">
      <c r="A294" t="s">
        <v>434</v>
      </c>
      <c r="B294">
        <v>177</v>
      </c>
      <c r="C294" s="1">
        <v>45847.279629629629</v>
      </c>
      <c r="D294" t="s">
        <v>95</v>
      </c>
      <c r="E294" t="s">
        <v>96</v>
      </c>
      <c r="F294" t="s">
        <v>52</v>
      </c>
      <c r="G294">
        <v>561</v>
      </c>
      <c r="H294">
        <v>3</v>
      </c>
      <c r="I294">
        <v>37.96</v>
      </c>
      <c r="J294">
        <v>63.88</v>
      </c>
      <c r="L294">
        <v>0</v>
      </c>
    </row>
    <row r="295" spans="1:12" x14ac:dyDescent="0.25">
      <c r="A295" t="s">
        <v>435</v>
      </c>
      <c r="B295">
        <v>58</v>
      </c>
      <c r="C295" s="1">
        <v>45847.463437500002</v>
      </c>
      <c r="D295" t="s">
        <v>74</v>
      </c>
      <c r="E295" t="s">
        <v>75</v>
      </c>
      <c r="F295" t="s">
        <v>30</v>
      </c>
      <c r="G295">
        <v>2326</v>
      </c>
      <c r="H295">
        <v>2</v>
      </c>
      <c r="I295">
        <v>2748.38</v>
      </c>
      <c r="J295">
        <v>4834.67</v>
      </c>
      <c r="L295">
        <v>0</v>
      </c>
    </row>
    <row r="296" spans="1:12" x14ac:dyDescent="0.25">
      <c r="A296" t="s">
        <v>436</v>
      </c>
      <c r="B296">
        <v>16</v>
      </c>
      <c r="C296" s="1">
        <v>45847.70517361111</v>
      </c>
      <c r="D296" t="s">
        <v>81</v>
      </c>
      <c r="E296" t="s">
        <v>82</v>
      </c>
      <c r="F296" t="s">
        <v>45</v>
      </c>
      <c r="G296">
        <v>0</v>
      </c>
      <c r="H296">
        <v>1</v>
      </c>
      <c r="I296">
        <v>119.9</v>
      </c>
      <c r="J296">
        <v>202.7</v>
      </c>
      <c r="L296">
        <v>0</v>
      </c>
    </row>
    <row r="297" spans="1:12" x14ac:dyDescent="0.25">
      <c r="A297" t="s">
        <v>437</v>
      </c>
      <c r="B297">
        <v>119</v>
      </c>
      <c r="C297" s="1">
        <v>45847.860578703701</v>
      </c>
      <c r="D297" t="s">
        <v>198</v>
      </c>
      <c r="E297" t="s">
        <v>199</v>
      </c>
      <c r="F297" t="s">
        <v>116</v>
      </c>
      <c r="G297">
        <v>0</v>
      </c>
      <c r="H297">
        <v>1</v>
      </c>
      <c r="I297">
        <v>319.52</v>
      </c>
      <c r="J297">
        <v>740.2</v>
      </c>
      <c r="L297">
        <v>0</v>
      </c>
    </row>
    <row r="298" spans="1:12" x14ac:dyDescent="0.25">
      <c r="A298" t="s">
        <v>438</v>
      </c>
      <c r="B298">
        <v>32</v>
      </c>
      <c r="C298" s="1">
        <v>45847.97111111111</v>
      </c>
      <c r="D298" t="s">
        <v>123</v>
      </c>
      <c r="E298" t="s">
        <v>124</v>
      </c>
      <c r="F298" t="s">
        <v>45</v>
      </c>
      <c r="G298">
        <v>0</v>
      </c>
      <c r="H298">
        <v>1</v>
      </c>
      <c r="I298">
        <v>225.01</v>
      </c>
      <c r="J298">
        <v>480.75</v>
      </c>
      <c r="L298">
        <v>0</v>
      </c>
    </row>
    <row r="299" spans="1:12" x14ac:dyDescent="0.25">
      <c r="A299" t="s">
        <v>439</v>
      </c>
      <c r="B299">
        <v>154</v>
      </c>
      <c r="C299" s="1">
        <v>45848.024305555547</v>
      </c>
      <c r="D299" t="s">
        <v>81</v>
      </c>
      <c r="E299" t="s">
        <v>82</v>
      </c>
      <c r="F299" t="s">
        <v>45</v>
      </c>
      <c r="G299">
        <v>0</v>
      </c>
      <c r="H299">
        <v>2</v>
      </c>
      <c r="I299">
        <v>114.22</v>
      </c>
      <c r="J299">
        <v>163.93</v>
      </c>
      <c r="K299" t="s">
        <v>46</v>
      </c>
      <c r="L299">
        <v>0.1</v>
      </c>
    </row>
    <row r="300" spans="1:12" x14ac:dyDescent="0.25">
      <c r="A300" t="s">
        <v>440</v>
      </c>
      <c r="B300">
        <v>197</v>
      </c>
      <c r="C300" s="1">
        <v>45848.035231481481</v>
      </c>
      <c r="D300" t="s">
        <v>58</v>
      </c>
      <c r="E300" t="s">
        <v>59</v>
      </c>
      <c r="F300" t="s">
        <v>30</v>
      </c>
      <c r="G300">
        <v>4768</v>
      </c>
      <c r="H300">
        <v>1</v>
      </c>
      <c r="I300">
        <v>276.62</v>
      </c>
      <c r="J300">
        <v>656.41</v>
      </c>
      <c r="L300">
        <v>0</v>
      </c>
    </row>
    <row r="301" spans="1:12" x14ac:dyDescent="0.25">
      <c r="A301" t="s">
        <v>441</v>
      </c>
      <c r="B301">
        <v>109</v>
      </c>
      <c r="C301" s="1">
        <v>45848.333425925928</v>
      </c>
      <c r="D301" t="s">
        <v>114</v>
      </c>
      <c r="E301" t="s">
        <v>115</v>
      </c>
      <c r="F301" t="s">
        <v>116</v>
      </c>
      <c r="G301">
        <v>0</v>
      </c>
      <c r="H301">
        <v>2</v>
      </c>
      <c r="I301">
        <v>480.61</v>
      </c>
      <c r="J301">
        <v>690.5</v>
      </c>
      <c r="L301">
        <v>0</v>
      </c>
    </row>
    <row r="302" spans="1:12" x14ac:dyDescent="0.25">
      <c r="A302" t="s">
        <v>442</v>
      </c>
      <c r="B302">
        <v>152</v>
      </c>
      <c r="C302" s="1">
        <v>45848.584594907406</v>
      </c>
      <c r="D302" t="s">
        <v>148</v>
      </c>
      <c r="E302" t="s">
        <v>149</v>
      </c>
      <c r="F302" t="s">
        <v>30</v>
      </c>
      <c r="G302">
        <v>2538</v>
      </c>
      <c r="H302">
        <v>2</v>
      </c>
      <c r="I302">
        <v>358.33</v>
      </c>
      <c r="J302">
        <v>575.30999999999995</v>
      </c>
      <c r="L302">
        <v>0</v>
      </c>
    </row>
    <row r="303" spans="1:12" x14ac:dyDescent="0.25">
      <c r="A303" t="s">
        <v>443</v>
      </c>
      <c r="B303">
        <v>119</v>
      </c>
      <c r="C303" s="1">
        <v>45848.706712962958</v>
      </c>
      <c r="D303" t="s">
        <v>95</v>
      </c>
      <c r="E303" t="s">
        <v>96</v>
      </c>
      <c r="F303" t="s">
        <v>52</v>
      </c>
      <c r="G303">
        <v>501</v>
      </c>
      <c r="H303">
        <v>3</v>
      </c>
      <c r="I303">
        <v>16.760000000000002</v>
      </c>
      <c r="J303">
        <v>89.58</v>
      </c>
      <c r="K303" t="s">
        <v>60</v>
      </c>
      <c r="L303">
        <v>0.2</v>
      </c>
    </row>
    <row r="304" spans="1:12" x14ac:dyDescent="0.25">
      <c r="A304" t="s">
        <v>444</v>
      </c>
      <c r="B304">
        <v>168</v>
      </c>
      <c r="C304" s="1">
        <v>45848.794710648152</v>
      </c>
      <c r="D304" t="s">
        <v>92</v>
      </c>
      <c r="E304" t="s">
        <v>93</v>
      </c>
      <c r="F304" t="s">
        <v>52</v>
      </c>
      <c r="G304">
        <v>215</v>
      </c>
      <c r="H304">
        <v>1</v>
      </c>
      <c r="I304">
        <v>27.06</v>
      </c>
      <c r="J304">
        <v>79.22</v>
      </c>
      <c r="K304" t="s">
        <v>46</v>
      </c>
      <c r="L304">
        <v>0.1</v>
      </c>
    </row>
    <row r="305" spans="1:12" x14ac:dyDescent="0.25">
      <c r="A305" t="s">
        <v>445</v>
      </c>
      <c r="B305">
        <v>111</v>
      </c>
      <c r="C305" s="1">
        <v>45848.846608796302</v>
      </c>
      <c r="D305" t="s">
        <v>37</v>
      </c>
      <c r="E305" t="s">
        <v>38</v>
      </c>
      <c r="F305" t="s">
        <v>30</v>
      </c>
      <c r="G305">
        <v>2130</v>
      </c>
      <c r="H305">
        <v>2</v>
      </c>
      <c r="I305">
        <v>761.04</v>
      </c>
      <c r="J305">
        <v>1113.3800000000001</v>
      </c>
      <c r="K305" t="s">
        <v>46</v>
      </c>
      <c r="L305">
        <v>0.1</v>
      </c>
    </row>
    <row r="306" spans="1:12" x14ac:dyDescent="0.25">
      <c r="A306" t="s">
        <v>446</v>
      </c>
      <c r="B306">
        <v>103</v>
      </c>
      <c r="C306" s="1">
        <v>45849.751527777778</v>
      </c>
      <c r="D306" t="s">
        <v>58</v>
      </c>
      <c r="E306" t="s">
        <v>59</v>
      </c>
      <c r="F306" t="s">
        <v>30</v>
      </c>
      <c r="G306">
        <v>4194</v>
      </c>
      <c r="H306">
        <v>3</v>
      </c>
      <c r="I306">
        <v>211.37</v>
      </c>
      <c r="J306">
        <v>706.01</v>
      </c>
      <c r="K306" t="s">
        <v>46</v>
      </c>
      <c r="L306">
        <v>0.1</v>
      </c>
    </row>
    <row r="307" spans="1:12" x14ac:dyDescent="0.25">
      <c r="A307" t="s">
        <v>447</v>
      </c>
      <c r="B307">
        <v>112</v>
      </c>
      <c r="C307" s="1">
        <v>45849.846250000002</v>
      </c>
      <c r="D307" t="s">
        <v>110</v>
      </c>
      <c r="E307" t="s">
        <v>111</v>
      </c>
      <c r="F307" t="s">
        <v>30</v>
      </c>
      <c r="G307">
        <v>2015</v>
      </c>
      <c r="H307">
        <v>2</v>
      </c>
      <c r="I307">
        <v>1199.98</v>
      </c>
      <c r="J307">
        <v>2161</v>
      </c>
      <c r="L307">
        <v>0</v>
      </c>
    </row>
    <row r="308" spans="1:12" x14ac:dyDescent="0.25">
      <c r="A308" t="s">
        <v>448</v>
      </c>
      <c r="B308">
        <v>33</v>
      </c>
      <c r="C308" s="1">
        <v>45849.928032407413</v>
      </c>
      <c r="D308" t="s">
        <v>92</v>
      </c>
      <c r="E308" t="s">
        <v>93</v>
      </c>
      <c r="F308" t="s">
        <v>52</v>
      </c>
      <c r="G308">
        <v>287</v>
      </c>
      <c r="H308">
        <v>2</v>
      </c>
      <c r="I308">
        <v>29.26</v>
      </c>
      <c r="J308">
        <v>100.19</v>
      </c>
      <c r="K308" t="s">
        <v>60</v>
      </c>
      <c r="L308">
        <v>0.2</v>
      </c>
    </row>
    <row r="309" spans="1:12" x14ac:dyDescent="0.25">
      <c r="A309" t="s">
        <v>449</v>
      </c>
      <c r="B309">
        <v>169</v>
      </c>
      <c r="C309" s="1">
        <v>45850.057997685188</v>
      </c>
      <c r="D309" t="s">
        <v>86</v>
      </c>
      <c r="E309" t="s">
        <v>87</v>
      </c>
      <c r="F309" t="s">
        <v>45</v>
      </c>
      <c r="G309">
        <v>0</v>
      </c>
      <c r="H309">
        <v>3</v>
      </c>
      <c r="I309">
        <v>90.75</v>
      </c>
      <c r="J309">
        <v>184.15</v>
      </c>
      <c r="L309">
        <v>0</v>
      </c>
    </row>
    <row r="310" spans="1:12" x14ac:dyDescent="0.25">
      <c r="A310" t="s">
        <v>450</v>
      </c>
      <c r="B310">
        <v>136</v>
      </c>
      <c r="C310" s="1">
        <v>45850.150312500002</v>
      </c>
      <c r="D310" t="s">
        <v>155</v>
      </c>
      <c r="E310" t="s">
        <v>156</v>
      </c>
      <c r="F310" t="s">
        <v>30</v>
      </c>
      <c r="G310">
        <v>3798</v>
      </c>
      <c r="H310">
        <v>3</v>
      </c>
      <c r="I310">
        <v>662.24</v>
      </c>
      <c r="J310">
        <v>1203.8699999999999</v>
      </c>
      <c r="L310">
        <v>0</v>
      </c>
    </row>
    <row r="311" spans="1:12" x14ac:dyDescent="0.25">
      <c r="A311" t="s">
        <v>451</v>
      </c>
      <c r="B311">
        <v>195</v>
      </c>
      <c r="C311" s="1">
        <v>45850.183657407397</v>
      </c>
      <c r="D311" t="s">
        <v>71</v>
      </c>
      <c r="E311" t="s">
        <v>72</v>
      </c>
      <c r="F311" t="s">
        <v>52</v>
      </c>
      <c r="G311">
        <v>232</v>
      </c>
      <c r="H311">
        <v>3</v>
      </c>
      <c r="I311">
        <v>79.23</v>
      </c>
      <c r="J311">
        <v>118.45</v>
      </c>
      <c r="L311">
        <v>0</v>
      </c>
    </row>
    <row r="312" spans="1:12" x14ac:dyDescent="0.25">
      <c r="A312" t="s">
        <v>452</v>
      </c>
      <c r="B312">
        <v>22</v>
      </c>
      <c r="C312" s="1">
        <v>45850.291331018518</v>
      </c>
      <c r="D312" t="s">
        <v>114</v>
      </c>
      <c r="E312" t="s">
        <v>115</v>
      </c>
      <c r="F312" t="s">
        <v>116</v>
      </c>
      <c r="G312">
        <v>0</v>
      </c>
      <c r="H312">
        <v>1</v>
      </c>
      <c r="I312">
        <v>493.84</v>
      </c>
      <c r="J312">
        <v>714.49</v>
      </c>
      <c r="L312">
        <v>0</v>
      </c>
    </row>
    <row r="313" spans="1:12" x14ac:dyDescent="0.25">
      <c r="A313" t="s">
        <v>453</v>
      </c>
      <c r="B313">
        <v>166</v>
      </c>
      <c r="C313" s="1">
        <v>45850.671111111107</v>
      </c>
      <c r="D313" t="s">
        <v>37</v>
      </c>
      <c r="E313" t="s">
        <v>38</v>
      </c>
      <c r="F313" t="s">
        <v>30</v>
      </c>
      <c r="G313">
        <v>2255</v>
      </c>
      <c r="H313">
        <v>2</v>
      </c>
      <c r="I313">
        <v>762.32</v>
      </c>
      <c r="J313">
        <v>1377.09</v>
      </c>
      <c r="K313" t="s">
        <v>46</v>
      </c>
      <c r="L313">
        <v>0.1</v>
      </c>
    </row>
    <row r="314" spans="1:12" x14ac:dyDescent="0.25">
      <c r="A314" t="s">
        <v>454</v>
      </c>
      <c r="B314">
        <v>12</v>
      </c>
      <c r="C314" s="1">
        <v>45851.079189814824</v>
      </c>
      <c r="D314" t="s">
        <v>58</v>
      </c>
      <c r="E314" t="s">
        <v>59</v>
      </c>
      <c r="F314" t="s">
        <v>30</v>
      </c>
      <c r="G314">
        <v>4278</v>
      </c>
      <c r="H314">
        <v>2</v>
      </c>
      <c r="I314">
        <v>207.35</v>
      </c>
      <c r="J314">
        <v>484.15</v>
      </c>
      <c r="L314">
        <v>0</v>
      </c>
    </row>
    <row r="315" spans="1:12" x14ac:dyDescent="0.25">
      <c r="A315" t="s">
        <v>455</v>
      </c>
      <c r="B315">
        <v>187</v>
      </c>
      <c r="C315" s="1">
        <v>45852.349745370368</v>
      </c>
      <c r="D315" t="s">
        <v>198</v>
      </c>
      <c r="E315" t="s">
        <v>199</v>
      </c>
      <c r="F315" t="s">
        <v>116</v>
      </c>
      <c r="G315">
        <v>0</v>
      </c>
      <c r="H315">
        <v>1</v>
      </c>
      <c r="I315">
        <v>301.08</v>
      </c>
      <c r="J315">
        <v>566.33000000000004</v>
      </c>
      <c r="K315" t="s">
        <v>46</v>
      </c>
      <c r="L315">
        <v>0.1</v>
      </c>
    </row>
    <row r="316" spans="1:12" x14ac:dyDescent="0.25">
      <c r="A316" t="s">
        <v>456</v>
      </c>
      <c r="B316">
        <v>179</v>
      </c>
      <c r="C316" s="1">
        <v>45853.438923611109</v>
      </c>
      <c r="D316" t="s">
        <v>123</v>
      </c>
      <c r="E316" t="s">
        <v>124</v>
      </c>
      <c r="F316" t="s">
        <v>45</v>
      </c>
      <c r="G316">
        <v>0</v>
      </c>
      <c r="H316">
        <v>1</v>
      </c>
      <c r="I316">
        <v>116.99</v>
      </c>
      <c r="J316">
        <v>200.2</v>
      </c>
      <c r="K316" t="s">
        <v>60</v>
      </c>
      <c r="L316">
        <v>0.2</v>
      </c>
    </row>
    <row r="317" spans="1:12" x14ac:dyDescent="0.25">
      <c r="A317" t="s">
        <v>457</v>
      </c>
      <c r="B317">
        <v>194</v>
      </c>
      <c r="C317" s="1">
        <v>45853.470659722218</v>
      </c>
      <c r="D317" t="s">
        <v>89</v>
      </c>
      <c r="E317" t="s">
        <v>90</v>
      </c>
      <c r="F317" t="s">
        <v>52</v>
      </c>
      <c r="G317">
        <v>207</v>
      </c>
      <c r="H317">
        <v>1</v>
      </c>
      <c r="I317">
        <v>77.78</v>
      </c>
      <c r="J317">
        <v>96</v>
      </c>
      <c r="L317">
        <v>0</v>
      </c>
    </row>
    <row r="318" spans="1:12" x14ac:dyDescent="0.25">
      <c r="A318" t="s">
        <v>458</v>
      </c>
      <c r="B318">
        <v>80</v>
      </c>
      <c r="C318" s="1">
        <v>45853.824953703697</v>
      </c>
      <c r="D318" t="s">
        <v>198</v>
      </c>
      <c r="E318" t="s">
        <v>199</v>
      </c>
      <c r="F318" t="s">
        <v>116</v>
      </c>
      <c r="G318">
        <v>0</v>
      </c>
      <c r="H318">
        <v>3</v>
      </c>
      <c r="I318">
        <v>384.4</v>
      </c>
      <c r="J318">
        <v>778.32</v>
      </c>
      <c r="K318" t="s">
        <v>60</v>
      </c>
      <c r="L318">
        <v>0.2</v>
      </c>
    </row>
    <row r="319" spans="1:12" x14ac:dyDescent="0.25">
      <c r="A319" t="s">
        <v>459</v>
      </c>
      <c r="B319">
        <v>110</v>
      </c>
      <c r="C319" s="1">
        <v>45853.949594907397</v>
      </c>
      <c r="D319" t="s">
        <v>95</v>
      </c>
      <c r="E319" t="s">
        <v>96</v>
      </c>
      <c r="F319" t="s">
        <v>52</v>
      </c>
      <c r="G319">
        <v>454</v>
      </c>
      <c r="H319">
        <v>2</v>
      </c>
      <c r="I319">
        <v>48.07</v>
      </c>
      <c r="J319">
        <v>74.3</v>
      </c>
      <c r="L319">
        <v>0</v>
      </c>
    </row>
    <row r="320" spans="1:12" x14ac:dyDescent="0.25">
      <c r="A320" t="s">
        <v>460</v>
      </c>
      <c r="B320">
        <v>40</v>
      </c>
      <c r="C320" s="1">
        <v>45854.262083333328</v>
      </c>
      <c r="D320" t="s">
        <v>71</v>
      </c>
      <c r="E320" t="s">
        <v>72</v>
      </c>
      <c r="F320" t="s">
        <v>52</v>
      </c>
      <c r="G320">
        <v>266</v>
      </c>
      <c r="H320">
        <v>1</v>
      </c>
      <c r="I320">
        <v>37.520000000000003</v>
      </c>
      <c r="J320">
        <v>122.49</v>
      </c>
      <c r="L320">
        <v>0</v>
      </c>
    </row>
    <row r="321" spans="1:12" x14ac:dyDescent="0.25">
      <c r="A321" t="s">
        <v>462</v>
      </c>
      <c r="B321">
        <v>46</v>
      </c>
      <c r="C321" s="1">
        <v>45855.510972222219</v>
      </c>
      <c r="D321" t="s">
        <v>92</v>
      </c>
      <c r="E321" t="s">
        <v>93</v>
      </c>
      <c r="F321" t="s">
        <v>52</v>
      </c>
      <c r="G321">
        <v>221</v>
      </c>
      <c r="H321">
        <v>3</v>
      </c>
      <c r="I321">
        <v>54.69</v>
      </c>
      <c r="J321">
        <v>74.16</v>
      </c>
      <c r="K321" t="s">
        <v>60</v>
      </c>
      <c r="L321">
        <v>0.2</v>
      </c>
    </row>
    <row r="322" spans="1:12" x14ac:dyDescent="0.25">
      <c r="A322" t="s">
        <v>463</v>
      </c>
      <c r="B322">
        <v>40</v>
      </c>
      <c r="C322" s="1">
        <v>45855.966597222221</v>
      </c>
      <c r="D322" t="s">
        <v>86</v>
      </c>
      <c r="E322" t="s">
        <v>87</v>
      </c>
      <c r="F322" t="s">
        <v>45</v>
      </c>
      <c r="G322">
        <v>0</v>
      </c>
      <c r="H322">
        <v>2</v>
      </c>
      <c r="I322">
        <v>89.48</v>
      </c>
      <c r="J322">
        <v>171.29</v>
      </c>
      <c r="L322">
        <v>0</v>
      </c>
    </row>
    <row r="323" spans="1:12" x14ac:dyDescent="0.25">
      <c r="A323" t="s">
        <v>464</v>
      </c>
      <c r="B323">
        <v>43</v>
      </c>
      <c r="C323" s="1">
        <v>45856.016145833331</v>
      </c>
      <c r="D323" t="s">
        <v>110</v>
      </c>
      <c r="E323" t="s">
        <v>111</v>
      </c>
      <c r="F323" t="s">
        <v>30</v>
      </c>
      <c r="G323">
        <v>2020</v>
      </c>
      <c r="H323">
        <v>1</v>
      </c>
      <c r="I323">
        <v>810.43</v>
      </c>
      <c r="J323">
        <v>2415.2800000000002</v>
      </c>
      <c r="L323">
        <v>0</v>
      </c>
    </row>
    <row r="324" spans="1:12" x14ac:dyDescent="0.25">
      <c r="A324" t="s">
        <v>465</v>
      </c>
      <c r="B324">
        <v>120</v>
      </c>
      <c r="C324" s="1">
        <v>45857.249571759261</v>
      </c>
      <c r="D324" t="s">
        <v>66</v>
      </c>
      <c r="E324" t="s">
        <v>67</v>
      </c>
      <c r="F324" t="s">
        <v>52</v>
      </c>
      <c r="G324">
        <v>260</v>
      </c>
      <c r="H324">
        <v>2</v>
      </c>
      <c r="I324">
        <v>67.7</v>
      </c>
      <c r="J324">
        <v>119.81</v>
      </c>
      <c r="L324">
        <v>0</v>
      </c>
    </row>
    <row r="325" spans="1:12" x14ac:dyDescent="0.25">
      <c r="A325" t="s">
        <v>466</v>
      </c>
      <c r="B325">
        <v>137</v>
      </c>
      <c r="C325" s="1">
        <v>45857.612060185187</v>
      </c>
      <c r="D325" t="s">
        <v>81</v>
      </c>
      <c r="E325" t="s">
        <v>82</v>
      </c>
      <c r="F325" t="s">
        <v>45</v>
      </c>
      <c r="G325">
        <v>0</v>
      </c>
      <c r="H325">
        <v>1</v>
      </c>
      <c r="I325">
        <v>100.9</v>
      </c>
      <c r="J325">
        <v>150.82</v>
      </c>
      <c r="L325">
        <v>0</v>
      </c>
    </row>
    <row r="326" spans="1:12" x14ac:dyDescent="0.25">
      <c r="A326" t="s">
        <v>467</v>
      </c>
      <c r="B326">
        <v>173</v>
      </c>
      <c r="C326" s="1">
        <v>45857.931562500002</v>
      </c>
      <c r="D326" t="s">
        <v>92</v>
      </c>
      <c r="E326" t="s">
        <v>93</v>
      </c>
      <c r="F326" t="s">
        <v>52</v>
      </c>
      <c r="G326">
        <v>260</v>
      </c>
      <c r="H326">
        <v>3</v>
      </c>
      <c r="I326">
        <v>45.7</v>
      </c>
      <c r="J326">
        <v>90.97</v>
      </c>
      <c r="K326" t="s">
        <v>46</v>
      </c>
      <c r="L326">
        <v>0.1</v>
      </c>
    </row>
    <row r="327" spans="1:12" x14ac:dyDescent="0.25">
      <c r="A327" t="s">
        <v>468</v>
      </c>
      <c r="B327">
        <v>105</v>
      </c>
      <c r="C327" s="1">
        <v>45858.270740740743</v>
      </c>
      <c r="D327" t="s">
        <v>66</v>
      </c>
      <c r="E327" t="s">
        <v>67</v>
      </c>
      <c r="F327" t="s">
        <v>52</v>
      </c>
      <c r="G327">
        <v>269</v>
      </c>
      <c r="H327">
        <v>2</v>
      </c>
      <c r="I327">
        <v>76.12</v>
      </c>
      <c r="J327">
        <v>135.33000000000001</v>
      </c>
      <c r="K327" t="s">
        <v>46</v>
      </c>
      <c r="L327">
        <v>0.1</v>
      </c>
    </row>
    <row r="328" spans="1:12" x14ac:dyDescent="0.25">
      <c r="A328" t="s">
        <v>469</v>
      </c>
      <c r="B328">
        <v>49</v>
      </c>
      <c r="C328" s="1">
        <v>45858.916064814817</v>
      </c>
      <c r="D328" t="s">
        <v>74</v>
      </c>
      <c r="E328" t="s">
        <v>75</v>
      </c>
      <c r="F328" t="s">
        <v>30</v>
      </c>
      <c r="G328">
        <v>2489</v>
      </c>
      <c r="H328">
        <v>1</v>
      </c>
      <c r="I328">
        <v>2319.36</v>
      </c>
      <c r="J328">
        <v>4356.67</v>
      </c>
      <c r="L328">
        <v>0</v>
      </c>
    </row>
    <row r="329" spans="1:12" x14ac:dyDescent="0.25">
      <c r="A329" t="s">
        <v>470</v>
      </c>
      <c r="B329">
        <v>41</v>
      </c>
      <c r="C329" s="1">
        <v>45858.994652777779</v>
      </c>
      <c r="D329" t="s">
        <v>137</v>
      </c>
      <c r="E329" t="s">
        <v>138</v>
      </c>
      <c r="F329" t="s">
        <v>52</v>
      </c>
      <c r="G329">
        <v>479</v>
      </c>
      <c r="H329">
        <v>2</v>
      </c>
      <c r="I329">
        <v>74.42</v>
      </c>
      <c r="J329">
        <v>108.77</v>
      </c>
      <c r="L329">
        <v>0</v>
      </c>
    </row>
    <row r="330" spans="1:12" x14ac:dyDescent="0.25">
      <c r="A330" t="s">
        <v>471</v>
      </c>
      <c r="B330">
        <v>1</v>
      </c>
      <c r="C330" s="1">
        <v>45859.073275462957</v>
      </c>
      <c r="D330" t="s">
        <v>74</v>
      </c>
      <c r="E330" t="s">
        <v>75</v>
      </c>
      <c r="F330" t="s">
        <v>30</v>
      </c>
      <c r="G330">
        <v>2448</v>
      </c>
      <c r="H330">
        <v>2</v>
      </c>
      <c r="I330">
        <v>2981.45</v>
      </c>
      <c r="J330">
        <v>4056.15</v>
      </c>
      <c r="K330" t="s">
        <v>60</v>
      </c>
      <c r="L330">
        <v>0.2</v>
      </c>
    </row>
    <row r="331" spans="1:12" x14ac:dyDescent="0.25">
      <c r="A331" t="s">
        <v>472</v>
      </c>
      <c r="B331">
        <v>33</v>
      </c>
      <c r="C331" s="1">
        <v>45859.740266203713</v>
      </c>
      <c r="D331" t="s">
        <v>105</v>
      </c>
      <c r="E331" t="s">
        <v>106</v>
      </c>
      <c r="F331" t="s">
        <v>30</v>
      </c>
      <c r="G331">
        <v>2049</v>
      </c>
      <c r="H331">
        <v>1</v>
      </c>
      <c r="I331">
        <v>286.7</v>
      </c>
      <c r="J331">
        <v>551.45000000000005</v>
      </c>
      <c r="L331">
        <v>0</v>
      </c>
    </row>
    <row r="332" spans="1:12" x14ac:dyDescent="0.25">
      <c r="A332" t="s">
        <v>473</v>
      </c>
      <c r="B332">
        <v>127</v>
      </c>
      <c r="C332" s="1">
        <v>45860.023368055547</v>
      </c>
      <c r="D332" t="s">
        <v>148</v>
      </c>
      <c r="E332" t="s">
        <v>149</v>
      </c>
      <c r="F332" t="s">
        <v>30</v>
      </c>
      <c r="G332">
        <v>2810</v>
      </c>
      <c r="H332">
        <v>3</v>
      </c>
      <c r="I332">
        <v>303.29000000000002</v>
      </c>
      <c r="J332">
        <v>987.5</v>
      </c>
      <c r="L332">
        <v>0</v>
      </c>
    </row>
    <row r="333" spans="1:12" x14ac:dyDescent="0.25">
      <c r="A333" t="s">
        <v>474</v>
      </c>
      <c r="B333">
        <v>96</v>
      </c>
      <c r="C333" s="1">
        <v>45860.164351851847</v>
      </c>
      <c r="D333" t="s">
        <v>137</v>
      </c>
      <c r="E333" t="s">
        <v>138</v>
      </c>
      <c r="F333" t="s">
        <v>52</v>
      </c>
      <c r="G333">
        <v>313</v>
      </c>
      <c r="H333">
        <v>2</v>
      </c>
      <c r="I333">
        <v>126.27</v>
      </c>
      <c r="J333">
        <v>209.86</v>
      </c>
      <c r="L333">
        <v>0</v>
      </c>
    </row>
    <row r="334" spans="1:12" x14ac:dyDescent="0.25">
      <c r="A334" t="s">
        <v>475</v>
      </c>
      <c r="B334">
        <v>117</v>
      </c>
      <c r="C334" s="1">
        <v>45860.295949074083</v>
      </c>
      <c r="D334" t="s">
        <v>81</v>
      </c>
      <c r="E334" t="s">
        <v>82</v>
      </c>
      <c r="F334" t="s">
        <v>45</v>
      </c>
      <c r="G334">
        <v>0</v>
      </c>
      <c r="H334">
        <v>1</v>
      </c>
      <c r="I334">
        <v>83.35</v>
      </c>
      <c r="J334">
        <v>129.19</v>
      </c>
      <c r="L334">
        <v>0</v>
      </c>
    </row>
    <row r="335" spans="1:12" x14ac:dyDescent="0.25">
      <c r="A335" t="s">
        <v>476</v>
      </c>
      <c r="B335">
        <v>180</v>
      </c>
      <c r="C335" s="1">
        <v>45861.022280092591</v>
      </c>
      <c r="D335" t="s">
        <v>137</v>
      </c>
      <c r="E335" t="s">
        <v>138</v>
      </c>
      <c r="F335" t="s">
        <v>52</v>
      </c>
      <c r="G335">
        <v>448</v>
      </c>
      <c r="H335">
        <v>1</v>
      </c>
      <c r="I335">
        <v>85.67</v>
      </c>
      <c r="J335">
        <v>234.03</v>
      </c>
      <c r="K335" t="s">
        <v>60</v>
      </c>
      <c r="L335">
        <v>0.2</v>
      </c>
    </row>
    <row r="336" spans="1:12" x14ac:dyDescent="0.25">
      <c r="A336" t="s">
        <v>477</v>
      </c>
      <c r="B336">
        <v>83</v>
      </c>
      <c r="C336" s="1">
        <v>45861.09375</v>
      </c>
      <c r="D336" t="s">
        <v>86</v>
      </c>
      <c r="E336" t="s">
        <v>87</v>
      </c>
      <c r="F336" t="s">
        <v>45</v>
      </c>
      <c r="G336">
        <v>0</v>
      </c>
      <c r="H336">
        <v>1</v>
      </c>
      <c r="I336">
        <v>58.34</v>
      </c>
      <c r="J336">
        <v>78.89</v>
      </c>
      <c r="K336" t="s">
        <v>46</v>
      </c>
      <c r="L336">
        <v>0.1</v>
      </c>
    </row>
    <row r="337" spans="1:12" x14ac:dyDescent="0.25">
      <c r="A337" t="s">
        <v>478</v>
      </c>
      <c r="B337">
        <v>112</v>
      </c>
      <c r="C337" s="1">
        <v>45861.109201388892</v>
      </c>
      <c r="D337" t="s">
        <v>148</v>
      </c>
      <c r="E337" t="s">
        <v>149</v>
      </c>
      <c r="F337" t="s">
        <v>30</v>
      </c>
      <c r="G337">
        <v>3032</v>
      </c>
      <c r="H337">
        <v>3</v>
      </c>
      <c r="I337">
        <v>429.35</v>
      </c>
      <c r="J337">
        <v>894.31</v>
      </c>
      <c r="L337">
        <v>0</v>
      </c>
    </row>
    <row r="338" spans="1:12" x14ac:dyDescent="0.25">
      <c r="A338" t="s">
        <v>479</v>
      </c>
      <c r="B338">
        <v>21</v>
      </c>
      <c r="C338" s="1">
        <v>45861.337488425917</v>
      </c>
      <c r="D338" t="s">
        <v>66</v>
      </c>
      <c r="E338" t="s">
        <v>67</v>
      </c>
      <c r="F338" t="s">
        <v>52</v>
      </c>
      <c r="G338">
        <v>247</v>
      </c>
      <c r="H338">
        <v>3</v>
      </c>
      <c r="I338">
        <v>66.3</v>
      </c>
      <c r="J338">
        <v>112.48</v>
      </c>
      <c r="L338">
        <v>0</v>
      </c>
    </row>
    <row r="339" spans="1:12" x14ac:dyDescent="0.25">
      <c r="A339" t="s">
        <v>480</v>
      </c>
      <c r="B339">
        <v>146</v>
      </c>
      <c r="C339" s="1">
        <v>45861.33866898148</v>
      </c>
      <c r="D339" t="s">
        <v>110</v>
      </c>
      <c r="E339" t="s">
        <v>111</v>
      </c>
      <c r="F339" t="s">
        <v>30</v>
      </c>
      <c r="G339">
        <v>2056</v>
      </c>
      <c r="H339">
        <v>3</v>
      </c>
      <c r="I339">
        <v>1323.35</v>
      </c>
      <c r="J339">
        <v>1563.42</v>
      </c>
      <c r="L339">
        <v>0</v>
      </c>
    </row>
    <row r="340" spans="1:12" x14ac:dyDescent="0.25">
      <c r="A340" t="s">
        <v>481</v>
      </c>
      <c r="B340">
        <v>180</v>
      </c>
      <c r="C340" s="1">
        <v>45861.811319444438</v>
      </c>
      <c r="D340" t="s">
        <v>66</v>
      </c>
      <c r="E340" t="s">
        <v>67</v>
      </c>
      <c r="F340" t="s">
        <v>52</v>
      </c>
      <c r="G340">
        <v>232</v>
      </c>
      <c r="H340">
        <v>1</v>
      </c>
      <c r="I340">
        <v>46.93</v>
      </c>
      <c r="J340">
        <v>91.38</v>
      </c>
      <c r="K340" t="s">
        <v>60</v>
      </c>
      <c r="L340">
        <v>0.2</v>
      </c>
    </row>
    <row r="341" spans="1:12" x14ac:dyDescent="0.25">
      <c r="A341" t="s">
        <v>482</v>
      </c>
      <c r="B341">
        <v>47</v>
      </c>
      <c r="C341" s="1">
        <v>45861.848263888889</v>
      </c>
      <c r="D341" t="s">
        <v>110</v>
      </c>
      <c r="E341" t="s">
        <v>111</v>
      </c>
      <c r="F341" t="s">
        <v>30</v>
      </c>
      <c r="G341">
        <v>2008</v>
      </c>
      <c r="H341">
        <v>2</v>
      </c>
      <c r="I341">
        <v>886.09</v>
      </c>
      <c r="J341">
        <v>2085.59</v>
      </c>
      <c r="L341">
        <v>0</v>
      </c>
    </row>
    <row r="342" spans="1:12" x14ac:dyDescent="0.25">
      <c r="A342" t="s">
        <v>483</v>
      </c>
      <c r="B342">
        <v>127</v>
      </c>
      <c r="C342" s="1">
        <v>45861.943078703713</v>
      </c>
      <c r="D342" t="s">
        <v>71</v>
      </c>
      <c r="E342" t="s">
        <v>72</v>
      </c>
      <c r="F342" t="s">
        <v>52</v>
      </c>
      <c r="G342">
        <v>228</v>
      </c>
      <c r="H342">
        <v>2</v>
      </c>
      <c r="I342">
        <v>70.7</v>
      </c>
      <c r="J342">
        <v>132.97</v>
      </c>
      <c r="L342">
        <v>0</v>
      </c>
    </row>
    <row r="343" spans="1:12" x14ac:dyDescent="0.25">
      <c r="A343" t="s">
        <v>484</v>
      </c>
      <c r="B343">
        <v>20</v>
      </c>
      <c r="C343" s="1">
        <v>45862.576990740738</v>
      </c>
      <c r="D343" t="s">
        <v>66</v>
      </c>
      <c r="E343" t="s">
        <v>67</v>
      </c>
      <c r="F343" t="s">
        <v>52</v>
      </c>
      <c r="G343">
        <v>235</v>
      </c>
      <c r="H343">
        <v>1</v>
      </c>
      <c r="I343">
        <v>57.62</v>
      </c>
      <c r="J343">
        <v>75.069999999999993</v>
      </c>
      <c r="L343">
        <v>0</v>
      </c>
    </row>
    <row r="344" spans="1:12" x14ac:dyDescent="0.25">
      <c r="A344" t="s">
        <v>485</v>
      </c>
      <c r="B344">
        <v>16</v>
      </c>
      <c r="C344" s="1">
        <v>45862.752152777779</v>
      </c>
      <c r="D344" t="s">
        <v>105</v>
      </c>
      <c r="E344" t="s">
        <v>106</v>
      </c>
      <c r="F344" t="s">
        <v>30</v>
      </c>
      <c r="G344">
        <v>2092</v>
      </c>
      <c r="H344">
        <v>3</v>
      </c>
      <c r="I344">
        <v>266.36</v>
      </c>
      <c r="J344">
        <v>562.71</v>
      </c>
      <c r="K344" t="s">
        <v>46</v>
      </c>
      <c r="L344">
        <v>0.1</v>
      </c>
    </row>
    <row r="345" spans="1:12" x14ac:dyDescent="0.25">
      <c r="A345" t="s">
        <v>486</v>
      </c>
      <c r="B345">
        <v>19</v>
      </c>
      <c r="C345" s="1">
        <v>45862.771967592591</v>
      </c>
      <c r="D345" t="s">
        <v>71</v>
      </c>
      <c r="E345" t="s">
        <v>72</v>
      </c>
      <c r="F345" t="s">
        <v>52</v>
      </c>
      <c r="G345">
        <v>266</v>
      </c>
      <c r="H345">
        <v>1</v>
      </c>
      <c r="I345">
        <v>44.98</v>
      </c>
      <c r="J345">
        <v>147.6</v>
      </c>
      <c r="K345" t="s">
        <v>60</v>
      </c>
      <c r="L345">
        <v>0.2</v>
      </c>
    </row>
    <row r="346" spans="1:12" x14ac:dyDescent="0.25">
      <c r="A346" t="s">
        <v>487</v>
      </c>
      <c r="B346">
        <v>43</v>
      </c>
      <c r="C346" s="1">
        <v>45863.434432870366</v>
      </c>
      <c r="D346" t="s">
        <v>110</v>
      </c>
      <c r="E346" t="s">
        <v>111</v>
      </c>
      <c r="F346" t="s">
        <v>30</v>
      </c>
      <c r="G346">
        <v>2019</v>
      </c>
      <c r="H346">
        <v>1</v>
      </c>
      <c r="I346">
        <v>1247.6400000000001</v>
      </c>
      <c r="J346">
        <v>1566.5</v>
      </c>
      <c r="K346" t="s">
        <v>46</v>
      </c>
      <c r="L346">
        <v>0.1</v>
      </c>
    </row>
    <row r="347" spans="1:12" x14ac:dyDescent="0.25">
      <c r="A347" t="s">
        <v>488</v>
      </c>
      <c r="B347">
        <v>98</v>
      </c>
      <c r="C347" s="1">
        <v>45863.710810185177</v>
      </c>
      <c r="D347" t="s">
        <v>95</v>
      </c>
      <c r="E347" t="s">
        <v>96</v>
      </c>
      <c r="F347" t="s">
        <v>52</v>
      </c>
      <c r="G347">
        <v>521</v>
      </c>
      <c r="H347">
        <v>1</v>
      </c>
      <c r="I347">
        <v>27.43</v>
      </c>
      <c r="J347">
        <v>41.13</v>
      </c>
      <c r="L347">
        <v>0</v>
      </c>
    </row>
    <row r="348" spans="1:12" x14ac:dyDescent="0.25">
      <c r="A348" t="s">
        <v>489</v>
      </c>
      <c r="B348">
        <v>68</v>
      </c>
      <c r="C348" s="1">
        <v>45863.997557870367</v>
      </c>
      <c r="D348" t="s">
        <v>164</v>
      </c>
      <c r="E348" t="s">
        <v>165</v>
      </c>
      <c r="F348" t="s">
        <v>116</v>
      </c>
      <c r="G348">
        <v>0</v>
      </c>
      <c r="H348">
        <v>2</v>
      </c>
      <c r="I348">
        <v>364.28</v>
      </c>
      <c r="J348">
        <v>747.07</v>
      </c>
      <c r="K348" t="s">
        <v>60</v>
      </c>
      <c r="L348">
        <v>0.2</v>
      </c>
    </row>
    <row r="349" spans="1:12" x14ac:dyDescent="0.25">
      <c r="A349" t="s">
        <v>490</v>
      </c>
      <c r="B349">
        <v>24</v>
      </c>
      <c r="C349" s="1">
        <v>45864.844189814823</v>
      </c>
      <c r="D349" t="s">
        <v>66</v>
      </c>
      <c r="E349" t="s">
        <v>67</v>
      </c>
      <c r="F349" t="s">
        <v>52</v>
      </c>
      <c r="G349">
        <v>239</v>
      </c>
      <c r="H349">
        <v>1</v>
      </c>
      <c r="I349">
        <v>41.64</v>
      </c>
      <c r="J349">
        <v>120.34</v>
      </c>
      <c r="K349" t="s">
        <v>60</v>
      </c>
      <c r="L349">
        <v>0.2</v>
      </c>
    </row>
    <row r="350" spans="1:12" x14ac:dyDescent="0.25">
      <c r="A350" t="s">
        <v>491</v>
      </c>
      <c r="B350">
        <v>106</v>
      </c>
      <c r="C350" s="1">
        <v>45864.912893518522</v>
      </c>
      <c r="D350" t="s">
        <v>177</v>
      </c>
      <c r="E350" t="s">
        <v>178</v>
      </c>
      <c r="F350" t="s">
        <v>116</v>
      </c>
      <c r="G350">
        <v>0</v>
      </c>
      <c r="H350">
        <v>1</v>
      </c>
      <c r="I350">
        <v>312.54000000000002</v>
      </c>
      <c r="J350">
        <v>513.92999999999995</v>
      </c>
      <c r="L350">
        <v>0</v>
      </c>
    </row>
    <row r="351" spans="1:12" x14ac:dyDescent="0.25">
      <c r="A351" t="s">
        <v>492</v>
      </c>
      <c r="B351">
        <v>13</v>
      </c>
      <c r="C351" s="1">
        <v>45865.095219907409</v>
      </c>
      <c r="D351" t="s">
        <v>66</v>
      </c>
      <c r="E351" t="s">
        <v>67</v>
      </c>
      <c r="F351" t="s">
        <v>52</v>
      </c>
      <c r="G351">
        <v>294</v>
      </c>
      <c r="H351">
        <v>2</v>
      </c>
      <c r="I351">
        <v>36.950000000000003</v>
      </c>
      <c r="J351">
        <v>94.33</v>
      </c>
      <c r="K351" t="s">
        <v>46</v>
      </c>
      <c r="L351">
        <v>0.1</v>
      </c>
    </row>
    <row r="352" spans="1:12" x14ac:dyDescent="0.25">
      <c r="A352" t="s">
        <v>493</v>
      </c>
      <c r="B352">
        <v>147</v>
      </c>
      <c r="C352" s="1">
        <v>45865.160671296297</v>
      </c>
      <c r="D352" t="s">
        <v>198</v>
      </c>
      <c r="E352" t="s">
        <v>199</v>
      </c>
      <c r="F352" t="s">
        <v>116</v>
      </c>
      <c r="G352">
        <v>0</v>
      </c>
      <c r="H352">
        <v>2</v>
      </c>
      <c r="I352">
        <v>495.95</v>
      </c>
      <c r="J352">
        <v>602.96</v>
      </c>
      <c r="K352" t="s">
        <v>46</v>
      </c>
      <c r="L352">
        <v>0.1</v>
      </c>
    </row>
    <row r="353" spans="1:12" x14ac:dyDescent="0.25">
      <c r="A353" t="s">
        <v>494</v>
      </c>
      <c r="B353">
        <v>57</v>
      </c>
      <c r="C353" s="1">
        <v>45865.243611111109</v>
      </c>
      <c r="D353" t="s">
        <v>66</v>
      </c>
      <c r="E353" t="s">
        <v>67</v>
      </c>
      <c r="F353" t="s">
        <v>52</v>
      </c>
      <c r="G353">
        <v>263</v>
      </c>
      <c r="H353">
        <v>1</v>
      </c>
      <c r="I353">
        <v>34.49</v>
      </c>
      <c r="J353">
        <v>105.12</v>
      </c>
      <c r="L353">
        <v>0</v>
      </c>
    </row>
    <row r="354" spans="1:12" x14ac:dyDescent="0.25">
      <c r="A354" t="s">
        <v>495</v>
      </c>
      <c r="B354">
        <v>181</v>
      </c>
      <c r="C354" s="1">
        <v>45865.907268518517</v>
      </c>
      <c r="D354" t="s">
        <v>43</v>
      </c>
      <c r="E354" t="s">
        <v>44</v>
      </c>
      <c r="F354" t="s">
        <v>45</v>
      </c>
      <c r="G354">
        <v>0</v>
      </c>
      <c r="H354">
        <v>2</v>
      </c>
      <c r="I354">
        <v>22.86</v>
      </c>
      <c r="J354">
        <v>144.74</v>
      </c>
      <c r="K354" t="s">
        <v>60</v>
      </c>
      <c r="L354">
        <v>0.2</v>
      </c>
    </row>
    <row r="355" spans="1:12" x14ac:dyDescent="0.25">
      <c r="A355" t="s">
        <v>496</v>
      </c>
      <c r="B355">
        <v>149</v>
      </c>
      <c r="C355" s="1">
        <v>45866.242048611108</v>
      </c>
      <c r="D355" t="s">
        <v>86</v>
      </c>
      <c r="E355" t="s">
        <v>87</v>
      </c>
      <c r="F355" t="s">
        <v>45</v>
      </c>
      <c r="G355">
        <v>0</v>
      </c>
      <c r="H355">
        <v>2</v>
      </c>
      <c r="I355">
        <v>52.15</v>
      </c>
      <c r="J355">
        <v>155.22999999999999</v>
      </c>
      <c r="L355">
        <v>0</v>
      </c>
    </row>
    <row r="356" spans="1:12" x14ac:dyDescent="0.25">
      <c r="A356" t="s">
        <v>497</v>
      </c>
      <c r="B356">
        <v>120</v>
      </c>
      <c r="C356" s="1">
        <v>45866.452974537038</v>
      </c>
      <c r="D356" t="s">
        <v>137</v>
      </c>
      <c r="E356" t="s">
        <v>138</v>
      </c>
      <c r="F356" t="s">
        <v>52</v>
      </c>
      <c r="G356">
        <v>316</v>
      </c>
      <c r="H356">
        <v>1</v>
      </c>
      <c r="I356">
        <v>138.80000000000001</v>
      </c>
      <c r="J356">
        <v>249.72</v>
      </c>
      <c r="L356">
        <v>0</v>
      </c>
    </row>
    <row r="357" spans="1:12" x14ac:dyDescent="0.25">
      <c r="A357" t="s">
        <v>498</v>
      </c>
      <c r="B357">
        <v>66</v>
      </c>
      <c r="C357" s="1">
        <v>45867.251192129632</v>
      </c>
      <c r="D357" t="s">
        <v>66</v>
      </c>
      <c r="E357" t="s">
        <v>67</v>
      </c>
      <c r="F357" t="s">
        <v>52</v>
      </c>
      <c r="G357">
        <v>286</v>
      </c>
      <c r="H357">
        <v>1</v>
      </c>
      <c r="I357">
        <v>50.02</v>
      </c>
      <c r="J357">
        <v>148.66999999999999</v>
      </c>
      <c r="L357">
        <v>0</v>
      </c>
    </row>
    <row r="358" spans="1:12" x14ac:dyDescent="0.25">
      <c r="A358" t="s">
        <v>499</v>
      </c>
      <c r="B358">
        <v>104</v>
      </c>
      <c r="C358" s="1">
        <v>45867.510740740741</v>
      </c>
      <c r="D358" t="s">
        <v>148</v>
      </c>
      <c r="E358" t="s">
        <v>149</v>
      </c>
      <c r="F358" t="s">
        <v>30</v>
      </c>
      <c r="G358">
        <v>2985</v>
      </c>
      <c r="H358">
        <v>2</v>
      </c>
      <c r="I358">
        <v>424.86</v>
      </c>
      <c r="J358">
        <v>856.8</v>
      </c>
      <c r="K358" t="s">
        <v>60</v>
      </c>
      <c r="L358">
        <v>0.2</v>
      </c>
    </row>
    <row r="359" spans="1:12" x14ac:dyDescent="0.25">
      <c r="A359" t="s">
        <v>500</v>
      </c>
      <c r="B359">
        <v>181</v>
      </c>
      <c r="C359" s="1">
        <v>45867.828506944446</v>
      </c>
      <c r="D359" t="s">
        <v>137</v>
      </c>
      <c r="E359" t="s">
        <v>138</v>
      </c>
      <c r="F359" t="s">
        <v>52</v>
      </c>
      <c r="G359">
        <v>301</v>
      </c>
      <c r="H359">
        <v>1</v>
      </c>
      <c r="I359">
        <v>66.19</v>
      </c>
      <c r="J359">
        <v>261.04000000000002</v>
      </c>
      <c r="K359" t="s">
        <v>60</v>
      </c>
      <c r="L359">
        <v>0.2</v>
      </c>
    </row>
    <row r="360" spans="1:12" x14ac:dyDescent="0.25">
      <c r="A360" t="s">
        <v>501</v>
      </c>
      <c r="B360">
        <v>65</v>
      </c>
      <c r="C360" s="1">
        <v>45868.011192129627</v>
      </c>
      <c r="D360" t="s">
        <v>37</v>
      </c>
      <c r="E360" t="s">
        <v>38</v>
      </c>
      <c r="F360" t="s">
        <v>30</v>
      </c>
      <c r="G360">
        <v>2668</v>
      </c>
      <c r="H360">
        <v>3</v>
      </c>
      <c r="I360">
        <v>862.83</v>
      </c>
      <c r="J360">
        <v>1143.94</v>
      </c>
      <c r="L360">
        <v>0</v>
      </c>
    </row>
    <row r="361" spans="1:12" x14ac:dyDescent="0.25">
      <c r="A361" t="s">
        <v>502</v>
      </c>
      <c r="B361">
        <v>63</v>
      </c>
      <c r="C361" s="1">
        <v>45868.092291666668</v>
      </c>
      <c r="D361" t="s">
        <v>110</v>
      </c>
      <c r="E361" t="s">
        <v>111</v>
      </c>
      <c r="F361" t="s">
        <v>30</v>
      </c>
      <c r="G361">
        <v>2071</v>
      </c>
      <c r="H361">
        <v>1</v>
      </c>
      <c r="I361">
        <v>949.53</v>
      </c>
      <c r="J361">
        <v>2484.4299999999998</v>
      </c>
      <c r="K361" t="s">
        <v>60</v>
      </c>
      <c r="L361">
        <v>0.2</v>
      </c>
    </row>
    <row r="362" spans="1:12" x14ac:dyDescent="0.25">
      <c r="A362" t="s">
        <v>503</v>
      </c>
      <c r="B362">
        <v>49</v>
      </c>
      <c r="C362" s="1">
        <v>45868.201018518521</v>
      </c>
      <c r="D362" t="s">
        <v>50</v>
      </c>
      <c r="E362" t="s">
        <v>51</v>
      </c>
      <c r="F362" t="s">
        <v>52</v>
      </c>
      <c r="G362">
        <v>643</v>
      </c>
      <c r="H362">
        <v>1</v>
      </c>
      <c r="I362">
        <v>98.23</v>
      </c>
      <c r="J362">
        <v>154.76</v>
      </c>
      <c r="K362" t="s">
        <v>60</v>
      </c>
      <c r="L362">
        <v>0.2</v>
      </c>
    </row>
    <row r="363" spans="1:12" x14ac:dyDescent="0.25">
      <c r="A363" t="s">
        <v>504</v>
      </c>
      <c r="B363">
        <v>113</v>
      </c>
      <c r="C363" s="1">
        <v>45868.202534722222</v>
      </c>
      <c r="D363" t="s">
        <v>164</v>
      </c>
      <c r="E363" t="s">
        <v>165</v>
      </c>
      <c r="F363" t="s">
        <v>116</v>
      </c>
      <c r="G363">
        <v>0</v>
      </c>
      <c r="H363">
        <v>3</v>
      </c>
      <c r="I363">
        <v>442.06</v>
      </c>
      <c r="J363">
        <v>613.79999999999995</v>
      </c>
      <c r="K363" t="s">
        <v>46</v>
      </c>
      <c r="L363">
        <v>0.1</v>
      </c>
    </row>
    <row r="364" spans="1:12" x14ac:dyDescent="0.25">
      <c r="A364" t="s">
        <v>505</v>
      </c>
      <c r="B364">
        <v>112</v>
      </c>
      <c r="C364" s="1">
        <v>45868.345266203702</v>
      </c>
      <c r="D364" t="s">
        <v>137</v>
      </c>
      <c r="E364" t="s">
        <v>138</v>
      </c>
      <c r="F364" t="s">
        <v>52</v>
      </c>
      <c r="G364">
        <v>412</v>
      </c>
      <c r="H364">
        <v>3</v>
      </c>
      <c r="I364">
        <v>145.46</v>
      </c>
      <c r="J364">
        <v>241.79</v>
      </c>
      <c r="K364" t="s">
        <v>60</v>
      </c>
      <c r="L364">
        <v>0.2</v>
      </c>
    </row>
    <row r="365" spans="1:12" x14ac:dyDescent="0.25">
      <c r="A365" t="s">
        <v>506</v>
      </c>
      <c r="B365">
        <v>182</v>
      </c>
      <c r="C365" s="1">
        <v>45868.420659722222</v>
      </c>
      <c r="D365" t="s">
        <v>43</v>
      </c>
      <c r="E365" t="s">
        <v>44</v>
      </c>
      <c r="F365" t="s">
        <v>45</v>
      </c>
      <c r="G365">
        <v>0</v>
      </c>
      <c r="H365">
        <v>1</v>
      </c>
      <c r="I365">
        <v>24.68</v>
      </c>
      <c r="J365">
        <v>128.38999999999999</v>
      </c>
      <c r="L365">
        <v>0</v>
      </c>
    </row>
    <row r="366" spans="1:12" x14ac:dyDescent="0.25">
      <c r="A366" t="s">
        <v>507</v>
      </c>
      <c r="B366">
        <v>182</v>
      </c>
      <c r="C366" s="1">
        <v>45868.619340277779</v>
      </c>
      <c r="D366" t="s">
        <v>92</v>
      </c>
      <c r="E366" t="s">
        <v>93</v>
      </c>
      <c r="F366" t="s">
        <v>52</v>
      </c>
      <c r="G366">
        <v>243</v>
      </c>
      <c r="H366">
        <v>3</v>
      </c>
      <c r="I366">
        <v>55.67</v>
      </c>
      <c r="J366">
        <v>113.06</v>
      </c>
      <c r="L366">
        <v>0</v>
      </c>
    </row>
    <row r="367" spans="1:12" x14ac:dyDescent="0.25">
      <c r="A367" t="s">
        <v>508</v>
      </c>
      <c r="B367">
        <v>167</v>
      </c>
      <c r="C367" s="1">
        <v>45868.792824074073</v>
      </c>
      <c r="D367" t="s">
        <v>110</v>
      </c>
      <c r="E367" t="s">
        <v>111</v>
      </c>
      <c r="F367" t="s">
        <v>30</v>
      </c>
      <c r="G367">
        <v>2095</v>
      </c>
      <c r="H367">
        <v>2</v>
      </c>
      <c r="I367">
        <v>1055.51</v>
      </c>
      <c r="J367">
        <v>1234.06</v>
      </c>
      <c r="K367" t="s">
        <v>60</v>
      </c>
      <c r="L367">
        <v>0.2</v>
      </c>
    </row>
    <row r="368" spans="1:12" x14ac:dyDescent="0.25">
      <c r="A368" t="s">
        <v>509</v>
      </c>
      <c r="B368">
        <v>179</v>
      </c>
      <c r="C368" s="1">
        <v>45869.171585648153</v>
      </c>
      <c r="D368" t="s">
        <v>110</v>
      </c>
      <c r="E368" t="s">
        <v>111</v>
      </c>
      <c r="F368" t="s">
        <v>30</v>
      </c>
      <c r="G368">
        <v>2165</v>
      </c>
      <c r="H368">
        <v>2</v>
      </c>
      <c r="I368">
        <v>1370.03</v>
      </c>
      <c r="J368">
        <v>1720.37</v>
      </c>
      <c r="L368">
        <v>0</v>
      </c>
    </row>
    <row r="369" spans="1:12" x14ac:dyDescent="0.25">
      <c r="A369" t="s">
        <v>510</v>
      </c>
      <c r="B369">
        <v>135</v>
      </c>
      <c r="C369" s="1">
        <v>45869.615752314807</v>
      </c>
      <c r="D369" t="s">
        <v>71</v>
      </c>
      <c r="E369" t="s">
        <v>72</v>
      </c>
      <c r="F369" t="s">
        <v>52</v>
      </c>
      <c r="G369">
        <v>310</v>
      </c>
      <c r="H369">
        <v>3</v>
      </c>
      <c r="I369">
        <v>42.52</v>
      </c>
      <c r="J369">
        <v>106.4</v>
      </c>
      <c r="L369">
        <v>0</v>
      </c>
    </row>
    <row r="370" spans="1:12" x14ac:dyDescent="0.25">
      <c r="A370" t="s">
        <v>511</v>
      </c>
      <c r="B370">
        <v>65</v>
      </c>
      <c r="C370" s="1">
        <v>45869.809733796297</v>
      </c>
      <c r="D370" t="s">
        <v>89</v>
      </c>
      <c r="E370" t="s">
        <v>90</v>
      </c>
      <c r="F370" t="s">
        <v>52</v>
      </c>
      <c r="G370">
        <v>349</v>
      </c>
      <c r="H370">
        <v>1</v>
      </c>
      <c r="I370">
        <v>62.04</v>
      </c>
      <c r="J370">
        <v>201.28</v>
      </c>
      <c r="K370" t="s">
        <v>60</v>
      </c>
      <c r="L370">
        <v>0.2</v>
      </c>
    </row>
    <row r="371" spans="1:12" x14ac:dyDescent="0.25">
      <c r="A371" t="s">
        <v>512</v>
      </c>
      <c r="B371">
        <v>64</v>
      </c>
      <c r="C371" s="1">
        <v>45870.106157407397</v>
      </c>
      <c r="D371" t="s">
        <v>89</v>
      </c>
      <c r="E371" t="s">
        <v>90</v>
      </c>
      <c r="F371" t="s">
        <v>52</v>
      </c>
      <c r="G371">
        <v>284</v>
      </c>
      <c r="H371">
        <v>3</v>
      </c>
      <c r="I371">
        <v>47.3</v>
      </c>
      <c r="J371">
        <v>116.89</v>
      </c>
      <c r="K371" t="s">
        <v>46</v>
      </c>
      <c r="L371">
        <v>0.1</v>
      </c>
    </row>
    <row r="372" spans="1:12" x14ac:dyDescent="0.25">
      <c r="A372" t="s">
        <v>513</v>
      </c>
      <c r="B372">
        <v>46</v>
      </c>
      <c r="C372" s="1">
        <v>45870.831597222219</v>
      </c>
      <c r="D372" t="s">
        <v>198</v>
      </c>
      <c r="E372" t="s">
        <v>199</v>
      </c>
      <c r="F372" t="s">
        <v>116</v>
      </c>
      <c r="G372">
        <v>0</v>
      </c>
      <c r="H372">
        <v>3</v>
      </c>
      <c r="I372">
        <v>363.02</v>
      </c>
      <c r="J372">
        <v>579.33000000000004</v>
      </c>
      <c r="L372">
        <v>0</v>
      </c>
    </row>
    <row r="373" spans="1:12" x14ac:dyDescent="0.25">
      <c r="A373" t="s">
        <v>514</v>
      </c>
      <c r="B373">
        <v>139</v>
      </c>
      <c r="C373" s="1">
        <v>45871.14135416667</v>
      </c>
      <c r="D373" t="s">
        <v>86</v>
      </c>
      <c r="E373" t="s">
        <v>87</v>
      </c>
      <c r="F373" t="s">
        <v>45</v>
      </c>
      <c r="G373">
        <v>0</v>
      </c>
      <c r="H373">
        <v>2</v>
      </c>
      <c r="I373">
        <v>71.260000000000005</v>
      </c>
      <c r="J373">
        <v>96.88</v>
      </c>
      <c r="K373" t="s">
        <v>60</v>
      </c>
      <c r="L373">
        <v>0.2</v>
      </c>
    </row>
    <row r="374" spans="1:12" x14ac:dyDescent="0.25">
      <c r="A374" t="s">
        <v>515</v>
      </c>
      <c r="B374">
        <v>1</v>
      </c>
      <c r="C374" s="1">
        <v>45871.528969907413</v>
      </c>
      <c r="D374" t="s">
        <v>177</v>
      </c>
      <c r="E374" t="s">
        <v>178</v>
      </c>
      <c r="F374" t="s">
        <v>116</v>
      </c>
      <c r="G374">
        <v>0</v>
      </c>
      <c r="H374">
        <v>3</v>
      </c>
      <c r="I374">
        <v>194.02</v>
      </c>
      <c r="J374">
        <v>516.12</v>
      </c>
      <c r="K374" t="s">
        <v>46</v>
      </c>
      <c r="L374">
        <v>0.1</v>
      </c>
    </row>
    <row r="375" spans="1:12" x14ac:dyDescent="0.25">
      <c r="A375" t="s">
        <v>516</v>
      </c>
      <c r="B375">
        <v>115</v>
      </c>
      <c r="C375" s="1">
        <v>45872.371550925927</v>
      </c>
      <c r="D375" t="s">
        <v>66</v>
      </c>
      <c r="E375" t="s">
        <v>67</v>
      </c>
      <c r="F375" t="s">
        <v>52</v>
      </c>
      <c r="G375">
        <v>225</v>
      </c>
      <c r="H375">
        <v>2</v>
      </c>
      <c r="I375">
        <v>69.069999999999993</v>
      </c>
      <c r="J375">
        <v>134.37</v>
      </c>
      <c r="L375">
        <v>0</v>
      </c>
    </row>
    <row r="376" spans="1:12" x14ac:dyDescent="0.25">
      <c r="A376" t="s">
        <v>517</v>
      </c>
      <c r="B376">
        <v>119</v>
      </c>
      <c r="C376" s="1">
        <v>45872.390833333331</v>
      </c>
      <c r="D376" t="s">
        <v>89</v>
      </c>
      <c r="E376" t="s">
        <v>90</v>
      </c>
      <c r="F376" t="s">
        <v>52</v>
      </c>
      <c r="G376">
        <v>290</v>
      </c>
      <c r="H376">
        <v>1</v>
      </c>
      <c r="I376">
        <v>90.51</v>
      </c>
      <c r="J376">
        <v>215.79</v>
      </c>
      <c r="L376">
        <v>0</v>
      </c>
    </row>
    <row r="377" spans="1:12" x14ac:dyDescent="0.25">
      <c r="A377" t="s">
        <v>518</v>
      </c>
      <c r="B377">
        <v>63</v>
      </c>
      <c r="C377" s="1">
        <v>45873.484224537038</v>
      </c>
      <c r="D377" t="s">
        <v>105</v>
      </c>
      <c r="E377" t="s">
        <v>106</v>
      </c>
      <c r="F377" t="s">
        <v>30</v>
      </c>
      <c r="G377">
        <v>2046</v>
      </c>
      <c r="H377">
        <v>2</v>
      </c>
      <c r="I377">
        <v>392.45</v>
      </c>
      <c r="J377">
        <v>666.51</v>
      </c>
      <c r="K377" t="s">
        <v>60</v>
      </c>
      <c r="L377">
        <v>0.2</v>
      </c>
    </row>
    <row r="378" spans="1:12" x14ac:dyDescent="0.25">
      <c r="A378" t="s">
        <v>519</v>
      </c>
      <c r="B378">
        <v>197</v>
      </c>
      <c r="C378" s="1">
        <v>45873.879155092603</v>
      </c>
      <c r="D378" t="s">
        <v>86</v>
      </c>
      <c r="E378" t="s">
        <v>87</v>
      </c>
      <c r="F378" t="s">
        <v>45</v>
      </c>
      <c r="G378">
        <v>0</v>
      </c>
      <c r="H378">
        <v>3</v>
      </c>
      <c r="I378">
        <v>52.58</v>
      </c>
      <c r="J378">
        <v>141.9</v>
      </c>
      <c r="K378" t="s">
        <v>46</v>
      </c>
      <c r="L378">
        <v>0.1</v>
      </c>
    </row>
    <row r="379" spans="1:12" x14ac:dyDescent="0.25">
      <c r="A379" t="s">
        <v>520</v>
      </c>
      <c r="B379">
        <v>92</v>
      </c>
      <c r="C379" s="1">
        <v>45874.245810185188</v>
      </c>
      <c r="D379" t="s">
        <v>86</v>
      </c>
      <c r="E379" t="s">
        <v>87</v>
      </c>
      <c r="F379" t="s">
        <v>45</v>
      </c>
      <c r="G379">
        <v>0</v>
      </c>
      <c r="H379">
        <v>1</v>
      </c>
      <c r="I379">
        <v>37.32</v>
      </c>
      <c r="J379">
        <v>124.15</v>
      </c>
      <c r="L379">
        <v>0</v>
      </c>
    </row>
    <row r="380" spans="1:12" x14ac:dyDescent="0.25">
      <c r="A380" t="s">
        <v>521</v>
      </c>
      <c r="B380">
        <v>192</v>
      </c>
      <c r="C380" s="1">
        <v>45874.681562500002</v>
      </c>
      <c r="D380" t="s">
        <v>123</v>
      </c>
      <c r="E380" t="s">
        <v>124</v>
      </c>
      <c r="F380" t="s">
        <v>45</v>
      </c>
      <c r="G380">
        <v>0</v>
      </c>
      <c r="H380">
        <v>1</v>
      </c>
      <c r="I380">
        <v>263.44</v>
      </c>
      <c r="J380">
        <v>372.44</v>
      </c>
      <c r="L380">
        <v>0</v>
      </c>
    </row>
    <row r="381" spans="1:12" x14ac:dyDescent="0.25">
      <c r="A381" t="s">
        <v>522</v>
      </c>
      <c r="B381">
        <v>103</v>
      </c>
      <c r="C381" s="1">
        <v>45875.139907407407</v>
      </c>
      <c r="D381" t="s">
        <v>28</v>
      </c>
      <c r="E381" t="s">
        <v>29</v>
      </c>
      <c r="F381" t="s">
        <v>30</v>
      </c>
      <c r="G381">
        <v>2665</v>
      </c>
      <c r="H381">
        <v>2</v>
      </c>
      <c r="I381">
        <v>2016.49</v>
      </c>
      <c r="J381">
        <v>2445.39</v>
      </c>
      <c r="L381">
        <v>0</v>
      </c>
    </row>
    <row r="382" spans="1:12" x14ac:dyDescent="0.25">
      <c r="A382" t="s">
        <v>523</v>
      </c>
      <c r="B382">
        <v>66</v>
      </c>
      <c r="C382" s="1">
        <v>45876.610601851848</v>
      </c>
      <c r="D382" t="s">
        <v>114</v>
      </c>
      <c r="E382" t="s">
        <v>115</v>
      </c>
      <c r="F382" t="s">
        <v>116</v>
      </c>
      <c r="G382">
        <v>0</v>
      </c>
      <c r="H382">
        <v>2</v>
      </c>
      <c r="I382">
        <v>220.01</v>
      </c>
      <c r="J382">
        <v>749.15</v>
      </c>
      <c r="K382" t="s">
        <v>46</v>
      </c>
      <c r="L382">
        <v>0.1</v>
      </c>
    </row>
    <row r="383" spans="1:12" x14ac:dyDescent="0.25">
      <c r="A383" t="s">
        <v>524</v>
      </c>
      <c r="B383">
        <v>178</v>
      </c>
      <c r="C383" s="1">
        <v>45876.825532407413</v>
      </c>
      <c r="D383" t="s">
        <v>50</v>
      </c>
      <c r="E383" t="s">
        <v>51</v>
      </c>
      <c r="F383" t="s">
        <v>52</v>
      </c>
      <c r="G383">
        <v>664</v>
      </c>
      <c r="H383">
        <v>3</v>
      </c>
      <c r="I383">
        <v>149.74</v>
      </c>
      <c r="J383">
        <v>280.8</v>
      </c>
      <c r="L383">
        <v>0</v>
      </c>
    </row>
    <row r="384" spans="1:12" x14ac:dyDescent="0.25">
      <c r="A384" t="s">
        <v>525</v>
      </c>
      <c r="B384">
        <v>100</v>
      </c>
      <c r="C384" s="1">
        <v>45876.837905092587</v>
      </c>
      <c r="D384" t="s">
        <v>50</v>
      </c>
      <c r="E384" t="s">
        <v>51</v>
      </c>
      <c r="F384" t="s">
        <v>52</v>
      </c>
      <c r="G384">
        <v>727</v>
      </c>
      <c r="H384">
        <v>2</v>
      </c>
      <c r="I384">
        <v>162.63999999999999</v>
      </c>
      <c r="J384">
        <v>314.11</v>
      </c>
      <c r="L384">
        <v>0</v>
      </c>
    </row>
    <row r="385" spans="1:12" x14ac:dyDescent="0.25">
      <c r="A385" t="s">
        <v>526</v>
      </c>
      <c r="B385">
        <v>6</v>
      </c>
      <c r="C385" s="1">
        <v>45877.209039351852</v>
      </c>
      <c r="D385" t="s">
        <v>137</v>
      </c>
      <c r="E385" t="s">
        <v>138</v>
      </c>
      <c r="F385" t="s">
        <v>52</v>
      </c>
      <c r="G385">
        <v>410</v>
      </c>
      <c r="H385">
        <v>1</v>
      </c>
      <c r="I385">
        <v>96.89</v>
      </c>
      <c r="J385">
        <v>230.07</v>
      </c>
      <c r="K385" t="s">
        <v>46</v>
      </c>
      <c r="L385">
        <v>0.1</v>
      </c>
    </row>
    <row r="386" spans="1:12" x14ac:dyDescent="0.25">
      <c r="A386" t="s">
        <v>527</v>
      </c>
      <c r="B386">
        <v>77</v>
      </c>
      <c r="C386" s="1">
        <v>45877.288518518522</v>
      </c>
      <c r="D386" t="s">
        <v>58</v>
      </c>
      <c r="E386" t="s">
        <v>59</v>
      </c>
      <c r="F386" t="s">
        <v>30</v>
      </c>
      <c r="G386">
        <v>4167</v>
      </c>
      <c r="H386">
        <v>3</v>
      </c>
      <c r="I386">
        <v>486.34</v>
      </c>
      <c r="J386">
        <v>827.85</v>
      </c>
      <c r="L386">
        <v>0</v>
      </c>
    </row>
    <row r="387" spans="1:12" x14ac:dyDescent="0.25">
      <c r="A387" t="s">
        <v>528</v>
      </c>
      <c r="B387">
        <v>5</v>
      </c>
      <c r="C387" s="1">
        <v>45877.576319444437</v>
      </c>
      <c r="D387" t="s">
        <v>114</v>
      </c>
      <c r="E387" t="s">
        <v>115</v>
      </c>
      <c r="F387" t="s">
        <v>116</v>
      </c>
      <c r="G387">
        <v>0</v>
      </c>
      <c r="H387">
        <v>1</v>
      </c>
      <c r="I387">
        <v>377.34</v>
      </c>
      <c r="J387">
        <v>601.86</v>
      </c>
      <c r="L387">
        <v>0</v>
      </c>
    </row>
    <row r="388" spans="1:12" x14ac:dyDescent="0.25">
      <c r="A388" t="s">
        <v>529</v>
      </c>
      <c r="B388">
        <v>2</v>
      </c>
      <c r="C388" s="1">
        <v>45877.70113425926</v>
      </c>
      <c r="D388" t="s">
        <v>105</v>
      </c>
      <c r="E388" t="s">
        <v>106</v>
      </c>
      <c r="F388" t="s">
        <v>30</v>
      </c>
      <c r="G388">
        <v>2077</v>
      </c>
      <c r="H388">
        <v>2</v>
      </c>
      <c r="I388">
        <v>233.86</v>
      </c>
      <c r="J388">
        <v>576.47</v>
      </c>
      <c r="L388">
        <v>0</v>
      </c>
    </row>
    <row r="389" spans="1:12" x14ac:dyDescent="0.25">
      <c r="A389" t="s">
        <v>530</v>
      </c>
      <c r="B389">
        <v>119</v>
      </c>
      <c r="C389" s="1">
        <v>45877.91646990741</v>
      </c>
      <c r="D389" t="s">
        <v>110</v>
      </c>
      <c r="E389" t="s">
        <v>111</v>
      </c>
      <c r="F389" t="s">
        <v>30</v>
      </c>
      <c r="G389">
        <v>2089</v>
      </c>
      <c r="H389">
        <v>3</v>
      </c>
      <c r="I389">
        <v>847.73</v>
      </c>
      <c r="J389">
        <v>2373.19</v>
      </c>
      <c r="L389">
        <v>0</v>
      </c>
    </row>
    <row r="390" spans="1:12" x14ac:dyDescent="0.25">
      <c r="A390" t="s">
        <v>531</v>
      </c>
      <c r="B390">
        <v>143</v>
      </c>
      <c r="C390" s="1">
        <v>45878.256145833337</v>
      </c>
      <c r="D390" t="s">
        <v>58</v>
      </c>
      <c r="E390" t="s">
        <v>59</v>
      </c>
      <c r="F390" t="s">
        <v>30</v>
      </c>
      <c r="G390">
        <v>4164</v>
      </c>
      <c r="H390">
        <v>1</v>
      </c>
      <c r="I390">
        <v>342.87</v>
      </c>
      <c r="J390">
        <v>654.62</v>
      </c>
      <c r="L390">
        <v>0</v>
      </c>
    </row>
    <row r="391" spans="1:12" x14ac:dyDescent="0.25">
      <c r="A391" t="s">
        <v>532</v>
      </c>
      <c r="B391">
        <v>154</v>
      </c>
      <c r="C391" s="1">
        <v>45878.3356712963</v>
      </c>
      <c r="D391" t="s">
        <v>89</v>
      </c>
      <c r="E391" t="s">
        <v>90</v>
      </c>
      <c r="F391" t="s">
        <v>52</v>
      </c>
      <c r="G391">
        <v>265</v>
      </c>
      <c r="H391">
        <v>1</v>
      </c>
      <c r="I391">
        <v>97.03</v>
      </c>
      <c r="J391">
        <v>147.61000000000001</v>
      </c>
      <c r="K391" t="s">
        <v>60</v>
      </c>
      <c r="L391">
        <v>0.2</v>
      </c>
    </row>
    <row r="392" spans="1:12" x14ac:dyDescent="0.25">
      <c r="A392" t="s">
        <v>533</v>
      </c>
      <c r="B392">
        <v>33</v>
      </c>
      <c r="C392" s="1">
        <v>45878.695462962962</v>
      </c>
      <c r="D392" t="s">
        <v>71</v>
      </c>
      <c r="E392" t="s">
        <v>72</v>
      </c>
      <c r="F392" t="s">
        <v>52</v>
      </c>
      <c r="G392">
        <v>284</v>
      </c>
      <c r="H392">
        <v>1</v>
      </c>
      <c r="I392">
        <v>39.14</v>
      </c>
      <c r="J392">
        <v>81.430000000000007</v>
      </c>
      <c r="K392" t="s">
        <v>60</v>
      </c>
      <c r="L392">
        <v>0.2</v>
      </c>
    </row>
    <row r="393" spans="1:12" x14ac:dyDescent="0.25">
      <c r="A393" t="s">
        <v>534</v>
      </c>
      <c r="B393">
        <v>167</v>
      </c>
      <c r="C393" s="1">
        <v>45878.745671296303</v>
      </c>
      <c r="D393" t="s">
        <v>177</v>
      </c>
      <c r="E393" t="s">
        <v>178</v>
      </c>
      <c r="F393" t="s">
        <v>116</v>
      </c>
      <c r="G393">
        <v>0</v>
      </c>
      <c r="H393">
        <v>1</v>
      </c>
      <c r="I393">
        <v>190.71</v>
      </c>
      <c r="J393">
        <v>469.68</v>
      </c>
      <c r="L393">
        <v>0</v>
      </c>
    </row>
    <row r="394" spans="1:12" x14ac:dyDescent="0.25">
      <c r="A394" t="s">
        <v>535</v>
      </c>
      <c r="B394">
        <v>110</v>
      </c>
      <c r="C394" s="1">
        <v>45879.286886574067</v>
      </c>
      <c r="D394" t="s">
        <v>110</v>
      </c>
      <c r="E394" t="s">
        <v>111</v>
      </c>
      <c r="F394" t="s">
        <v>30</v>
      </c>
      <c r="G394">
        <v>2066</v>
      </c>
      <c r="H394">
        <v>2</v>
      </c>
      <c r="I394">
        <v>807.31</v>
      </c>
      <c r="J394">
        <v>1814.25</v>
      </c>
      <c r="L394">
        <v>0</v>
      </c>
    </row>
    <row r="395" spans="1:12" x14ac:dyDescent="0.25">
      <c r="A395" t="s">
        <v>536</v>
      </c>
      <c r="B395">
        <v>169</v>
      </c>
      <c r="C395" s="1">
        <v>45879.501435185193</v>
      </c>
      <c r="D395" t="s">
        <v>66</v>
      </c>
      <c r="E395" t="s">
        <v>67</v>
      </c>
      <c r="F395" t="s">
        <v>52</v>
      </c>
      <c r="G395">
        <v>240</v>
      </c>
      <c r="H395">
        <v>3</v>
      </c>
      <c r="I395">
        <v>44.57</v>
      </c>
      <c r="J395">
        <v>51.5</v>
      </c>
      <c r="K395" t="s">
        <v>46</v>
      </c>
      <c r="L395">
        <v>0.1</v>
      </c>
    </row>
    <row r="396" spans="1:12" x14ac:dyDescent="0.25">
      <c r="A396" t="s">
        <v>537</v>
      </c>
      <c r="B396">
        <v>168</v>
      </c>
      <c r="C396" s="1">
        <v>45879.689375000002</v>
      </c>
      <c r="D396" t="s">
        <v>110</v>
      </c>
      <c r="E396" t="s">
        <v>111</v>
      </c>
      <c r="F396" t="s">
        <v>30</v>
      </c>
      <c r="G396">
        <v>2083</v>
      </c>
      <c r="H396">
        <v>1</v>
      </c>
      <c r="I396">
        <v>1145.94</v>
      </c>
      <c r="J396">
        <v>2412.8200000000002</v>
      </c>
      <c r="L396">
        <v>0</v>
      </c>
    </row>
    <row r="397" spans="1:12" x14ac:dyDescent="0.25">
      <c r="A397" t="s">
        <v>538</v>
      </c>
      <c r="B397">
        <v>14</v>
      </c>
      <c r="C397" s="1">
        <v>45879.72146990741</v>
      </c>
      <c r="D397" t="s">
        <v>110</v>
      </c>
      <c r="E397" t="s">
        <v>111</v>
      </c>
      <c r="F397" t="s">
        <v>30</v>
      </c>
      <c r="G397">
        <v>2076</v>
      </c>
      <c r="H397">
        <v>2</v>
      </c>
      <c r="I397">
        <v>1448.88</v>
      </c>
      <c r="J397">
        <v>1785.87</v>
      </c>
      <c r="K397" t="s">
        <v>60</v>
      </c>
      <c r="L397">
        <v>0.2</v>
      </c>
    </row>
    <row r="398" spans="1:12" x14ac:dyDescent="0.25">
      <c r="A398" t="s">
        <v>539</v>
      </c>
      <c r="B398">
        <v>49</v>
      </c>
      <c r="C398" s="1">
        <v>45879.955752314818</v>
      </c>
      <c r="D398" t="s">
        <v>28</v>
      </c>
      <c r="E398" t="s">
        <v>29</v>
      </c>
      <c r="F398" t="s">
        <v>30</v>
      </c>
      <c r="G398">
        <v>2587</v>
      </c>
      <c r="H398">
        <v>1</v>
      </c>
      <c r="I398">
        <v>1738.38</v>
      </c>
      <c r="J398">
        <v>2761.18</v>
      </c>
      <c r="L398">
        <v>0</v>
      </c>
    </row>
    <row r="399" spans="1:12" x14ac:dyDescent="0.25">
      <c r="A399" t="s">
        <v>540</v>
      </c>
      <c r="B399">
        <v>13</v>
      </c>
      <c r="C399" s="1">
        <v>45880.007037037038</v>
      </c>
      <c r="D399" t="s">
        <v>58</v>
      </c>
      <c r="E399" t="s">
        <v>59</v>
      </c>
      <c r="F399" t="s">
        <v>30</v>
      </c>
      <c r="G399">
        <v>4535</v>
      </c>
      <c r="H399">
        <v>3</v>
      </c>
      <c r="I399">
        <v>418.02</v>
      </c>
      <c r="J399">
        <v>867.42</v>
      </c>
      <c r="L399">
        <v>0</v>
      </c>
    </row>
    <row r="400" spans="1:12" x14ac:dyDescent="0.25">
      <c r="A400" t="s">
        <v>541</v>
      </c>
      <c r="B400">
        <v>71</v>
      </c>
      <c r="C400" s="1">
        <v>45880.062789351847</v>
      </c>
      <c r="D400" t="s">
        <v>28</v>
      </c>
      <c r="E400" t="s">
        <v>29</v>
      </c>
      <c r="F400" t="s">
        <v>30</v>
      </c>
      <c r="G400">
        <v>2024</v>
      </c>
      <c r="H400">
        <v>3</v>
      </c>
      <c r="I400">
        <v>1585.53</v>
      </c>
      <c r="J400">
        <v>2983.64</v>
      </c>
      <c r="L400">
        <v>0</v>
      </c>
    </row>
    <row r="401" spans="1:12" x14ac:dyDescent="0.25">
      <c r="A401" t="s">
        <v>542</v>
      </c>
      <c r="B401">
        <v>146</v>
      </c>
      <c r="C401" s="1">
        <v>45880.078900462962</v>
      </c>
      <c r="D401" t="s">
        <v>155</v>
      </c>
      <c r="E401" t="s">
        <v>156</v>
      </c>
      <c r="F401" t="s">
        <v>30</v>
      </c>
      <c r="G401">
        <v>4860</v>
      </c>
      <c r="H401">
        <v>3</v>
      </c>
      <c r="I401">
        <v>901.81</v>
      </c>
      <c r="J401">
        <v>1458.19</v>
      </c>
      <c r="L401">
        <v>0</v>
      </c>
    </row>
    <row r="402" spans="1:12" x14ac:dyDescent="0.25">
      <c r="A402" t="s">
        <v>543</v>
      </c>
      <c r="B402">
        <v>141</v>
      </c>
      <c r="C402" s="1">
        <v>45880.161076388889</v>
      </c>
      <c r="D402" t="s">
        <v>123</v>
      </c>
      <c r="E402" t="s">
        <v>124</v>
      </c>
      <c r="F402" t="s">
        <v>45</v>
      </c>
      <c r="G402">
        <v>0</v>
      </c>
      <c r="H402">
        <v>3</v>
      </c>
      <c r="I402">
        <v>84.68</v>
      </c>
      <c r="J402">
        <v>400.73</v>
      </c>
      <c r="L402">
        <v>0</v>
      </c>
    </row>
    <row r="403" spans="1:12" x14ac:dyDescent="0.25">
      <c r="A403" t="s">
        <v>544</v>
      </c>
      <c r="B403">
        <v>79</v>
      </c>
      <c r="C403" s="1">
        <v>45880.549178240741</v>
      </c>
      <c r="D403" t="s">
        <v>123</v>
      </c>
      <c r="E403" t="s">
        <v>124</v>
      </c>
      <c r="F403" t="s">
        <v>45</v>
      </c>
      <c r="G403">
        <v>0</v>
      </c>
      <c r="H403">
        <v>2</v>
      </c>
      <c r="I403">
        <v>133.94999999999999</v>
      </c>
      <c r="J403">
        <v>245.79</v>
      </c>
      <c r="L403">
        <v>0</v>
      </c>
    </row>
    <row r="404" spans="1:12" x14ac:dyDescent="0.25">
      <c r="A404" t="s">
        <v>545</v>
      </c>
      <c r="B404">
        <v>60</v>
      </c>
      <c r="C404" s="1">
        <v>45880.611817129633</v>
      </c>
      <c r="D404" t="s">
        <v>95</v>
      </c>
      <c r="E404" t="s">
        <v>96</v>
      </c>
      <c r="F404" t="s">
        <v>52</v>
      </c>
      <c r="G404">
        <v>594</v>
      </c>
      <c r="H404">
        <v>3</v>
      </c>
      <c r="I404">
        <v>46.32</v>
      </c>
      <c r="J404">
        <v>80.02</v>
      </c>
      <c r="L404">
        <v>0</v>
      </c>
    </row>
    <row r="405" spans="1:12" x14ac:dyDescent="0.25">
      <c r="A405" t="s">
        <v>546</v>
      </c>
      <c r="B405">
        <v>85</v>
      </c>
      <c r="C405" s="1">
        <v>45881.051087962973</v>
      </c>
      <c r="D405" t="s">
        <v>71</v>
      </c>
      <c r="E405" t="s">
        <v>72</v>
      </c>
      <c r="F405" t="s">
        <v>52</v>
      </c>
      <c r="G405">
        <v>302</v>
      </c>
      <c r="H405">
        <v>2</v>
      </c>
      <c r="I405">
        <v>72.790000000000006</v>
      </c>
      <c r="J405">
        <v>114.11</v>
      </c>
      <c r="K405" t="s">
        <v>60</v>
      </c>
      <c r="L405">
        <v>0.2</v>
      </c>
    </row>
    <row r="406" spans="1:12" x14ac:dyDescent="0.25">
      <c r="A406" t="s">
        <v>547</v>
      </c>
      <c r="B406">
        <v>138</v>
      </c>
      <c r="C406" s="1">
        <v>45881.288043981483</v>
      </c>
      <c r="D406" t="s">
        <v>148</v>
      </c>
      <c r="E406" t="s">
        <v>149</v>
      </c>
      <c r="F406" t="s">
        <v>30</v>
      </c>
      <c r="G406">
        <v>2754</v>
      </c>
      <c r="H406">
        <v>2</v>
      </c>
      <c r="I406">
        <v>418.14</v>
      </c>
      <c r="J406">
        <v>908.37</v>
      </c>
      <c r="L406">
        <v>0</v>
      </c>
    </row>
    <row r="407" spans="1:12" x14ac:dyDescent="0.25">
      <c r="A407" t="s">
        <v>548</v>
      </c>
      <c r="B407">
        <v>167</v>
      </c>
      <c r="C407" s="1">
        <v>45881.309594907398</v>
      </c>
      <c r="D407" t="s">
        <v>137</v>
      </c>
      <c r="E407" t="s">
        <v>138</v>
      </c>
      <c r="F407" t="s">
        <v>52</v>
      </c>
      <c r="G407">
        <v>437</v>
      </c>
      <c r="H407">
        <v>1</v>
      </c>
      <c r="I407">
        <v>87.11</v>
      </c>
      <c r="J407">
        <v>230.58</v>
      </c>
      <c r="L407">
        <v>0</v>
      </c>
    </row>
    <row r="408" spans="1:12" x14ac:dyDescent="0.25">
      <c r="A408" t="s">
        <v>549</v>
      </c>
      <c r="B408">
        <v>149</v>
      </c>
      <c r="C408" s="1">
        <v>45881.417569444442</v>
      </c>
      <c r="D408" t="s">
        <v>105</v>
      </c>
      <c r="E408" t="s">
        <v>106</v>
      </c>
      <c r="F408" t="s">
        <v>30</v>
      </c>
      <c r="G408">
        <v>2043</v>
      </c>
      <c r="H408">
        <v>2</v>
      </c>
      <c r="I408">
        <v>332.34</v>
      </c>
      <c r="J408">
        <v>678.03</v>
      </c>
      <c r="L408">
        <v>0</v>
      </c>
    </row>
    <row r="409" spans="1:12" x14ac:dyDescent="0.25">
      <c r="A409" t="s">
        <v>550</v>
      </c>
      <c r="B409">
        <v>15</v>
      </c>
      <c r="C409" s="1">
        <v>45881.491886574076</v>
      </c>
      <c r="D409" t="s">
        <v>177</v>
      </c>
      <c r="E409" t="s">
        <v>178</v>
      </c>
      <c r="F409" t="s">
        <v>116</v>
      </c>
      <c r="G409">
        <v>0</v>
      </c>
      <c r="H409">
        <v>2</v>
      </c>
      <c r="I409">
        <v>179.78</v>
      </c>
      <c r="J409">
        <v>543.21</v>
      </c>
      <c r="K409" t="s">
        <v>60</v>
      </c>
      <c r="L409">
        <v>0.2</v>
      </c>
    </row>
    <row r="410" spans="1:12" x14ac:dyDescent="0.25">
      <c r="A410" t="s">
        <v>551</v>
      </c>
      <c r="B410">
        <v>122</v>
      </c>
      <c r="C410" s="1">
        <v>45881.607164351852</v>
      </c>
      <c r="D410" t="s">
        <v>66</v>
      </c>
      <c r="E410" t="s">
        <v>67</v>
      </c>
      <c r="F410" t="s">
        <v>52</v>
      </c>
      <c r="G410">
        <v>244</v>
      </c>
      <c r="H410">
        <v>1</v>
      </c>
      <c r="I410">
        <v>56.34</v>
      </c>
      <c r="J410">
        <v>93.21</v>
      </c>
      <c r="L410">
        <v>0</v>
      </c>
    </row>
    <row r="411" spans="1:12" x14ac:dyDescent="0.25">
      <c r="A411" t="s">
        <v>552</v>
      </c>
      <c r="B411">
        <v>147</v>
      </c>
      <c r="C411" s="1">
        <v>45881.760891203703</v>
      </c>
      <c r="D411" t="s">
        <v>58</v>
      </c>
      <c r="E411" t="s">
        <v>59</v>
      </c>
      <c r="F411" t="s">
        <v>30</v>
      </c>
      <c r="G411">
        <v>4807</v>
      </c>
      <c r="H411">
        <v>1</v>
      </c>
      <c r="I411">
        <v>348.48</v>
      </c>
      <c r="J411">
        <v>617.59</v>
      </c>
      <c r="L411">
        <v>0</v>
      </c>
    </row>
    <row r="412" spans="1:12" x14ac:dyDescent="0.25">
      <c r="A412" t="s">
        <v>553</v>
      </c>
      <c r="B412">
        <v>187</v>
      </c>
      <c r="C412" s="1">
        <v>45881.99359953704</v>
      </c>
      <c r="D412" t="s">
        <v>58</v>
      </c>
      <c r="E412" t="s">
        <v>59</v>
      </c>
      <c r="F412" t="s">
        <v>30</v>
      </c>
      <c r="G412">
        <v>4249</v>
      </c>
      <c r="H412">
        <v>2</v>
      </c>
      <c r="I412">
        <v>287.42</v>
      </c>
      <c r="J412">
        <v>621.20000000000005</v>
      </c>
      <c r="K412" t="s">
        <v>46</v>
      </c>
      <c r="L412">
        <v>0.1</v>
      </c>
    </row>
    <row r="413" spans="1:12" x14ac:dyDescent="0.25">
      <c r="A413" t="s">
        <v>554</v>
      </c>
      <c r="B413">
        <v>82</v>
      </c>
      <c r="C413" s="1">
        <v>45882.068749999999</v>
      </c>
      <c r="D413" t="s">
        <v>155</v>
      </c>
      <c r="E413" t="s">
        <v>156</v>
      </c>
      <c r="F413" t="s">
        <v>30</v>
      </c>
      <c r="G413">
        <v>4152</v>
      </c>
      <c r="H413">
        <v>2</v>
      </c>
      <c r="I413">
        <v>1005.82</v>
      </c>
      <c r="J413">
        <v>1776.64</v>
      </c>
      <c r="L413">
        <v>0</v>
      </c>
    </row>
    <row r="414" spans="1:12" x14ac:dyDescent="0.25">
      <c r="A414" t="s">
        <v>555</v>
      </c>
      <c r="B414">
        <v>29</v>
      </c>
      <c r="C414" s="1">
        <v>45882.195300925923</v>
      </c>
      <c r="D414" t="s">
        <v>89</v>
      </c>
      <c r="E414" t="s">
        <v>90</v>
      </c>
      <c r="F414" t="s">
        <v>52</v>
      </c>
      <c r="G414">
        <v>322</v>
      </c>
      <c r="H414">
        <v>3</v>
      </c>
      <c r="I414">
        <v>61.2</v>
      </c>
      <c r="J414">
        <v>177.48</v>
      </c>
      <c r="L414">
        <v>0</v>
      </c>
    </row>
    <row r="415" spans="1:12" x14ac:dyDescent="0.25">
      <c r="A415" t="s">
        <v>556</v>
      </c>
      <c r="B415">
        <v>26</v>
      </c>
      <c r="C415" s="1">
        <v>45883.240358796298</v>
      </c>
      <c r="D415" t="s">
        <v>92</v>
      </c>
      <c r="E415" t="s">
        <v>93</v>
      </c>
      <c r="F415" t="s">
        <v>52</v>
      </c>
      <c r="G415">
        <v>245</v>
      </c>
      <c r="H415">
        <v>1</v>
      </c>
      <c r="I415">
        <v>59.26</v>
      </c>
      <c r="J415">
        <v>111.9</v>
      </c>
      <c r="K415" t="s">
        <v>46</v>
      </c>
      <c r="L415">
        <v>0.1</v>
      </c>
    </row>
    <row r="416" spans="1:12" x14ac:dyDescent="0.25">
      <c r="A416" t="s">
        <v>557</v>
      </c>
      <c r="B416">
        <v>11</v>
      </c>
      <c r="C416" s="1">
        <v>45884.243761574071</v>
      </c>
      <c r="D416" t="s">
        <v>66</v>
      </c>
      <c r="E416" t="s">
        <v>67</v>
      </c>
      <c r="F416" t="s">
        <v>52</v>
      </c>
      <c r="G416">
        <v>234</v>
      </c>
      <c r="H416">
        <v>3</v>
      </c>
      <c r="I416">
        <v>33.46</v>
      </c>
      <c r="J416">
        <v>137.38999999999999</v>
      </c>
      <c r="K416" t="s">
        <v>46</v>
      </c>
      <c r="L416">
        <v>0.1</v>
      </c>
    </row>
    <row r="417" spans="1:12" x14ac:dyDescent="0.25">
      <c r="A417" t="s">
        <v>558</v>
      </c>
      <c r="B417">
        <v>195</v>
      </c>
      <c r="C417" s="1">
        <v>45885.173009259262</v>
      </c>
      <c r="D417" t="s">
        <v>81</v>
      </c>
      <c r="E417" t="s">
        <v>82</v>
      </c>
      <c r="F417" t="s">
        <v>45</v>
      </c>
      <c r="G417">
        <v>0</v>
      </c>
      <c r="H417">
        <v>3</v>
      </c>
      <c r="I417">
        <v>70.14</v>
      </c>
      <c r="J417">
        <v>234.01</v>
      </c>
      <c r="K417" t="s">
        <v>60</v>
      </c>
      <c r="L417">
        <v>0.2</v>
      </c>
    </row>
    <row r="418" spans="1:12" x14ac:dyDescent="0.25">
      <c r="A418" t="s">
        <v>559</v>
      </c>
      <c r="B418">
        <v>9</v>
      </c>
      <c r="C418" s="1">
        <v>45885.931168981479</v>
      </c>
      <c r="D418" t="s">
        <v>71</v>
      </c>
      <c r="E418" t="s">
        <v>72</v>
      </c>
      <c r="F418" t="s">
        <v>52</v>
      </c>
      <c r="G418">
        <v>301</v>
      </c>
      <c r="H418">
        <v>3</v>
      </c>
      <c r="I418">
        <v>41.56</v>
      </c>
      <c r="J418">
        <v>142.1</v>
      </c>
      <c r="K418" t="s">
        <v>46</v>
      </c>
      <c r="L418">
        <v>0.1</v>
      </c>
    </row>
    <row r="419" spans="1:12" x14ac:dyDescent="0.25">
      <c r="A419" t="s">
        <v>560</v>
      </c>
      <c r="B419">
        <v>157</v>
      </c>
      <c r="C419" s="1">
        <v>45886.440555555557</v>
      </c>
      <c r="D419" t="s">
        <v>58</v>
      </c>
      <c r="E419" t="s">
        <v>59</v>
      </c>
      <c r="F419" t="s">
        <v>30</v>
      </c>
      <c r="G419">
        <v>4416</v>
      </c>
      <c r="H419">
        <v>3</v>
      </c>
      <c r="I419">
        <v>482.52</v>
      </c>
      <c r="J419">
        <v>871.57</v>
      </c>
      <c r="L419">
        <v>0</v>
      </c>
    </row>
    <row r="420" spans="1:12" x14ac:dyDescent="0.25">
      <c r="A420" t="s">
        <v>561</v>
      </c>
      <c r="B420">
        <v>37</v>
      </c>
      <c r="C420" s="1">
        <v>45886.947951388887</v>
      </c>
      <c r="D420" t="s">
        <v>89</v>
      </c>
      <c r="E420" t="s">
        <v>90</v>
      </c>
      <c r="F420" t="s">
        <v>52</v>
      </c>
      <c r="G420">
        <v>223</v>
      </c>
      <c r="H420">
        <v>2</v>
      </c>
      <c r="I420">
        <v>86.63</v>
      </c>
      <c r="J420">
        <v>150.24</v>
      </c>
      <c r="L420">
        <v>0</v>
      </c>
    </row>
    <row r="421" spans="1:12" x14ac:dyDescent="0.25">
      <c r="A421" t="s">
        <v>562</v>
      </c>
      <c r="B421">
        <v>96</v>
      </c>
      <c r="C421" s="1">
        <v>45887.017800925933</v>
      </c>
      <c r="D421" t="s">
        <v>58</v>
      </c>
      <c r="E421" t="s">
        <v>59</v>
      </c>
      <c r="F421" t="s">
        <v>30</v>
      </c>
      <c r="G421">
        <v>4071</v>
      </c>
      <c r="H421">
        <v>2</v>
      </c>
      <c r="I421">
        <v>399.88</v>
      </c>
      <c r="J421">
        <v>773.22</v>
      </c>
      <c r="L421">
        <v>0</v>
      </c>
    </row>
    <row r="422" spans="1:12" x14ac:dyDescent="0.25">
      <c r="A422" t="s">
        <v>563</v>
      </c>
      <c r="B422">
        <v>8</v>
      </c>
      <c r="C422" s="1">
        <v>45887.206990740742</v>
      </c>
      <c r="D422" t="s">
        <v>37</v>
      </c>
      <c r="E422" t="s">
        <v>38</v>
      </c>
      <c r="F422" t="s">
        <v>30</v>
      </c>
      <c r="G422">
        <v>2610</v>
      </c>
      <c r="H422">
        <v>3</v>
      </c>
      <c r="I422">
        <v>782.29</v>
      </c>
      <c r="J422">
        <v>1064.8800000000001</v>
      </c>
      <c r="K422" t="s">
        <v>60</v>
      </c>
      <c r="L422">
        <v>0.2</v>
      </c>
    </row>
    <row r="423" spans="1:12" x14ac:dyDescent="0.25">
      <c r="A423" t="s">
        <v>564</v>
      </c>
      <c r="B423">
        <v>144</v>
      </c>
      <c r="C423" s="1">
        <v>45887.553287037037</v>
      </c>
      <c r="D423" t="s">
        <v>114</v>
      </c>
      <c r="E423" t="s">
        <v>115</v>
      </c>
      <c r="F423" t="s">
        <v>116</v>
      </c>
      <c r="G423">
        <v>0</v>
      </c>
      <c r="H423">
        <v>3</v>
      </c>
      <c r="I423">
        <v>379.59</v>
      </c>
      <c r="J423">
        <v>749.85</v>
      </c>
      <c r="L423">
        <v>0</v>
      </c>
    </row>
    <row r="424" spans="1:12" x14ac:dyDescent="0.25">
      <c r="A424" t="s">
        <v>565</v>
      </c>
      <c r="B424">
        <v>3</v>
      </c>
      <c r="C424" s="1">
        <v>45887.769652777781</v>
      </c>
      <c r="D424" t="s">
        <v>164</v>
      </c>
      <c r="E424" t="s">
        <v>165</v>
      </c>
      <c r="F424" t="s">
        <v>116</v>
      </c>
      <c r="G424">
        <v>0</v>
      </c>
      <c r="H424">
        <v>3</v>
      </c>
      <c r="I424">
        <v>315.89</v>
      </c>
      <c r="J424">
        <v>676.38</v>
      </c>
      <c r="L424">
        <v>0</v>
      </c>
    </row>
    <row r="425" spans="1:12" x14ac:dyDescent="0.25">
      <c r="A425" t="s">
        <v>566</v>
      </c>
      <c r="B425">
        <v>144</v>
      </c>
      <c r="C425" s="1">
        <v>45887.807569444441</v>
      </c>
      <c r="D425" t="s">
        <v>86</v>
      </c>
      <c r="E425" t="s">
        <v>87</v>
      </c>
      <c r="F425" t="s">
        <v>45</v>
      </c>
      <c r="G425">
        <v>0</v>
      </c>
      <c r="H425">
        <v>3</v>
      </c>
      <c r="I425">
        <v>37.46</v>
      </c>
      <c r="J425">
        <v>175.31</v>
      </c>
      <c r="L425">
        <v>0</v>
      </c>
    </row>
    <row r="426" spans="1:12" x14ac:dyDescent="0.25">
      <c r="A426" t="s">
        <v>567</v>
      </c>
      <c r="B426">
        <v>62</v>
      </c>
      <c r="C426" s="1">
        <v>45887.917581018519</v>
      </c>
      <c r="D426" t="s">
        <v>155</v>
      </c>
      <c r="E426" t="s">
        <v>156</v>
      </c>
      <c r="F426" t="s">
        <v>30</v>
      </c>
      <c r="G426">
        <v>4605</v>
      </c>
      <c r="H426">
        <v>3</v>
      </c>
      <c r="I426">
        <v>692.01</v>
      </c>
      <c r="J426">
        <v>1224.05</v>
      </c>
      <c r="L426">
        <v>0</v>
      </c>
    </row>
    <row r="427" spans="1:12" x14ac:dyDescent="0.25">
      <c r="A427" t="s">
        <v>568</v>
      </c>
      <c r="B427">
        <v>54</v>
      </c>
      <c r="C427" s="1">
        <v>45888.524062500001</v>
      </c>
      <c r="D427" t="s">
        <v>66</v>
      </c>
      <c r="E427" t="s">
        <v>67</v>
      </c>
      <c r="F427" t="s">
        <v>52</v>
      </c>
      <c r="G427">
        <v>259</v>
      </c>
      <c r="H427">
        <v>3</v>
      </c>
      <c r="I427">
        <v>53.87</v>
      </c>
      <c r="J427">
        <v>71.47</v>
      </c>
      <c r="L427">
        <v>0</v>
      </c>
    </row>
    <row r="428" spans="1:12" x14ac:dyDescent="0.25">
      <c r="A428" t="s">
        <v>569</v>
      </c>
      <c r="B428">
        <v>103</v>
      </c>
      <c r="C428" s="1">
        <v>45888.727708333332</v>
      </c>
      <c r="D428" t="s">
        <v>148</v>
      </c>
      <c r="E428" t="s">
        <v>149</v>
      </c>
      <c r="F428" t="s">
        <v>30</v>
      </c>
      <c r="G428">
        <v>2860</v>
      </c>
      <c r="H428">
        <v>2</v>
      </c>
      <c r="I428">
        <v>318.37</v>
      </c>
      <c r="J428">
        <v>817.12</v>
      </c>
      <c r="L428">
        <v>0</v>
      </c>
    </row>
    <row r="429" spans="1:12" x14ac:dyDescent="0.25">
      <c r="A429" t="s">
        <v>570</v>
      </c>
      <c r="B429">
        <v>49</v>
      </c>
      <c r="C429" s="1">
        <v>45888.992824074077</v>
      </c>
      <c r="D429" t="s">
        <v>71</v>
      </c>
      <c r="E429" t="s">
        <v>72</v>
      </c>
      <c r="F429" t="s">
        <v>52</v>
      </c>
      <c r="G429">
        <v>292</v>
      </c>
      <c r="H429">
        <v>2</v>
      </c>
      <c r="I429">
        <v>52.95</v>
      </c>
      <c r="J429">
        <v>63.96</v>
      </c>
      <c r="L429">
        <v>0</v>
      </c>
    </row>
    <row r="430" spans="1:12" x14ac:dyDescent="0.25">
      <c r="A430" t="s">
        <v>571</v>
      </c>
      <c r="B430">
        <v>200</v>
      </c>
      <c r="C430" s="1">
        <v>45889.259988425933</v>
      </c>
      <c r="D430" t="s">
        <v>148</v>
      </c>
      <c r="E430" t="s">
        <v>149</v>
      </c>
      <c r="F430" t="s">
        <v>30</v>
      </c>
      <c r="G430">
        <v>3007</v>
      </c>
      <c r="H430">
        <v>3</v>
      </c>
      <c r="I430">
        <v>584.51</v>
      </c>
      <c r="J430">
        <v>776.2</v>
      </c>
      <c r="L430">
        <v>0</v>
      </c>
    </row>
    <row r="431" spans="1:12" x14ac:dyDescent="0.25">
      <c r="A431" t="s">
        <v>572</v>
      </c>
      <c r="B431">
        <v>38</v>
      </c>
      <c r="C431" s="1">
        <v>45889.484027777777</v>
      </c>
      <c r="D431" t="s">
        <v>71</v>
      </c>
      <c r="E431" t="s">
        <v>72</v>
      </c>
      <c r="F431" t="s">
        <v>52</v>
      </c>
      <c r="G431">
        <v>230</v>
      </c>
      <c r="H431">
        <v>2</v>
      </c>
      <c r="I431">
        <v>54.38</v>
      </c>
      <c r="J431">
        <v>78.5</v>
      </c>
      <c r="L431">
        <v>0</v>
      </c>
    </row>
    <row r="432" spans="1:12" x14ac:dyDescent="0.25">
      <c r="A432" t="s">
        <v>573</v>
      </c>
      <c r="B432">
        <v>141</v>
      </c>
      <c r="C432" s="1">
        <v>45889.922581018523</v>
      </c>
      <c r="D432" t="s">
        <v>177</v>
      </c>
      <c r="E432" t="s">
        <v>178</v>
      </c>
      <c r="F432" t="s">
        <v>116</v>
      </c>
      <c r="G432">
        <v>0</v>
      </c>
      <c r="H432">
        <v>3</v>
      </c>
      <c r="I432">
        <v>216.14</v>
      </c>
      <c r="J432">
        <v>314.14</v>
      </c>
      <c r="L432">
        <v>0</v>
      </c>
    </row>
    <row r="433" spans="1:12" x14ac:dyDescent="0.25">
      <c r="A433" t="s">
        <v>574</v>
      </c>
      <c r="B433">
        <v>153</v>
      </c>
      <c r="C433" s="1">
        <v>45890.278402777767</v>
      </c>
      <c r="D433" t="s">
        <v>89</v>
      </c>
      <c r="E433" t="s">
        <v>90</v>
      </c>
      <c r="F433" t="s">
        <v>52</v>
      </c>
      <c r="G433">
        <v>294</v>
      </c>
      <c r="H433">
        <v>3</v>
      </c>
      <c r="I433">
        <v>41.2</v>
      </c>
      <c r="J433">
        <v>166.44</v>
      </c>
      <c r="K433" t="s">
        <v>46</v>
      </c>
      <c r="L433">
        <v>0.1</v>
      </c>
    </row>
    <row r="434" spans="1:12" x14ac:dyDescent="0.25">
      <c r="A434" t="s">
        <v>575</v>
      </c>
      <c r="B434">
        <v>128</v>
      </c>
      <c r="C434" s="1">
        <v>45891.14371527778</v>
      </c>
      <c r="D434" t="s">
        <v>50</v>
      </c>
      <c r="E434" t="s">
        <v>51</v>
      </c>
      <c r="F434" t="s">
        <v>52</v>
      </c>
      <c r="G434">
        <v>685</v>
      </c>
      <c r="H434">
        <v>2</v>
      </c>
      <c r="I434">
        <v>81.91</v>
      </c>
      <c r="J434">
        <v>203.64</v>
      </c>
      <c r="L434">
        <v>0</v>
      </c>
    </row>
    <row r="435" spans="1:12" x14ac:dyDescent="0.25">
      <c r="A435" t="s">
        <v>576</v>
      </c>
      <c r="B435">
        <v>134</v>
      </c>
      <c r="C435" s="1">
        <v>45891.627337962957</v>
      </c>
      <c r="D435" t="s">
        <v>155</v>
      </c>
      <c r="E435" t="s">
        <v>156</v>
      </c>
      <c r="F435" t="s">
        <v>30</v>
      </c>
      <c r="G435">
        <v>3503</v>
      </c>
      <c r="H435">
        <v>1</v>
      </c>
      <c r="I435">
        <v>937.74</v>
      </c>
      <c r="J435">
        <v>1234.29</v>
      </c>
      <c r="L435">
        <v>0</v>
      </c>
    </row>
    <row r="436" spans="1:12" x14ac:dyDescent="0.25">
      <c r="A436" t="s">
        <v>577</v>
      </c>
      <c r="B436">
        <v>143</v>
      </c>
      <c r="C436" s="1">
        <v>45891.979050925933</v>
      </c>
      <c r="D436" t="s">
        <v>86</v>
      </c>
      <c r="E436" t="s">
        <v>87</v>
      </c>
      <c r="F436" t="s">
        <v>45</v>
      </c>
      <c r="G436">
        <v>0</v>
      </c>
      <c r="H436">
        <v>3</v>
      </c>
      <c r="I436">
        <v>69.78</v>
      </c>
      <c r="J436">
        <v>143.19999999999999</v>
      </c>
      <c r="L436">
        <v>0</v>
      </c>
    </row>
    <row r="437" spans="1:12" x14ac:dyDescent="0.25">
      <c r="A437" t="s">
        <v>578</v>
      </c>
      <c r="B437">
        <v>83</v>
      </c>
      <c r="C437" s="1">
        <v>45892.107268518521</v>
      </c>
      <c r="D437" t="s">
        <v>37</v>
      </c>
      <c r="E437" t="s">
        <v>38</v>
      </c>
      <c r="F437" t="s">
        <v>30</v>
      </c>
      <c r="G437">
        <v>2051</v>
      </c>
      <c r="H437">
        <v>1</v>
      </c>
      <c r="I437">
        <v>670.69</v>
      </c>
      <c r="J437">
        <v>906.66</v>
      </c>
      <c r="L437">
        <v>0</v>
      </c>
    </row>
    <row r="438" spans="1:12" x14ac:dyDescent="0.25">
      <c r="A438" t="s">
        <v>579</v>
      </c>
      <c r="B438">
        <v>118</v>
      </c>
      <c r="C438" s="1">
        <v>45892.397256944438</v>
      </c>
      <c r="D438" t="s">
        <v>58</v>
      </c>
      <c r="E438" t="s">
        <v>59</v>
      </c>
      <c r="F438" t="s">
        <v>30</v>
      </c>
      <c r="G438">
        <v>4567</v>
      </c>
      <c r="H438">
        <v>3</v>
      </c>
      <c r="I438">
        <v>434.27</v>
      </c>
      <c r="J438">
        <v>556.86</v>
      </c>
      <c r="L438">
        <v>0</v>
      </c>
    </row>
    <row r="439" spans="1:12" x14ac:dyDescent="0.25">
      <c r="A439" t="s">
        <v>580</v>
      </c>
      <c r="B439">
        <v>54</v>
      </c>
      <c r="C439" s="1">
        <v>45892.424861111111</v>
      </c>
      <c r="D439" t="s">
        <v>58</v>
      </c>
      <c r="E439" t="s">
        <v>59</v>
      </c>
      <c r="F439" t="s">
        <v>30</v>
      </c>
      <c r="G439">
        <v>4828</v>
      </c>
      <c r="H439">
        <v>2</v>
      </c>
      <c r="I439">
        <v>203.09</v>
      </c>
      <c r="J439">
        <v>368.02</v>
      </c>
      <c r="K439" t="s">
        <v>60</v>
      </c>
      <c r="L439">
        <v>0.2</v>
      </c>
    </row>
    <row r="440" spans="1:12" x14ac:dyDescent="0.25">
      <c r="A440" t="s">
        <v>581</v>
      </c>
      <c r="B440">
        <v>40</v>
      </c>
      <c r="C440" s="1">
        <v>45892.603472222218</v>
      </c>
      <c r="D440" t="s">
        <v>74</v>
      </c>
      <c r="E440" t="s">
        <v>75</v>
      </c>
      <c r="F440" t="s">
        <v>30</v>
      </c>
      <c r="G440">
        <v>2870</v>
      </c>
      <c r="H440">
        <v>2</v>
      </c>
      <c r="I440">
        <v>2590.9899999999998</v>
      </c>
      <c r="J440">
        <v>4111.34</v>
      </c>
      <c r="L440">
        <v>0</v>
      </c>
    </row>
    <row r="441" spans="1:12" x14ac:dyDescent="0.25">
      <c r="A441" t="s">
        <v>582</v>
      </c>
      <c r="B441">
        <v>30</v>
      </c>
      <c r="C441" s="1">
        <v>45892.687604166669</v>
      </c>
      <c r="D441" t="s">
        <v>148</v>
      </c>
      <c r="E441" t="s">
        <v>149</v>
      </c>
      <c r="F441" t="s">
        <v>30</v>
      </c>
      <c r="G441">
        <v>3116</v>
      </c>
      <c r="H441">
        <v>3</v>
      </c>
      <c r="I441">
        <v>524.41</v>
      </c>
      <c r="J441">
        <v>951.11</v>
      </c>
      <c r="L441">
        <v>0</v>
      </c>
    </row>
    <row r="442" spans="1:12" x14ac:dyDescent="0.25">
      <c r="A442" t="s">
        <v>583</v>
      </c>
      <c r="B442">
        <v>183</v>
      </c>
      <c r="C442" s="1">
        <v>45892.701481481483</v>
      </c>
      <c r="D442" t="s">
        <v>50</v>
      </c>
      <c r="E442" t="s">
        <v>51</v>
      </c>
      <c r="F442" t="s">
        <v>52</v>
      </c>
      <c r="G442">
        <v>633</v>
      </c>
      <c r="H442">
        <v>2</v>
      </c>
      <c r="I442">
        <v>155.22</v>
      </c>
      <c r="J442">
        <v>220.83</v>
      </c>
      <c r="L442">
        <v>0</v>
      </c>
    </row>
    <row r="443" spans="1:12" x14ac:dyDescent="0.25">
      <c r="A443" t="s">
        <v>584</v>
      </c>
      <c r="B443">
        <v>195</v>
      </c>
      <c r="C443" s="1">
        <v>45893.046006944453</v>
      </c>
      <c r="D443" t="s">
        <v>74</v>
      </c>
      <c r="E443" t="s">
        <v>75</v>
      </c>
      <c r="F443" t="s">
        <v>30</v>
      </c>
      <c r="G443">
        <v>2451</v>
      </c>
      <c r="H443">
        <v>2</v>
      </c>
      <c r="I443">
        <v>2014.02</v>
      </c>
      <c r="J443">
        <v>4142.21</v>
      </c>
      <c r="K443" t="s">
        <v>60</v>
      </c>
      <c r="L443">
        <v>0.2</v>
      </c>
    </row>
    <row r="444" spans="1:12" x14ac:dyDescent="0.25">
      <c r="A444" t="s">
        <v>585</v>
      </c>
      <c r="B444">
        <v>126</v>
      </c>
      <c r="C444" s="1">
        <v>45893.563067129631</v>
      </c>
      <c r="D444" t="s">
        <v>43</v>
      </c>
      <c r="E444" t="s">
        <v>44</v>
      </c>
      <c r="F444" t="s">
        <v>45</v>
      </c>
      <c r="G444">
        <v>0</v>
      </c>
      <c r="H444">
        <v>2</v>
      </c>
      <c r="I444">
        <v>76.5</v>
      </c>
      <c r="J444">
        <v>145.29</v>
      </c>
      <c r="L444">
        <v>0</v>
      </c>
    </row>
    <row r="445" spans="1:12" x14ac:dyDescent="0.25">
      <c r="A445" t="s">
        <v>586</v>
      </c>
      <c r="B445">
        <v>145</v>
      </c>
      <c r="C445" s="1">
        <v>45893.707604166673</v>
      </c>
      <c r="D445" t="s">
        <v>58</v>
      </c>
      <c r="E445" t="s">
        <v>59</v>
      </c>
      <c r="F445" t="s">
        <v>30</v>
      </c>
      <c r="G445">
        <v>4122</v>
      </c>
      <c r="H445">
        <v>3</v>
      </c>
      <c r="I445">
        <v>292.95999999999998</v>
      </c>
      <c r="J445">
        <v>735.71</v>
      </c>
      <c r="L445">
        <v>0</v>
      </c>
    </row>
    <row r="446" spans="1:12" x14ac:dyDescent="0.25">
      <c r="A446" t="s">
        <v>587</v>
      </c>
      <c r="B446">
        <v>167</v>
      </c>
      <c r="C446" s="1">
        <v>45893.722673611112</v>
      </c>
      <c r="D446" t="s">
        <v>164</v>
      </c>
      <c r="E446" t="s">
        <v>165</v>
      </c>
      <c r="F446" t="s">
        <v>116</v>
      </c>
      <c r="G446">
        <v>0</v>
      </c>
      <c r="H446">
        <v>2</v>
      </c>
      <c r="I446">
        <v>206.2</v>
      </c>
      <c r="J446">
        <v>598.29999999999995</v>
      </c>
      <c r="K446" t="s">
        <v>46</v>
      </c>
      <c r="L446">
        <v>0.1</v>
      </c>
    </row>
    <row r="447" spans="1:12" x14ac:dyDescent="0.25">
      <c r="A447" t="s">
        <v>588</v>
      </c>
      <c r="B447">
        <v>118</v>
      </c>
      <c r="C447" s="1">
        <v>45893.874247685177</v>
      </c>
      <c r="D447" t="s">
        <v>66</v>
      </c>
      <c r="E447" t="s">
        <v>67</v>
      </c>
      <c r="F447" t="s">
        <v>52</v>
      </c>
      <c r="G447">
        <v>226</v>
      </c>
      <c r="H447">
        <v>3</v>
      </c>
      <c r="I447">
        <v>30.26</v>
      </c>
      <c r="J447">
        <v>65.209999999999994</v>
      </c>
      <c r="K447" t="s">
        <v>46</v>
      </c>
      <c r="L447">
        <v>0.1</v>
      </c>
    </row>
    <row r="448" spans="1:12" x14ac:dyDescent="0.25">
      <c r="A448" t="s">
        <v>589</v>
      </c>
      <c r="B448">
        <v>50</v>
      </c>
      <c r="C448" s="1">
        <v>45894.671840277777</v>
      </c>
      <c r="D448" t="s">
        <v>43</v>
      </c>
      <c r="E448" t="s">
        <v>44</v>
      </c>
      <c r="F448" t="s">
        <v>45</v>
      </c>
      <c r="G448">
        <v>0</v>
      </c>
      <c r="H448">
        <v>1</v>
      </c>
      <c r="I448">
        <v>25.45</v>
      </c>
      <c r="J448">
        <v>103.94</v>
      </c>
      <c r="L448">
        <v>0</v>
      </c>
    </row>
    <row r="449" spans="1:12" x14ac:dyDescent="0.25">
      <c r="A449" t="s">
        <v>590</v>
      </c>
      <c r="B449">
        <v>113</v>
      </c>
      <c r="C449" s="1">
        <v>45894.698287037027</v>
      </c>
      <c r="D449" t="s">
        <v>89</v>
      </c>
      <c r="E449" t="s">
        <v>90</v>
      </c>
      <c r="F449" t="s">
        <v>52</v>
      </c>
      <c r="G449">
        <v>253</v>
      </c>
      <c r="H449">
        <v>2</v>
      </c>
      <c r="I449">
        <v>90.27</v>
      </c>
      <c r="J449">
        <v>106.56</v>
      </c>
      <c r="K449" t="s">
        <v>60</v>
      </c>
      <c r="L449">
        <v>0.2</v>
      </c>
    </row>
    <row r="450" spans="1:12" x14ac:dyDescent="0.25">
      <c r="A450" t="s">
        <v>591</v>
      </c>
      <c r="B450">
        <v>129</v>
      </c>
      <c r="C450" s="1">
        <v>45895.167094907411</v>
      </c>
      <c r="D450" t="s">
        <v>105</v>
      </c>
      <c r="E450" t="s">
        <v>106</v>
      </c>
      <c r="F450" t="s">
        <v>30</v>
      </c>
      <c r="G450">
        <v>2095</v>
      </c>
      <c r="H450">
        <v>1</v>
      </c>
      <c r="I450">
        <v>361.16</v>
      </c>
      <c r="J450">
        <v>645.53</v>
      </c>
      <c r="L450">
        <v>0</v>
      </c>
    </row>
    <row r="451" spans="1:12" x14ac:dyDescent="0.25">
      <c r="A451" t="s">
        <v>592</v>
      </c>
      <c r="B451">
        <v>20</v>
      </c>
      <c r="C451" s="1">
        <v>45895.365381944437</v>
      </c>
      <c r="D451" t="s">
        <v>89</v>
      </c>
      <c r="E451" t="s">
        <v>90</v>
      </c>
      <c r="F451" t="s">
        <v>52</v>
      </c>
      <c r="G451">
        <v>316</v>
      </c>
      <c r="H451">
        <v>2</v>
      </c>
      <c r="I451">
        <v>60.55</v>
      </c>
      <c r="J451">
        <v>163.97</v>
      </c>
      <c r="K451" t="s">
        <v>60</v>
      </c>
      <c r="L451">
        <v>0.2</v>
      </c>
    </row>
    <row r="452" spans="1:12" x14ac:dyDescent="0.25">
      <c r="A452" t="s">
        <v>593</v>
      </c>
      <c r="B452">
        <v>97</v>
      </c>
      <c r="C452" s="1">
        <v>45895.578136574077</v>
      </c>
      <c r="D452" t="s">
        <v>123</v>
      </c>
      <c r="E452" t="s">
        <v>124</v>
      </c>
      <c r="F452" t="s">
        <v>45</v>
      </c>
      <c r="G452">
        <v>0</v>
      </c>
      <c r="H452">
        <v>3</v>
      </c>
      <c r="I452">
        <v>191.72</v>
      </c>
      <c r="J452">
        <v>432</v>
      </c>
      <c r="L452">
        <v>0</v>
      </c>
    </row>
    <row r="453" spans="1:12" x14ac:dyDescent="0.25">
      <c r="A453" t="s">
        <v>594</v>
      </c>
      <c r="B453">
        <v>69</v>
      </c>
      <c r="C453" s="1">
        <v>45895.727731481478</v>
      </c>
      <c r="D453" t="s">
        <v>66</v>
      </c>
      <c r="E453" t="s">
        <v>67</v>
      </c>
      <c r="F453" t="s">
        <v>52</v>
      </c>
      <c r="G453">
        <v>203</v>
      </c>
      <c r="H453">
        <v>3</v>
      </c>
      <c r="I453">
        <v>39.880000000000003</v>
      </c>
      <c r="J453">
        <v>137.22</v>
      </c>
      <c r="L453">
        <v>0</v>
      </c>
    </row>
    <row r="454" spans="1:12" x14ac:dyDescent="0.25">
      <c r="A454" t="s">
        <v>595</v>
      </c>
      <c r="B454">
        <v>101</v>
      </c>
      <c r="C454" s="1">
        <v>45896.868645833332</v>
      </c>
      <c r="D454" t="s">
        <v>58</v>
      </c>
      <c r="E454" t="s">
        <v>59</v>
      </c>
      <c r="F454" t="s">
        <v>30</v>
      </c>
      <c r="G454">
        <v>4832</v>
      </c>
      <c r="H454">
        <v>2</v>
      </c>
      <c r="I454">
        <v>387.14</v>
      </c>
      <c r="J454">
        <v>591.39</v>
      </c>
      <c r="L454">
        <v>0</v>
      </c>
    </row>
    <row r="455" spans="1:12" x14ac:dyDescent="0.25">
      <c r="A455" t="s">
        <v>596</v>
      </c>
      <c r="B455">
        <v>139</v>
      </c>
      <c r="C455" s="1">
        <v>45897.026331018518</v>
      </c>
      <c r="D455" t="s">
        <v>43</v>
      </c>
      <c r="E455" t="s">
        <v>44</v>
      </c>
      <c r="F455" t="s">
        <v>45</v>
      </c>
      <c r="G455">
        <v>0</v>
      </c>
      <c r="H455">
        <v>3</v>
      </c>
      <c r="I455">
        <v>35.36</v>
      </c>
      <c r="J455">
        <v>75.180000000000007</v>
      </c>
      <c r="L455">
        <v>0</v>
      </c>
    </row>
    <row r="456" spans="1:12" x14ac:dyDescent="0.25">
      <c r="A456" t="s">
        <v>597</v>
      </c>
      <c r="B456">
        <v>185</v>
      </c>
      <c r="C456" s="1">
        <v>45897.068298611113</v>
      </c>
      <c r="D456" t="s">
        <v>177</v>
      </c>
      <c r="E456" t="s">
        <v>178</v>
      </c>
      <c r="F456" t="s">
        <v>116</v>
      </c>
      <c r="G456">
        <v>0</v>
      </c>
      <c r="H456">
        <v>3</v>
      </c>
      <c r="I456">
        <v>237.18</v>
      </c>
      <c r="J456">
        <v>375.82</v>
      </c>
      <c r="L456">
        <v>0</v>
      </c>
    </row>
    <row r="457" spans="1:12" x14ac:dyDescent="0.25">
      <c r="A457" t="s">
        <v>598</v>
      </c>
      <c r="B457">
        <v>166</v>
      </c>
      <c r="C457" s="1">
        <v>45897.084976851853</v>
      </c>
      <c r="D457" t="s">
        <v>92</v>
      </c>
      <c r="E457" t="s">
        <v>93</v>
      </c>
      <c r="F457" t="s">
        <v>52</v>
      </c>
      <c r="G457">
        <v>280</v>
      </c>
      <c r="H457">
        <v>3</v>
      </c>
      <c r="I457">
        <v>44.15</v>
      </c>
      <c r="J457">
        <v>85.67</v>
      </c>
      <c r="K457" t="s">
        <v>46</v>
      </c>
      <c r="L457">
        <v>0.1</v>
      </c>
    </row>
    <row r="458" spans="1:12" x14ac:dyDescent="0.25">
      <c r="A458" t="s">
        <v>599</v>
      </c>
      <c r="B458">
        <v>117</v>
      </c>
      <c r="C458" s="1">
        <v>45897.242604166669</v>
      </c>
      <c r="D458" t="s">
        <v>71</v>
      </c>
      <c r="E458" t="s">
        <v>72</v>
      </c>
      <c r="F458" t="s">
        <v>52</v>
      </c>
      <c r="G458">
        <v>290</v>
      </c>
      <c r="H458">
        <v>3</v>
      </c>
      <c r="I458">
        <v>45.48</v>
      </c>
      <c r="J458">
        <v>131.63</v>
      </c>
      <c r="K458" t="s">
        <v>60</v>
      </c>
      <c r="L458">
        <v>0.2</v>
      </c>
    </row>
    <row r="459" spans="1:12" x14ac:dyDescent="0.25">
      <c r="A459" t="s">
        <v>600</v>
      </c>
      <c r="B459">
        <v>135</v>
      </c>
      <c r="C459" s="1">
        <v>45897.463784722233</v>
      </c>
      <c r="D459" t="s">
        <v>148</v>
      </c>
      <c r="E459" t="s">
        <v>149</v>
      </c>
      <c r="F459" t="s">
        <v>30</v>
      </c>
      <c r="G459">
        <v>3336</v>
      </c>
      <c r="H459">
        <v>3</v>
      </c>
      <c r="I459">
        <v>345.69</v>
      </c>
      <c r="J459">
        <v>643.45000000000005</v>
      </c>
      <c r="L459">
        <v>0</v>
      </c>
    </row>
    <row r="460" spans="1:12" x14ac:dyDescent="0.25">
      <c r="A460" t="s">
        <v>601</v>
      </c>
      <c r="B460">
        <v>27</v>
      </c>
      <c r="C460" s="1">
        <v>45898.303877314807</v>
      </c>
      <c r="D460" t="s">
        <v>155</v>
      </c>
      <c r="E460" t="s">
        <v>156</v>
      </c>
      <c r="F460" t="s">
        <v>30</v>
      </c>
      <c r="G460">
        <v>4774</v>
      </c>
      <c r="H460">
        <v>2</v>
      </c>
      <c r="I460">
        <v>933.2</v>
      </c>
      <c r="J460">
        <v>1964.44</v>
      </c>
      <c r="L460">
        <v>0</v>
      </c>
    </row>
    <row r="461" spans="1:12" x14ac:dyDescent="0.25">
      <c r="A461" t="s">
        <v>602</v>
      </c>
      <c r="B461">
        <v>178</v>
      </c>
      <c r="C461" s="1">
        <v>45898.811550925922</v>
      </c>
      <c r="D461" t="s">
        <v>71</v>
      </c>
      <c r="E461" t="s">
        <v>72</v>
      </c>
      <c r="F461" t="s">
        <v>52</v>
      </c>
      <c r="G461">
        <v>222</v>
      </c>
      <c r="H461">
        <v>3</v>
      </c>
      <c r="I461">
        <v>49.01</v>
      </c>
      <c r="J461">
        <v>85.55</v>
      </c>
      <c r="L461">
        <v>0</v>
      </c>
    </row>
    <row r="462" spans="1:12" x14ac:dyDescent="0.25">
      <c r="A462" t="s">
        <v>603</v>
      </c>
      <c r="B462">
        <v>140</v>
      </c>
      <c r="C462" s="1">
        <v>45899.091793981483</v>
      </c>
      <c r="D462" t="s">
        <v>95</v>
      </c>
      <c r="E462" t="s">
        <v>96</v>
      </c>
      <c r="F462" t="s">
        <v>52</v>
      </c>
      <c r="G462">
        <v>398</v>
      </c>
      <c r="H462">
        <v>2</v>
      </c>
      <c r="I462">
        <v>38.909999999999997</v>
      </c>
      <c r="J462">
        <v>69.89</v>
      </c>
      <c r="K462" t="s">
        <v>60</v>
      </c>
      <c r="L462">
        <v>0.2</v>
      </c>
    </row>
    <row r="463" spans="1:12" x14ac:dyDescent="0.25">
      <c r="A463" t="s">
        <v>604</v>
      </c>
      <c r="B463">
        <v>63</v>
      </c>
      <c r="C463" s="1">
        <v>45899.442997685182</v>
      </c>
      <c r="D463" t="s">
        <v>86</v>
      </c>
      <c r="E463" t="s">
        <v>87</v>
      </c>
      <c r="F463" t="s">
        <v>45</v>
      </c>
      <c r="G463">
        <v>0</v>
      </c>
      <c r="H463">
        <v>1</v>
      </c>
      <c r="I463">
        <v>77.52</v>
      </c>
      <c r="J463">
        <v>109.7</v>
      </c>
      <c r="L463">
        <v>0</v>
      </c>
    </row>
    <row r="464" spans="1:12" x14ac:dyDescent="0.25">
      <c r="A464" t="s">
        <v>605</v>
      </c>
      <c r="B464">
        <v>135</v>
      </c>
      <c r="C464" s="1">
        <v>45899.54247685185</v>
      </c>
      <c r="D464" t="s">
        <v>28</v>
      </c>
      <c r="E464" t="s">
        <v>29</v>
      </c>
      <c r="F464" t="s">
        <v>30</v>
      </c>
      <c r="G464">
        <v>2735</v>
      </c>
      <c r="H464">
        <v>3</v>
      </c>
      <c r="I464">
        <v>2381.44</v>
      </c>
      <c r="J464">
        <v>3892.08</v>
      </c>
      <c r="L464">
        <v>0</v>
      </c>
    </row>
    <row r="465" spans="1:12" x14ac:dyDescent="0.25">
      <c r="A465" t="s">
        <v>606</v>
      </c>
      <c r="B465">
        <v>130</v>
      </c>
      <c r="C465" s="1">
        <v>45899.795798611107</v>
      </c>
      <c r="D465" t="s">
        <v>123</v>
      </c>
      <c r="E465" t="s">
        <v>124</v>
      </c>
      <c r="F465" t="s">
        <v>45</v>
      </c>
      <c r="G465">
        <v>0</v>
      </c>
      <c r="H465">
        <v>1</v>
      </c>
      <c r="I465">
        <v>237.37</v>
      </c>
      <c r="J465">
        <v>362.05</v>
      </c>
      <c r="K465" t="s">
        <v>60</v>
      </c>
      <c r="L465">
        <v>0.2</v>
      </c>
    </row>
    <row r="466" spans="1:12" x14ac:dyDescent="0.25">
      <c r="A466" t="s">
        <v>607</v>
      </c>
      <c r="B466">
        <v>169</v>
      </c>
      <c r="C466" s="1">
        <v>45899.971250000002</v>
      </c>
      <c r="D466" t="s">
        <v>74</v>
      </c>
      <c r="E466" t="s">
        <v>75</v>
      </c>
      <c r="F466" t="s">
        <v>30</v>
      </c>
      <c r="G466">
        <v>2454</v>
      </c>
      <c r="H466">
        <v>1</v>
      </c>
      <c r="I466">
        <v>2209.41</v>
      </c>
      <c r="J466">
        <v>4077.95</v>
      </c>
      <c r="K466" t="s">
        <v>46</v>
      </c>
      <c r="L466">
        <v>0.1</v>
      </c>
    </row>
    <row r="467" spans="1:12" x14ac:dyDescent="0.25">
      <c r="A467" t="s">
        <v>608</v>
      </c>
      <c r="B467">
        <v>45</v>
      </c>
      <c r="C467" s="1">
        <v>45900.78875</v>
      </c>
      <c r="D467" t="s">
        <v>137</v>
      </c>
      <c r="E467" t="s">
        <v>138</v>
      </c>
      <c r="F467" t="s">
        <v>52</v>
      </c>
      <c r="G467">
        <v>356</v>
      </c>
      <c r="H467">
        <v>1</v>
      </c>
      <c r="I467">
        <v>102.78</v>
      </c>
      <c r="J467">
        <v>244.65</v>
      </c>
      <c r="L467">
        <v>0</v>
      </c>
    </row>
    <row r="468" spans="1:12" x14ac:dyDescent="0.25">
      <c r="A468" t="s">
        <v>609</v>
      </c>
      <c r="B468">
        <v>97</v>
      </c>
      <c r="C468" s="1">
        <v>45900.887094907397</v>
      </c>
      <c r="D468" t="s">
        <v>74</v>
      </c>
      <c r="E468" t="s">
        <v>75</v>
      </c>
      <c r="F468" t="s">
        <v>30</v>
      </c>
      <c r="G468">
        <v>2310</v>
      </c>
      <c r="H468">
        <v>3</v>
      </c>
      <c r="I468">
        <v>2340.36</v>
      </c>
      <c r="J468">
        <v>4013.81</v>
      </c>
      <c r="L468">
        <v>0</v>
      </c>
    </row>
    <row r="469" spans="1:12" x14ac:dyDescent="0.25">
      <c r="A469" t="s">
        <v>610</v>
      </c>
      <c r="B469">
        <v>16</v>
      </c>
      <c r="C469" s="1">
        <v>45901.462696759263</v>
      </c>
      <c r="D469" t="s">
        <v>50</v>
      </c>
      <c r="E469" t="s">
        <v>51</v>
      </c>
      <c r="F469" t="s">
        <v>52</v>
      </c>
      <c r="G469">
        <v>636</v>
      </c>
      <c r="H469">
        <v>1</v>
      </c>
      <c r="I469">
        <v>187.6</v>
      </c>
      <c r="J469">
        <v>250.74</v>
      </c>
      <c r="L469">
        <v>0</v>
      </c>
    </row>
    <row r="470" spans="1:12" x14ac:dyDescent="0.25">
      <c r="A470" t="s">
        <v>611</v>
      </c>
      <c r="B470">
        <v>192</v>
      </c>
      <c r="C470" s="1">
        <v>45902.338321759264</v>
      </c>
      <c r="D470" t="s">
        <v>137</v>
      </c>
      <c r="E470" t="s">
        <v>138</v>
      </c>
      <c r="F470" t="s">
        <v>52</v>
      </c>
      <c r="G470">
        <v>498</v>
      </c>
      <c r="H470">
        <v>3</v>
      </c>
      <c r="I470">
        <v>67.69</v>
      </c>
      <c r="J470">
        <v>161.88999999999999</v>
      </c>
      <c r="L470">
        <v>0</v>
      </c>
    </row>
    <row r="471" spans="1:12" x14ac:dyDescent="0.25">
      <c r="A471" t="s">
        <v>612</v>
      </c>
      <c r="B471">
        <v>127</v>
      </c>
      <c r="C471" s="1">
        <v>45902.455983796302</v>
      </c>
      <c r="D471" t="s">
        <v>86</v>
      </c>
      <c r="E471" t="s">
        <v>87</v>
      </c>
      <c r="F471" t="s">
        <v>45</v>
      </c>
      <c r="G471">
        <v>0</v>
      </c>
      <c r="H471">
        <v>3</v>
      </c>
      <c r="I471">
        <v>42.87</v>
      </c>
      <c r="J471">
        <v>129.54</v>
      </c>
      <c r="K471" t="s">
        <v>46</v>
      </c>
      <c r="L471">
        <v>0.1</v>
      </c>
    </row>
    <row r="472" spans="1:12" x14ac:dyDescent="0.25">
      <c r="A472" t="s">
        <v>613</v>
      </c>
      <c r="B472">
        <v>55</v>
      </c>
      <c r="C472" s="1">
        <v>45902.689872685187</v>
      </c>
      <c r="D472" t="s">
        <v>198</v>
      </c>
      <c r="E472" t="s">
        <v>199</v>
      </c>
      <c r="F472" t="s">
        <v>116</v>
      </c>
      <c r="G472">
        <v>0</v>
      </c>
      <c r="H472">
        <v>3</v>
      </c>
      <c r="I472">
        <v>492.22</v>
      </c>
      <c r="J472">
        <v>674.46</v>
      </c>
      <c r="L472">
        <v>0</v>
      </c>
    </row>
    <row r="473" spans="1:12" x14ac:dyDescent="0.25">
      <c r="A473" t="s">
        <v>614</v>
      </c>
      <c r="B473">
        <v>74</v>
      </c>
      <c r="C473" s="1">
        <v>45902.793912037043</v>
      </c>
      <c r="D473" t="s">
        <v>37</v>
      </c>
      <c r="E473" t="s">
        <v>38</v>
      </c>
      <c r="F473" t="s">
        <v>30</v>
      </c>
      <c r="G473">
        <v>2693</v>
      </c>
      <c r="H473">
        <v>1</v>
      </c>
      <c r="I473">
        <v>564.04</v>
      </c>
      <c r="J473">
        <v>888.6</v>
      </c>
      <c r="K473" t="s">
        <v>46</v>
      </c>
      <c r="L473">
        <v>0.1</v>
      </c>
    </row>
    <row r="474" spans="1:12" x14ac:dyDescent="0.25">
      <c r="A474" t="s">
        <v>615</v>
      </c>
      <c r="B474">
        <v>80</v>
      </c>
      <c r="C474" s="1">
        <v>45903.189664351848</v>
      </c>
      <c r="D474" t="s">
        <v>81</v>
      </c>
      <c r="E474" t="s">
        <v>82</v>
      </c>
      <c r="F474" t="s">
        <v>45</v>
      </c>
      <c r="G474">
        <v>0</v>
      </c>
      <c r="H474">
        <v>2</v>
      </c>
      <c r="I474">
        <v>95.32</v>
      </c>
      <c r="J474">
        <v>113.18</v>
      </c>
      <c r="L474">
        <v>0</v>
      </c>
    </row>
    <row r="475" spans="1:12" x14ac:dyDescent="0.25">
      <c r="A475" t="s">
        <v>616</v>
      </c>
      <c r="B475">
        <v>192</v>
      </c>
      <c r="C475" s="1">
        <v>45903.386770833327</v>
      </c>
      <c r="D475" t="s">
        <v>155</v>
      </c>
      <c r="E475" t="s">
        <v>156</v>
      </c>
      <c r="F475" t="s">
        <v>30</v>
      </c>
      <c r="G475">
        <v>4848</v>
      </c>
      <c r="H475">
        <v>1</v>
      </c>
      <c r="I475">
        <v>400.51</v>
      </c>
      <c r="J475">
        <v>1477.42</v>
      </c>
      <c r="K475" t="s">
        <v>46</v>
      </c>
      <c r="L475">
        <v>0.1</v>
      </c>
    </row>
    <row r="476" spans="1:12" x14ac:dyDescent="0.25">
      <c r="A476" t="s">
        <v>617</v>
      </c>
      <c r="B476">
        <v>19</v>
      </c>
      <c r="C476" s="1">
        <v>45903.404456018521</v>
      </c>
      <c r="D476" t="s">
        <v>155</v>
      </c>
      <c r="E476" t="s">
        <v>156</v>
      </c>
      <c r="F476" t="s">
        <v>30</v>
      </c>
      <c r="G476">
        <v>3565</v>
      </c>
      <c r="H476">
        <v>2</v>
      </c>
      <c r="I476">
        <v>443.37</v>
      </c>
      <c r="J476">
        <v>1133.81</v>
      </c>
      <c r="K476" t="s">
        <v>46</v>
      </c>
      <c r="L476">
        <v>0.1</v>
      </c>
    </row>
    <row r="477" spans="1:12" x14ac:dyDescent="0.25">
      <c r="A477" t="s">
        <v>618</v>
      </c>
      <c r="B477">
        <v>158</v>
      </c>
      <c r="C477" s="1">
        <v>45903.474606481483</v>
      </c>
      <c r="D477" t="s">
        <v>50</v>
      </c>
      <c r="E477" t="s">
        <v>51</v>
      </c>
      <c r="F477" t="s">
        <v>52</v>
      </c>
      <c r="G477">
        <v>742</v>
      </c>
      <c r="H477">
        <v>1</v>
      </c>
      <c r="I477">
        <v>186.9</v>
      </c>
      <c r="J477">
        <v>336.3</v>
      </c>
      <c r="L477">
        <v>0</v>
      </c>
    </row>
    <row r="478" spans="1:12" x14ac:dyDescent="0.25">
      <c r="A478" t="s">
        <v>619</v>
      </c>
      <c r="B478">
        <v>62</v>
      </c>
      <c r="C478" s="1">
        <v>45903.950729166667</v>
      </c>
      <c r="D478" t="s">
        <v>164</v>
      </c>
      <c r="E478" t="s">
        <v>165</v>
      </c>
      <c r="F478" t="s">
        <v>116</v>
      </c>
      <c r="G478">
        <v>0</v>
      </c>
      <c r="H478">
        <v>2</v>
      </c>
      <c r="I478">
        <v>379.2</v>
      </c>
      <c r="J478">
        <v>557.78</v>
      </c>
      <c r="K478" t="s">
        <v>46</v>
      </c>
      <c r="L478">
        <v>0.1</v>
      </c>
    </row>
    <row r="479" spans="1:12" x14ac:dyDescent="0.25">
      <c r="A479" t="s">
        <v>620</v>
      </c>
      <c r="B479">
        <v>131</v>
      </c>
      <c r="C479" s="1">
        <v>45904.007453703707</v>
      </c>
      <c r="D479" t="s">
        <v>95</v>
      </c>
      <c r="E479" t="s">
        <v>96</v>
      </c>
      <c r="F479" t="s">
        <v>52</v>
      </c>
      <c r="G479">
        <v>343</v>
      </c>
      <c r="H479">
        <v>3</v>
      </c>
      <c r="I479">
        <v>34.24</v>
      </c>
      <c r="J479">
        <v>57.77</v>
      </c>
      <c r="K479" t="s">
        <v>60</v>
      </c>
      <c r="L479">
        <v>0.2</v>
      </c>
    </row>
    <row r="480" spans="1:12" x14ac:dyDescent="0.25">
      <c r="A480" t="s">
        <v>621</v>
      </c>
      <c r="B480">
        <v>153</v>
      </c>
      <c r="C480" s="1">
        <v>45904.378553240742</v>
      </c>
      <c r="D480" t="s">
        <v>198</v>
      </c>
      <c r="E480" t="s">
        <v>199</v>
      </c>
      <c r="F480" t="s">
        <v>116</v>
      </c>
      <c r="G480">
        <v>0</v>
      </c>
      <c r="H480">
        <v>3</v>
      </c>
      <c r="I480">
        <v>374.28</v>
      </c>
      <c r="J480">
        <v>721.16</v>
      </c>
      <c r="L480">
        <v>0</v>
      </c>
    </row>
    <row r="481" spans="1:12" x14ac:dyDescent="0.25">
      <c r="A481" t="s">
        <v>622</v>
      </c>
      <c r="B481">
        <v>35</v>
      </c>
      <c r="C481" s="1">
        <v>45904.567129629628</v>
      </c>
      <c r="D481" t="s">
        <v>37</v>
      </c>
      <c r="E481" t="s">
        <v>38</v>
      </c>
      <c r="F481" t="s">
        <v>30</v>
      </c>
      <c r="G481">
        <v>2752</v>
      </c>
      <c r="H481">
        <v>3</v>
      </c>
      <c r="I481">
        <v>675.31</v>
      </c>
      <c r="J481">
        <v>1093.75</v>
      </c>
      <c r="K481" t="s">
        <v>60</v>
      </c>
      <c r="L481">
        <v>0.2</v>
      </c>
    </row>
    <row r="482" spans="1:12" x14ac:dyDescent="0.25">
      <c r="A482" t="s">
        <v>623</v>
      </c>
      <c r="B482">
        <v>7</v>
      </c>
      <c r="C482" s="1">
        <v>45904.986168981479</v>
      </c>
      <c r="D482" t="s">
        <v>89</v>
      </c>
      <c r="E482" t="s">
        <v>90</v>
      </c>
      <c r="F482" t="s">
        <v>52</v>
      </c>
      <c r="G482">
        <v>302</v>
      </c>
      <c r="H482">
        <v>1</v>
      </c>
      <c r="I482">
        <v>75.75</v>
      </c>
      <c r="J482">
        <v>179.35</v>
      </c>
      <c r="L482">
        <v>0</v>
      </c>
    </row>
    <row r="483" spans="1:12" x14ac:dyDescent="0.25">
      <c r="A483" t="s">
        <v>624</v>
      </c>
      <c r="B483">
        <v>138</v>
      </c>
      <c r="C483" s="1">
        <v>45905.05945601852</v>
      </c>
      <c r="D483" t="s">
        <v>66</v>
      </c>
      <c r="E483" t="s">
        <v>67</v>
      </c>
      <c r="F483" t="s">
        <v>52</v>
      </c>
      <c r="G483">
        <v>297</v>
      </c>
      <c r="H483">
        <v>2</v>
      </c>
      <c r="I483">
        <v>43.15</v>
      </c>
      <c r="J483">
        <v>98.83</v>
      </c>
      <c r="L483">
        <v>0</v>
      </c>
    </row>
    <row r="484" spans="1:12" x14ac:dyDescent="0.25">
      <c r="A484" t="s">
        <v>625</v>
      </c>
      <c r="B484">
        <v>130</v>
      </c>
      <c r="C484" s="1">
        <v>45905.118726851862</v>
      </c>
      <c r="D484" t="s">
        <v>74</v>
      </c>
      <c r="E484" t="s">
        <v>75</v>
      </c>
      <c r="F484" t="s">
        <v>30</v>
      </c>
      <c r="G484">
        <v>2490</v>
      </c>
      <c r="H484">
        <v>3</v>
      </c>
      <c r="I484">
        <v>2365.63</v>
      </c>
      <c r="J484">
        <v>4969.45</v>
      </c>
      <c r="K484" t="s">
        <v>46</v>
      </c>
      <c r="L484">
        <v>0.1</v>
      </c>
    </row>
    <row r="485" spans="1:12" x14ac:dyDescent="0.25">
      <c r="A485" t="s">
        <v>626</v>
      </c>
      <c r="B485">
        <v>4</v>
      </c>
      <c r="C485" s="1">
        <v>45905.433148148149</v>
      </c>
      <c r="D485" t="s">
        <v>92</v>
      </c>
      <c r="E485" t="s">
        <v>93</v>
      </c>
      <c r="F485" t="s">
        <v>52</v>
      </c>
      <c r="G485">
        <v>229</v>
      </c>
      <c r="H485">
        <v>3</v>
      </c>
      <c r="I485">
        <v>23.45</v>
      </c>
      <c r="J485">
        <v>57.13</v>
      </c>
      <c r="K485" t="s">
        <v>46</v>
      </c>
      <c r="L485">
        <v>0.1</v>
      </c>
    </row>
    <row r="486" spans="1:12" x14ac:dyDescent="0.25">
      <c r="A486" t="s">
        <v>627</v>
      </c>
      <c r="B486">
        <v>141</v>
      </c>
      <c r="C486" s="1">
        <v>45907.744490740741</v>
      </c>
      <c r="D486" t="s">
        <v>81</v>
      </c>
      <c r="E486" t="s">
        <v>82</v>
      </c>
      <c r="F486" t="s">
        <v>45</v>
      </c>
      <c r="G486">
        <v>0</v>
      </c>
      <c r="H486">
        <v>1</v>
      </c>
      <c r="I486">
        <v>58.51</v>
      </c>
      <c r="J486">
        <v>152.15</v>
      </c>
      <c r="L486">
        <v>0</v>
      </c>
    </row>
    <row r="487" spans="1:12" x14ac:dyDescent="0.25">
      <c r="A487" t="s">
        <v>628</v>
      </c>
      <c r="B487">
        <v>12</v>
      </c>
      <c r="C487" s="1">
        <v>45907.753472222219</v>
      </c>
      <c r="D487" t="s">
        <v>50</v>
      </c>
      <c r="E487" t="s">
        <v>51</v>
      </c>
      <c r="F487" t="s">
        <v>52</v>
      </c>
      <c r="G487">
        <v>773</v>
      </c>
      <c r="H487">
        <v>2</v>
      </c>
      <c r="I487">
        <v>177.86</v>
      </c>
      <c r="J487">
        <v>294.54000000000002</v>
      </c>
      <c r="K487" t="s">
        <v>46</v>
      </c>
      <c r="L487">
        <v>0.1</v>
      </c>
    </row>
    <row r="488" spans="1:12" x14ac:dyDescent="0.25">
      <c r="A488" t="s">
        <v>629</v>
      </c>
      <c r="B488">
        <v>112</v>
      </c>
      <c r="C488" s="1">
        <v>45908.693530092591</v>
      </c>
      <c r="D488" t="s">
        <v>92</v>
      </c>
      <c r="E488" t="s">
        <v>93</v>
      </c>
      <c r="F488" t="s">
        <v>52</v>
      </c>
      <c r="G488">
        <v>286</v>
      </c>
      <c r="H488">
        <v>2</v>
      </c>
      <c r="I488">
        <v>32</v>
      </c>
      <c r="J488">
        <v>84.95</v>
      </c>
      <c r="L488">
        <v>0</v>
      </c>
    </row>
    <row r="489" spans="1:12" x14ac:dyDescent="0.25">
      <c r="A489" t="s">
        <v>630</v>
      </c>
      <c r="B489">
        <v>117</v>
      </c>
      <c r="C489" s="1">
        <v>45908.70008101852</v>
      </c>
      <c r="D489" t="s">
        <v>71</v>
      </c>
      <c r="E489" t="s">
        <v>72</v>
      </c>
      <c r="F489" t="s">
        <v>52</v>
      </c>
      <c r="G489">
        <v>296</v>
      </c>
      <c r="H489">
        <v>1</v>
      </c>
      <c r="I489">
        <v>64.010000000000005</v>
      </c>
      <c r="J489">
        <v>85.01</v>
      </c>
      <c r="L489">
        <v>0</v>
      </c>
    </row>
    <row r="490" spans="1:12" x14ac:dyDescent="0.25">
      <c r="A490" t="s">
        <v>631</v>
      </c>
      <c r="B490">
        <v>118</v>
      </c>
      <c r="C490" s="1">
        <v>45908.843912037039</v>
      </c>
      <c r="D490" t="s">
        <v>110</v>
      </c>
      <c r="E490" t="s">
        <v>111</v>
      </c>
      <c r="F490" t="s">
        <v>30</v>
      </c>
      <c r="G490">
        <v>2063</v>
      </c>
      <c r="H490">
        <v>2</v>
      </c>
      <c r="I490">
        <v>1203.48</v>
      </c>
      <c r="J490">
        <v>2184.5100000000002</v>
      </c>
      <c r="L490">
        <v>0</v>
      </c>
    </row>
    <row r="491" spans="1:12" x14ac:dyDescent="0.25">
      <c r="A491" t="s">
        <v>632</v>
      </c>
      <c r="B491">
        <v>31</v>
      </c>
      <c r="C491" s="1">
        <v>45909.09443287037</v>
      </c>
      <c r="D491" t="s">
        <v>71</v>
      </c>
      <c r="E491" t="s">
        <v>72</v>
      </c>
      <c r="F491" t="s">
        <v>52</v>
      </c>
      <c r="G491">
        <v>217</v>
      </c>
      <c r="H491">
        <v>3</v>
      </c>
      <c r="I491">
        <v>32.99</v>
      </c>
      <c r="J491">
        <v>82.7</v>
      </c>
      <c r="L491">
        <v>0</v>
      </c>
    </row>
    <row r="492" spans="1:12" x14ac:dyDescent="0.25">
      <c r="A492" t="s">
        <v>633</v>
      </c>
      <c r="B492">
        <v>26</v>
      </c>
      <c r="C492" s="1">
        <v>45909.223564814813</v>
      </c>
      <c r="D492" t="s">
        <v>164</v>
      </c>
      <c r="E492" t="s">
        <v>165</v>
      </c>
      <c r="F492" t="s">
        <v>116</v>
      </c>
      <c r="G492">
        <v>0</v>
      </c>
      <c r="H492">
        <v>1</v>
      </c>
      <c r="I492">
        <v>217.39</v>
      </c>
      <c r="J492">
        <v>511.02</v>
      </c>
      <c r="L492">
        <v>0</v>
      </c>
    </row>
    <row r="493" spans="1:12" x14ac:dyDescent="0.25">
      <c r="A493" t="s">
        <v>634</v>
      </c>
      <c r="B493">
        <v>114</v>
      </c>
      <c r="C493" s="1">
        <v>45909.323391203703</v>
      </c>
      <c r="D493" t="s">
        <v>198</v>
      </c>
      <c r="E493" t="s">
        <v>199</v>
      </c>
      <c r="F493" t="s">
        <v>116</v>
      </c>
      <c r="G493">
        <v>0</v>
      </c>
      <c r="H493">
        <v>2</v>
      </c>
      <c r="I493">
        <v>318.95999999999998</v>
      </c>
      <c r="J493">
        <v>682.2</v>
      </c>
      <c r="L493">
        <v>0</v>
      </c>
    </row>
    <row r="494" spans="1:12" x14ac:dyDescent="0.25">
      <c r="A494" t="s">
        <v>635</v>
      </c>
      <c r="B494">
        <v>179</v>
      </c>
      <c r="C494" s="1">
        <v>45909.561018518521</v>
      </c>
      <c r="D494" t="s">
        <v>123</v>
      </c>
      <c r="E494" t="s">
        <v>124</v>
      </c>
      <c r="F494" t="s">
        <v>45</v>
      </c>
      <c r="G494">
        <v>0</v>
      </c>
      <c r="H494">
        <v>3</v>
      </c>
      <c r="I494">
        <v>196.61</v>
      </c>
      <c r="J494">
        <v>493.85</v>
      </c>
      <c r="L494">
        <v>0</v>
      </c>
    </row>
    <row r="495" spans="1:12" x14ac:dyDescent="0.25">
      <c r="A495" t="s">
        <v>636</v>
      </c>
      <c r="B495">
        <v>185</v>
      </c>
      <c r="C495" s="1">
        <v>45910.241423611107</v>
      </c>
      <c r="D495" t="s">
        <v>28</v>
      </c>
      <c r="E495" t="s">
        <v>29</v>
      </c>
      <c r="F495" t="s">
        <v>30</v>
      </c>
      <c r="G495">
        <v>2127</v>
      </c>
      <c r="H495">
        <v>3</v>
      </c>
      <c r="I495">
        <v>1948.27</v>
      </c>
      <c r="J495">
        <v>2954.62</v>
      </c>
      <c r="K495" t="s">
        <v>60</v>
      </c>
      <c r="L495">
        <v>0.2</v>
      </c>
    </row>
    <row r="496" spans="1:12" x14ac:dyDescent="0.25">
      <c r="A496" t="s">
        <v>637</v>
      </c>
      <c r="B496">
        <v>146</v>
      </c>
      <c r="C496" s="1">
        <v>45910.470613425918</v>
      </c>
      <c r="D496" t="s">
        <v>58</v>
      </c>
      <c r="E496" t="s">
        <v>59</v>
      </c>
      <c r="F496" t="s">
        <v>30</v>
      </c>
      <c r="G496">
        <v>4256</v>
      </c>
      <c r="H496">
        <v>1</v>
      </c>
      <c r="I496">
        <v>313.79000000000002</v>
      </c>
      <c r="J496">
        <v>446.95</v>
      </c>
      <c r="L496">
        <v>0</v>
      </c>
    </row>
    <row r="497" spans="1:12" x14ac:dyDescent="0.25">
      <c r="A497" t="s">
        <v>638</v>
      </c>
      <c r="B497">
        <v>190</v>
      </c>
      <c r="C497" s="1">
        <v>45910.498900462961</v>
      </c>
      <c r="D497" t="s">
        <v>92</v>
      </c>
      <c r="E497" t="s">
        <v>93</v>
      </c>
      <c r="F497" t="s">
        <v>52</v>
      </c>
      <c r="G497">
        <v>257</v>
      </c>
      <c r="H497">
        <v>1</v>
      </c>
      <c r="I497">
        <v>49.31</v>
      </c>
      <c r="J497">
        <v>84.61</v>
      </c>
      <c r="K497" t="s">
        <v>60</v>
      </c>
      <c r="L497">
        <v>0.2</v>
      </c>
    </row>
    <row r="498" spans="1:12" x14ac:dyDescent="0.25">
      <c r="A498" t="s">
        <v>639</v>
      </c>
      <c r="B498">
        <v>193</v>
      </c>
      <c r="C498" s="1">
        <v>45910.510393518518</v>
      </c>
      <c r="D498" t="s">
        <v>92</v>
      </c>
      <c r="E498" t="s">
        <v>93</v>
      </c>
      <c r="F498" t="s">
        <v>52</v>
      </c>
      <c r="G498">
        <v>295</v>
      </c>
      <c r="H498">
        <v>1</v>
      </c>
      <c r="I498">
        <v>39.9</v>
      </c>
      <c r="J498">
        <v>86.39</v>
      </c>
      <c r="L498">
        <v>0</v>
      </c>
    </row>
    <row r="499" spans="1:12" x14ac:dyDescent="0.25">
      <c r="A499" t="s">
        <v>640</v>
      </c>
      <c r="B499">
        <v>20</v>
      </c>
      <c r="C499" s="1">
        <v>45911.224108796298</v>
      </c>
      <c r="D499" t="s">
        <v>92</v>
      </c>
      <c r="E499" t="s">
        <v>93</v>
      </c>
      <c r="F499" t="s">
        <v>52</v>
      </c>
      <c r="G499">
        <v>210</v>
      </c>
      <c r="H499">
        <v>3</v>
      </c>
      <c r="I499">
        <v>20.59</v>
      </c>
      <c r="J499">
        <v>61.98</v>
      </c>
      <c r="K499" t="s">
        <v>46</v>
      </c>
      <c r="L499">
        <v>0.1</v>
      </c>
    </row>
    <row r="500" spans="1:12" x14ac:dyDescent="0.25">
      <c r="A500" t="s">
        <v>641</v>
      </c>
      <c r="B500">
        <v>9</v>
      </c>
      <c r="C500" s="1">
        <v>45911.771585648137</v>
      </c>
      <c r="D500" t="s">
        <v>95</v>
      </c>
      <c r="E500" t="s">
        <v>96</v>
      </c>
      <c r="F500" t="s">
        <v>52</v>
      </c>
      <c r="G500">
        <v>583</v>
      </c>
      <c r="H500">
        <v>1</v>
      </c>
      <c r="I500">
        <v>18.73</v>
      </c>
      <c r="J500">
        <v>37.06</v>
      </c>
      <c r="K500" t="s">
        <v>46</v>
      </c>
      <c r="L500">
        <v>0.1</v>
      </c>
    </row>
    <row r="501" spans="1:12" x14ac:dyDescent="0.25">
      <c r="A501" t="s">
        <v>642</v>
      </c>
      <c r="B501">
        <v>176</v>
      </c>
      <c r="C501" s="1">
        <v>45912.206134259257</v>
      </c>
      <c r="D501" t="s">
        <v>105</v>
      </c>
      <c r="E501" t="s">
        <v>106</v>
      </c>
      <c r="F501" t="s">
        <v>30</v>
      </c>
      <c r="G501">
        <v>2099</v>
      </c>
      <c r="H501">
        <v>3</v>
      </c>
      <c r="I501">
        <v>355.67</v>
      </c>
      <c r="J501">
        <v>684.32</v>
      </c>
      <c r="L501">
        <v>0</v>
      </c>
    </row>
    <row r="502" spans="1:12" x14ac:dyDescent="0.25">
      <c r="A502" t="s">
        <v>643</v>
      </c>
      <c r="B502">
        <v>106</v>
      </c>
      <c r="C502" s="1">
        <v>45912.303090277783</v>
      </c>
      <c r="D502" t="s">
        <v>110</v>
      </c>
      <c r="E502" t="s">
        <v>111</v>
      </c>
      <c r="F502" t="s">
        <v>30</v>
      </c>
      <c r="G502">
        <v>2063</v>
      </c>
      <c r="H502">
        <v>1</v>
      </c>
      <c r="I502">
        <v>903.51</v>
      </c>
      <c r="J502">
        <v>1900.89</v>
      </c>
      <c r="L502">
        <v>0</v>
      </c>
    </row>
    <row r="503" spans="1:12" x14ac:dyDescent="0.25">
      <c r="A503" t="s">
        <v>644</v>
      </c>
      <c r="B503">
        <v>46</v>
      </c>
      <c r="C503" s="1">
        <v>45912.522824074083</v>
      </c>
      <c r="D503" t="s">
        <v>71</v>
      </c>
      <c r="E503" t="s">
        <v>72</v>
      </c>
      <c r="F503" t="s">
        <v>52</v>
      </c>
      <c r="G503">
        <v>267</v>
      </c>
      <c r="H503">
        <v>1</v>
      </c>
      <c r="I503">
        <v>75.81</v>
      </c>
      <c r="J503">
        <v>120.14</v>
      </c>
      <c r="L503">
        <v>0</v>
      </c>
    </row>
    <row r="504" spans="1:12" x14ac:dyDescent="0.25">
      <c r="A504" t="s">
        <v>645</v>
      </c>
      <c r="B504">
        <v>5</v>
      </c>
      <c r="C504" s="1">
        <v>45913.559166666673</v>
      </c>
      <c r="D504" t="s">
        <v>164</v>
      </c>
      <c r="E504" t="s">
        <v>165</v>
      </c>
      <c r="F504" t="s">
        <v>116</v>
      </c>
      <c r="G504">
        <v>0</v>
      </c>
      <c r="H504">
        <v>3</v>
      </c>
      <c r="I504">
        <v>361.26</v>
      </c>
      <c r="J504">
        <v>535.03</v>
      </c>
      <c r="K504" t="s">
        <v>46</v>
      </c>
      <c r="L504">
        <v>0.1</v>
      </c>
    </row>
    <row r="505" spans="1:12" x14ac:dyDescent="0.25">
      <c r="A505" t="s">
        <v>646</v>
      </c>
      <c r="B505">
        <v>141</v>
      </c>
      <c r="C505" s="1">
        <v>45913.575937499998</v>
      </c>
      <c r="D505" t="s">
        <v>28</v>
      </c>
      <c r="E505" t="s">
        <v>29</v>
      </c>
      <c r="F505" t="s">
        <v>30</v>
      </c>
      <c r="G505">
        <v>2510</v>
      </c>
      <c r="H505">
        <v>2</v>
      </c>
      <c r="I505">
        <v>2009.52</v>
      </c>
      <c r="J505">
        <v>3531.42</v>
      </c>
      <c r="L505">
        <v>0</v>
      </c>
    </row>
    <row r="506" spans="1:12" x14ac:dyDescent="0.25">
      <c r="A506" t="s">
        <v>647</v>
      </c>
      <c r="B506">
        <v>68</v>
      </c>
      <c r="C506" s="1">
        <v>45913.85056712963</v>
      </c>
      <c r="D506" t="s">
        <v>28</v>
      </c>
      <c r="E506" t="s">
        <v>29</v>
      </c>
      <c r="F506" t="s">
        <v>30</v>
      </c>
      <c r="G506">
        <v>2164</v>
      </c>
      <c r="H506">
        <v>2</v>
      </c>
      <c r="I506">
        <v>2205.25</v>
      </c>
      <c r="J506">
        <v>3305.91</v>
      </c>
      <c r="L506">
        <v>0</v>
      </c>
    </row>
    <row r="507" spans="1:12" x14ac:dyDescent="0.25">
      <c r="A507" t="s">
        <v>648</v>
      </c>
      <c r="B507">
        <v>106</v>
      </c>
      <c r="C507" s="1">
        <v>45913.89603009259</v>
      </c>
      <c r="D507" t="s">
        <v>89</v>
      </c>
      <c r="E507" t="s">
        <v>90</v>
      </c>
      <c r="F507" t="s">
        <v>52</v>
      </c>
      <c r="G507">
        <v>220</v>
      </c>
      <c r="H507">
        <v>2</v>
      </c>
      <c r="I507">
        <v>68.900000000000006</v>
      </c>
      <c r="J507">
        <v>84.97</v>
      </c>
      <c r="L507">
        <v>0</v>
      </c>
    </row>
    <row r="508" spans="1:12" x14ac:dyDescent="0.25">
      <c r="A508" t="s">
        <v>649</v>
      </c>
      <c r="B508">
        <v>120</v>
      </c>
      <c r="C508" s="1">
        <v>45914.168715277781</v>
      </c>
      <c r="D508" t="s">
        <v>74</v>
      </c>
      <c r="E508" t="s">
        <v>75</v>
      </c>
      <c r="F508" t="s">
        <v>30</v>
      </c>
      <c r="G508">
        <v>2875</v>
      </c>
      <c r="H508">
        <v>1</v>
      </c>
      <c r="I508">
        <v>2288.94</v>
      </c>
      <c r="J508">
        <v>3511.23</v>
      </c>
      <c r="L508">
        <v>0</v>
      </c>
    </row>
    <row r="509" spans="1:12" x14ac:dyDescent="0.25">
      <c r="A509" t="s">
        <v>650</v>
      </c>
      <c r="B509">
        <v>135</v>
      </c>
      <c r="C509" s="1">
        <v>45914.923148148147</v>
      </c>
      <c r="D509" t="s">
        <v>58</v>
      </c>
      <c r="E509" t="s">
        <v>59</v>
      </c>
      <c r="F509" t="s">
        <v>30</v>
      </c>
      <c r="G509">
        <v>4829</v>
      </c>
      <c r="H509">
        <v>2</v>
      </c>
      <c r="I509">
        <v>214.69</v>
      </c>
      <c r="J509">
        <v>437.7</v>
      </c>
      <c r="L509">
        <v>0</v>
      </c>
    </row>
    <row r="510" spans="1:12" x14ac:dyDescent="0.25">
      <c r="A510" t="s">
        <v>651</v>
      </c>
      <c r="B510">
        <v>123</v>
      </c>
      <c r="C510" s="1">
        <v>45915.413460648153</v>
      </c>
      <c r="D510" t="s">
        <v>66</v>
      </c>
      <c r="E510" t="s">
        <v>67</v>
      </c>
      <c r="F510" t="s">
        <v>52</v>
      </c>
      <c r="G510">
        <v>297</v>
      </c>
      <c r="H510">
        <v>3</v>
      </c>
      <c r="I510">
        <v>65.38</v>
      </c>
      <c r="J510">
        <v>89.87</v>
      </c>
      <c r="L510">
        <v>0</v>
      </c>
    </row>
    <row r="511" spans="1:12" x14ac:dyDescent="0.25">
      <c r="A511" t="s">
        <v>652</v>
      </c>
      <c r="B511">
        <v>6</v>
      </c>
      <c r="C511" s="1">
        <v>45915.423784722218</v>
      </c>
      <c r="D511" t="s">
        <v>155</v>
      </c>
      <c r="E511" t="s">
        <v>156</v>
      </c>
      <c r="F511" t="s">
        <v>30</v>
      </c>
      <c r="G511">
        <v>4046</v>
      </c>
      <c r="H511">
        <v>1</v>
      </c>
      <c r="I511">
        <v>549.24</v>
      </c>
      <c r="J511">
        <v>1503.73</v>
      </c>
      <c r="L511">
        <v>0</v>
      </c>
    </row>
    <row r="512" spans="1:12" x14ac:dyDescent="0.25">
      <c r="A512" t="s">
        <v>653</v>
      </c>
      <c r="B512">
        <v>83</v>
      </c>
      <c r="C512" s="1">
        <v>45915.462719907409</v>
      </c>
      <c r="D512" t="s">
        <v>105</v>
      </c>
      <c r="E512" t="s">
        <v>106</v>
      </c>
      <c r="F512" t="s">
        <v>30</v>
      </c>
      <c r="G512">
        <v>2066</v>
      </c>
      <c r="H512">
        <v>1</v>
      </c>
      <c r="I512">
        <v>286.72000000000003</v>
      </c>
      <c r="J512">
        <v>636.22</v>
      </c>
      <c r="L512">
        <v>0</v>
      </c>
    </row>
    <row r="513" spans="1:12" x14ac:dyDescent="0.25">
      <c r="A513" t="s">
        <v>654</v>
      </c>
      <c r="B513">
        <v>146</v>
      </c>
      <c r="C513" s="1">
        <v>45915.603842592587</v>
      </c>
      <c r="D513" t="s">
        <v>123</v>
      </c>
      <c r="E513" t="s">
        <v>124</v>
      </c>
      <c r="F513" t="s">
        <v>45</v>
      </c>
      <c r="G513">
        <v>0</v>
      </c>
      <c r="H513">
        <v>3</v>
      </c>
      <c r="I513">
        <v>73.31</v>
      </c>
      <c r="J513">
        <v>99.46</v>
      </c>
      <c r="L513">
        <v>0</v>
      </c>
    </row>
    <row r="514" spans="1:12" x14ac:dyDescent="0.25">
      <c r="A514" t="s">
        <v>655</v>
      </c>
      <c r="B514">
        <v>188</v>
      </c>
      <c r="C514" s="1">
        <v>45915.752500000002</v>
      </c>
      <c r="D514" t="s">
        <v>114</v>
      </c>
      <c r="E514" t="s">
        <v>115</v>
      </c>
      <c r="F514" t="s">
        <v>116</v>
      </c>
      <c r="G514">
        <v>0</v>
      </c>
      <c r="H514">
        <v>1</v>
      </c>
      <c r="I514">
        <v>338.85</v>
      </c>
      <c r="J514">
        <v>450.76</v>
      </c>
      <c r="L514">
        <v>0</v>
      </c>
    </row>
    <row r="515" spans="1:12" x14ac:dyDescent="0.25">
      <c r="A515" t="s">
        <v>656</v>
      </c>
      <c r="B515">
        <v>107</v>
      </c>
      <c r="C515" s="1">
        <v>45915.84039351852</v>
      </c>
      <c r="D515" t="s">
        <v>43</v>
      </c>
      <c r="E515" t="s">
        <v>44</v>
      </c>
      <c r="F515" t="s">
        <v>45</v>
      </c>
      <c r="G515">
        <v>0</v>
      </c>
      <c r="H515">
        <v>1</v>
      </c>
      <c r="I515">
        <v>50.61</v>
      </c>
      <c r="J515">
        <v>59.99</v>
      </c>
      <c r="L515">
        <v>0</v>
      </c>
    </row>
    <row r="516" spans="1:12" x14ac:dyDescent="0.25">
      <c r="A516" t="s">
        <v>657</v>
      </c>
      <c r="B516">
        <v>81</v>
      </c>
      <c r="C516" s="1">
        <v>45915.959039351852</v>
      </c>
      <c r="D516" t="s">
        <v>50</v>
      </c>
      <c r="E516" t="s">
        <v>51</v>
      </c>
      <c r="F516" t="s">
        <v>52</v>
      </c>
      <c r="G516">
        <v>635</v>
      </c>
      <c r="H516">
        <v>1</v>
      </c>
      <c r="I516">
        <v>96.23</v>
      </c>
      <c r="J516">
        <v>312.41000000000003</v>
      </c>
      <c r="K516" t="s">
        <v>46</v>
      </c>
      <c r="L516">
        <v>0.1</v>
      </c>
    </row>
    <row r="517" spans="1:12" x14ac:dyDescent="0.25">
      <c r="A517" t="s">
        <v>658</v>
      </c>
      <c r="B517">
        <v>57</v>
      </c>
      <c r="C517" s="1">
        <v>45916.025254629632</v>
      </c>
      <c r="D517" t="s">
        <v>71</v>
      </c>
      <c r="E517" t="s">
        <v>72</v>
      </c>
      <c r="F517" t="s">
        <v>52</v>
      </c>
      <c r="G517">
        <v>235</v>
      </c>
      <c r="H517">
        <v>1</v>
      </c>
      <c r="I517">
        <v>46.82</v>
      </c>
      <c r="J517">
        <v>72</v>
      </c>
      <c r="L517">
        <v>0</v>
      </c>
    </row>
    <row r="518" spans="1:12" x14ac:dyDescent="0.25">
      <c r="A518" t="s">
        <v>659</v>
      </c>
      <c r="B518">
        <v>88</v>
      </c>
      <c r="C518" s="1">
        <v>45916.145787037043</v>
      </c>
      <c r="D518" t="s">
        <v>198</v>
      </c>
      <c r="E518" t="s">
        <v>199</v>
      </c>
      <c r="F518" t="s">
        <v>116</v>
      </c>
      <c r="G518">
        <v>0</v>
      </c>
      <c r="H518">
        <v>1</v>
      </c>
      <c r="I518">
        <v>482.09</v>
      </c>
      <c r="J518">
        <v>591.33000000000004</v>
      </c>
      <c r="L518">
        <v>0</v>
      </c>
    </row>
    <row r="519" spans="1:12" x14ac:dyDescent="0.25">
      <c r="A519" t="s">
        <v>660</v>
      </c>
      <c r="B519">
        <v>84</v>
      </c>
      <c r="C519" s="1">
        <v>45916.195902777778</v>
      </c>
      <c r="D519" t="s">
        <v>74</v>
      </c>
      <c r="E519" t="s">
        <v>75</v>
      </c>
      <c r="F519" t="s">
        <v>30</v>
      </c>
      <c r="G519">
        <v>2680</v>
      </c>
      <c r="H519">
        <v>1</v>
      </c>
      <c r="I519">
        <v>2155.4299999999998</v>
      </c>
      <c r="J519">
        <v>4804.41</v>
      </c>
      <c r="L519">
        <v>0</v>
      </c>
    </row>
    <row r="520" spans="1:12" x14ac:dyDescent="0.25">
      <c r="A520" t="s">
        <v>661</v>
      </c>
      <c r="B520">
        <v>34</v>
      </c>
      <c r="C520" s="1">
        <v>45916.290092592593</v>
      </c>
      <c r="D520" t="s">
        <v>105</v>
      </c>
      <c r="E520" t="s">
        <v>106</v>
      </c>
      <c r="F520" t="s">
        <v>30</v>
      </c>
      <c r="G520">
        <v>2084</v>
      </c>
      <c r="H520">
        <v>2</v>
      </c>
      <c r="I520">
        <v>297.06</v>
      </c>
      <c r="J520">
        <v>372.83</v>
      </c>
      <c r="K520" t="s">
        <v>60</v>
      </c>
      <c r="L520">
        <v>0.2</v>
      </c>
    </row>
    <row r="521" spans="1:12" x14ac:dyDescent="0.25">
      <c r="A521" t="s">
        <v>662</v>
      </c>
      <c r="B521">
        <v>117</v>
      </c>
      <c r="C521" s="1">
        <v>45916.378912037027</v>
      </c>
      <c r="D521" t="s">
        <v>114</v>
      </c>
      <c r="E521" t="s">
        <v>115</v>
      </c>
      <c r="F521" t="s">
        <v>116</v>
      </c>
      <c r="G521">
        <v>0</v>
      </c>
      <c r="H521">
        <v>3</v>
      </c>
      <c r="I521">
        <v>420.3</v>
      </c>
      <c r="J521">
        <v>508.63</v>
      </c>
      <c r="L521">
        <v>0</v>
      </c>
    </row>
    <row r="522" spans="1:12" x14ac:dyDescent="0.25">
      <c r="A522" t="s">
        <v>663</v>
      </c>
      <c r="B522">
        <v>28</v>
      </c>
      <c r="C522" s="1">
        <v>45916.640243055554</v>
      </c>
      <c r="D522" t="s">
        <v>105</v>
      </c>
      <c r="E522" t="s">
        <v>106</v>
      </c>
      <c r="F522" t="s">
        <v>30</v>
      </c>
      <c r="G522">
        <v>2085</v>
      </c>
      <c r="H522">
        <v>2</v>
      </c>
      <c r="I522">
        <v>296.63</v>
      </c>
      <c r="J522">
        <v>529.09</v>
      </c>
      <c r="K522" t="s">
        <v>46</v>
      </c>
      <c r="L522">
        <v>0.1</v>
      </c>
    </row>
    <row r="523" spans="1:12" x14ac:dyDescent="0.25">
      <c r="A523" t="s">
        <v>664</v>
      </c>
      <c r="B523">
        <v>8</v>
      </c>
      <c r="C523" s="1">
        <v>45916.758506944447</v>
      </c>
      <c r="D523" t="s">
        <v>105</v>
      </c>
      <c r="E523" t="s">
        <v>106</v>
      </c>
      <c r="F523" t="s">
        <v>30</v>
      </c>
      <c r="G523">
        <v>2093</v>
      </c>
      <c r="H523">
        <v>2</v>
      </c>
      <c r="I523">
        <v>366.02</v>
      </c>
      <c r="J523">
        <v>567.16999999999996</v>
      </c>
      <c r="L523">
        <v>0</v>
      </c>
    </row>
    <row r="524" spans="1:12" x14ac:dyDescent="0.25">
      <c r="A524" t="s">
        <v>665</v>
      </c>
      <c r="B524">
        <v>62</v>
      </c>
      <c r="C524" s="1">
        <v>45916.884097222217</v>
      </c>
      <c r="D524" t="s">
        <v>114</v>
      </c>
      <c r="E524" t="s">
        <v>115</v>
      </c>
      <c r="F524" t="s">
        <v>116</v>
      </c>
      <c r="G524">
        <v>0</v>
      </c>
      <c r="H524">
        <v>1</v>
      </c>
      <c r="I524">
        <v>251.55</v>
      </c>
      <c r="J524">
        <v>738.95</v>
      </c>
      <c r="K524" t="s">
        <v>60</v>
      </c>
      <c r="L524">
        <v>0.2</v>
      </c>
    </row>
    <row r="525" spans="1:12" x14ac:dyDescent="0.25">
      <c r="A525" t="s">
        <v>666</v>
      </c>
      <c r="B525">
        <v>147</v>
      </c>
      <c r="C525" s="1">
        <v>45916.94672453704</v>
      </c>
      <c r="D525" t="s">
        <v>110</v>
      </c>
      <c r="E525" t="s">
        <v>111</v>
      </c>
      <c r="F525" t="s">
        <v>30</v>
      </c>
      <c r="G525">
        <v>2157</v>
      </c>
      <c r="H525">
        <v>2</v>
      </c>
      <c r="I525">
        <v>1348.22</v>
      </c>
      <c r="J525">
        <v>1835.6</v>
      </c>
      <c r="L525">
        <v>0</v>
      </c>
    </row>
    <row r="526" spans="1:12" x14ac:dyDescent="0.25">
      <c r="A526" t="s">
        <v>667</v>
      </c>
      <c r="B526">
        <v>94</v>
      </c>
      <c r="C526" s="1">
        <v>45917.092592592591</v>
      </c>
      <c r="D526" t="s">
        <v>89</v>
      </c>
      <c r="E526" t="s">
        <v>90</v>
      </c>
      <c r="F526" t="s">
        <v>52</v>
      </c>
      <c r="G526">
        <v>294</v>
      </c>
      <c r="H526">
        <v>3</v>
      </c>
      <c r="I526">
        <v>49.39</v>
      </c>
      <c r="J526">
        <v>154.94</v>
      </c>
      <c r="L526">
        <v>0</v>
      </c>
    </row>
    <row r="527" spans="1:12" x14ac:dyDescent="0.25">
      <c r="A527" t="s">
        <v>668</v>
      </c>
      <c r="B527">
        <v>81</v>
      </c>
      <c r="C527" s="1">
        <v>45917.374814814822</v>
      </c>
      <c r="D527" t="s">
        <v>105</v>
      </c>
      <c r="E527" t="s">
        <v>106</v>
      </c>
      <c r="F527" t="s">
        <v>30</v>
      </c>
      <c r="G527">
        <v>2029</v>
      </c>
      <c r="H527">
        <v>1</v>
      </c>
      <c r="I527">
        <v>380.83</v>
      </c>
      <c r="J527">
        <v>608.23</v>
      </c>
      <c r="L527">
        <v>0</v>
      </c>
    </row>
    <row r="528" spans="1:12" x14ac:dyDescent="0.25">
      <c r="A528" t="s">
        <v>669</v>
      </c>
      <c r="B528">
        <v>180</v>
      </c>
      <c r="C528" s="1">
        <v>45917.828900462962</v>
      </c>
      <c r="D528" t="s">
        <v>123</v>
      </c>
      <c r="E528" t="s">
        <v>124</v>
      </c>
      <c r="F528" t="s">
        <v>45</v>
      </c>
      <c r="G528">
        <v>0</v>
      </c>
      <c r="H528">
        <v>3</v>
      </c>
      <c r="I528">
        <v>58.19</v>
      </c>
      <c r="J528">
        <v>209.27</v>
      </c>
      <c r="K528" t="s">
        <v>46</v>
      </c>
      <c r="L528">
        <v>0.1</v>
      </c>
    </row>
    <row r="529" spans="1:12" x14ac:dyDescent="0.25">
      <c r="A529" t="s">
        <v>670</v>
      </c>
      <c r="B529">
        <v>83</v>
      </c>
      <c r="C529" s="1">
        <v>45918.05736111111</v>
      </c>
      <c r="D529" t="s">
        <v>148</v>
      </c>
      <c r="E529" t="s">
        <v>149</v>
      </c>
      <c r="F529" t="s">
        <v>30</v>
      </c>
      <c r="G529">
        <v>2798</v>
      </c>
      <c r="H529">
        <v>1</v>
      </c>
      <c r="I529">
        <v>399.32</v>
      </c>
      <c r="J529">
        <v>594.58000000000004</v>
      </c>
      <c r="L529">
        <v>0</v>
      </c>
    </row>
    <row r="530" spans="1:12" x14ac:dyDescent="0.25">
      <c r="A530" t="s">
        <v>671</v>
      </c>
      <c r="B530">
        <v>121</v>
      </c>
      <c r="C530" s="1">
        <v>45919.332766203697</v>
      </c>
      <c r="D530" t="s">
        <v>74</v>
      </c>
      <c r="E530" t="s">
        <v>75</v>
      </c>
      <c r="F530" t="s">
        <v>30</v>
      </c>
      <c r="G530">
        <v>2564</v>
      </c>
      <c r="H530">
        <v>3</v>
      </c>
      <c r="I530">
        <v>2284.52</v>
      </c>
      <c r="J530">
        <v>4575.25</v>
      </c>
      <c r="L530">
        <v>0</v>
      </c>
    </row>
    <row r="531" spans="1:12" x14ac:dyDescent="0.25">
      <c r="A531" t="s">
        <v>672</v>
      </c>
      <c r="B531">
        <v>59</v>
      </c>
      <c r="C531" s="1">
        <v>45919.509317129632</v>
      </c>
      <c r="D531" t="s">
        <v>155</v>
      </c>
      <c r="E531" t="s">
        <v>156</v>
      </c>
      <c r="F531" t="s">
        <v>30</v>
      </c>
      <c r="G531">
        <v>4655</v>
      </c>
      <c r="H531">
        <v>1</v>
      </c>
      <c r="I531">
        <v>821.48</v>
      </c>
      <c r="J531">
        <v>1108.6099999999999</v>
      </c>
      <c r="K531" t="s">
        <v>60</v>
      </c>
      <c r="L531">
        <v>0.2</v>
      </c>
    </row>
    <row r="532" spans="1:12" x14ac:dyDescent="0.25">
      <c r="A532" t="s">
        <v>673</v>
      </c>
      <c r="B532">
        <v>43</v>
      </c>
      <c r="C532" s="1">
        <v>45921.226006944453</v>
      </c>
      <c r="D532" t="s">
        <v>37</v>
      </c>
      <c r="E532" t="s">
        <v>38</v>
      </c>
      <c r="F532" t="s">
        <v>30</v>
      </c>
      <c r="G532">
        <v>2015</v>
      </c>
      <c r="H532">
        <v>3</v>
      </c>
      <c r="I532">
        <v>753.99</v>
      </c>
      <c r="J532">
        <v>1246.4100000000001</v>
      </c>
      <c r="L532">
        <v>0</v>
      </c>
    </row>
    <row r="533" spans="1:12" x14ac:dyDescent="0.25">
      <c r="A533" t="s">
        <v>674</v>
      </c>
      <c r="B533">
        <v>126</v>
      </c>
      <c r="C533" s="1">
        <v>45921.467453703714</v>
      </c>
      <c r="D533" t="s">
        <v>105</v>
      </c>
      <c r="E533" t="s">
        <v>106</v>
      </c>
      <c r="F533" t="s">
        <v>30</v>
      </c>
      <c r="G533">
        <v>2075</v>
      </c>
      <c r="H533">
        <v>3</v>
      </c>
      <c r="I533">
        <v>382.35</v>
      </c>
      <c r="J533">
        <v>614.80999999999995</v>
      </c>
      <c r="L533">
        <v>0</v>
      </c>
    </row>
    <row r="534" spans="1:12" x14ac:dyDescent="0.25">
      <c r="A534" t="s">
        <v>675</v>
      </c>
      <c r="B534">
        <v>23</v>
      </c>
      <c r="C534" s="1">
        <v>45921.493055555547</v>
      </c>
      <c r="D534" t="s">
        <v>198</v>
      </c>
      <c r="E534" t="s">
        <v>199</v>
      </c>
      <c r="F534" t="s">
        <v>116</v>
      </c>
      <c r="G534">
        <v>0</v>
      </c>
      <c r="H534">
        <v>2</v>
      </c>
      <c r="I534">
        <v>434.82</v>
      </c>
      <c r="J534">
        <v>787.4</v>
      </c>
      <c r="L534">
        <v>0</v>
      </c>
    </row>
    <row r="535" spans="1:12" x14ac:dyDescent="0.25">
      <c r="A535" t="s">
        <v>676</v>
      </c>
      <c r="B535">
        <v>100</v>
      </c>
      <c r="C535" s="1">
        <v>45922.041724537034</v>
      </c>
      <c r="D535" t="s">
        <v>89</v>
      </c>
      <c r="E535" t="s">
        <v>90</v>
      </c>
      <c r="F535" t="s">
        <v>52</v>
      </c>
      <c r="G535">
        <v>230</v>
      </c>
      <c r="H535">
        <v>3</v>
      </c>
      <c r="I535">
        <v>46.06</v>
      </c>
      <c r="J535">
        <v>112.63</v>
      </c>
      <c r="K535" t="s">
        <v>46</v>
      </c>
      <c r="L535">
        <v>0.1</v>
      </c>
    </row>
    <row r="536" spans="1:12" x14ac:dyDescent="0.25">
      <c r="A536" t="s">
        <v>677</v>
      </c>
      <c r="B536">
        <v>101</v>
      </c>
      <c r="C536" s="1">
        <v>45922.064027777778</v>
      </c>
      <c r="D536" t="s">
        <v>71</v>
      </c>
      <c r="E536" t="s">
        <v>72</v>
      </c>
      <c r="F536" t="s">
        <v>52</v>
      </c>
      <c r="G536">
        <v>349</v>
      </c>
      <c r="H536">
        <v>2</v>
      </c>
      <c r="I536">
        <v>38.96</v>
      </c>
      <c r="J536">
        <v>130.68</v>
      </c>
      <c r="K536" t="s">
        <v>60</v>
      </c>
      <c r="L536">
        <v>0.2</v>
      </c>
    </row>
    <row r="537" spans="1:12" x14ac:dyDescent="0.25">
      <c r="A537" t="s">
        <v>678</v>
      </c>
      <c r="B537">
        <v>148</v>
      </c>
      <c r="C537" s="1">
        <v>45923.960243055553</v>
      </c>
      <c r="D537" t="s">
        <v>74</v>
      </c>
      <c r="E537" t="s">
        <v>75</v>
      </c>
      <c r="F537" t="s">
        <v>30</v>
      </c>
      <c r="G537">
        <v>2287</v>
      </c>
      <c r="H537">
        <v>3</v>
      </c>
      <c r="I537">
        <v>2923.08</v>
      </c>
      <c r="J537">
        <v>3875.72</v>
      </c>
      <c r="L537">
        <v>0</v>
      </c>
    </row>
    <row r="538" spans="1:12" x14ac:dyDescent="0.25">
      <c r="A538" t="s">
        <v>679</v>
      </c>
      <c r="B538">
        <v>158</v>
      </c>
      <c r="C538" s="1">
        <v>45924.29546296296</v>
      </c>
      <c r="D538" t="s">
        <v>123</v>
      </c>
      <c r="E538" t="s">
        <v>124</v>
      </c>
      <c r="F538" t="s">
        <v>45</v>
      </c>
      <c r="G538">
        <v>0</v>
      </c>
      <c r="H538">
        <v>1</v>
      </c>
      <c r="I538">
        <v>66.739999999999995</v>
      </c>
      <c r="J538">
        <v>208.92</v>
      </c>
      <c r="L538">
        <v>0</v>
      </c>
    </row>
    <row r="539" spans="1:12" x14ac:dyDescent="0.25">
      <c r="A539" t="s">
        <v>680</v>
      </c>
      <c r="B539">
        <v>200</v>
      </c>
      <c r="C539" s="1">
        <v>45924.785787037043</v>
      </c>
      <c r="D539" t="s">
        <v>43</v>
      </c>
      <c r="E539" t="s">
        <v>44</v>
      </c>
      <c r="F539" t="s">
        <v>45</v>
      </c>
      <c r="G539">
        <v>0</v>
      </c>
      <c r="H539">
        <v>2</v>
      </c>
      <c r="I539">
        <v>38.74</v>
      </c>
      <c r="J539">
        <v>94.08</v>
      </c>
      <c r="L539">
        <v>0</v>
      </c>
    </row>
    <row r="540" spans="1:12" x14ac:dyDescent="0.25">
      <c r="A540" t="s">
        <v>681</v>
      </c>
      <c r="B540">
        <v>135</v>
      </c>
      <c r="C540" s="1">
        <v>45925.071944444448</v>
      </c>
      <c r="D540" t="s">
        <v>74</v>
      </c>
      <c r="E540" t="s">
        <v>75</v>
      </c>
      <c r="F540" t="s">
        <v>30</v>
      </c>
      <c r="G540">
        <v>2842</v>
      </c>
      <c r="H540">
        <v>2</v>
      </c>
      <c r="I540">
        <v>2596.91</v>
      </c>
      <c r="J540">
        <v>4194.8</v>
      </c>
      <c r="L540">
        <v>0</v>
      </c>
    </row>
    <row r="541" spans="1:12" x14ac:dyDescent="0.25">
      <c r="A541" t="s">
        <v>682</v>
      </c>
      <c r="B541">
        <v>92</v>
      </c>
      <c r="C541" s="1">
        <v>45925.522881944453</v>
      </c>
      <c r="D541" t="s">
        <v>177</v>
      </c>
      <c r="E541" t="s">
        <v>178</v>
      </c>
      <c r="F541" t="s">
        <v>116</v>
      </c>
      <c r="G541">
        <v>0</v>
      </c>
      <c r="H541">
        <v>1</v>
      </c>
      <c r="I541">
        <v>298.95999999999998</v>
      </c>
      <c r="J541">
        <v>347.29</v>
      </c>
      <c r="K541" t="s">
        <v>46</v>
      </c>
      <c r="L541">
        <v>0.1</v>
      </c>
    </row>
    <row r="542" spans="1:12" x14ac:dyDescent="0.25">
      <c r="A542" t="s">
        <v>683</v>
      </c>
      <c r="B542">
        <v>106</v>
      </c>
      <c r="C542" s="1">
        <v>45926.517384259263</v>
      </c>
      <c r="D542" t="s">
        <v>164</v>
      </c>
      <c r="E542" t="s">
        <v>165</v>
      </c>
      <c r="F542" t="s">
        <v>116</v>
      </c>
      <c r="G542">
        <v>0</v>
      </c>
      <c r="H542">
        <v>3</v>
      </c>
      <c r="I542">
        <v>221.47</v>
      </c>
      <c r="J542">
        <v>626.95000000000005</v>
      </c>
      <c r="K542" t="s">
        <v>60</v>
      </c>
      <c r="L542">
        <v>0.2</v>
      </c>
    </row>
    <row r="543" spans="1:12" x14ac:dyDescent="0.25">
      <c r="A543" t="s">
        <v>684</v>
      </c>
      <c r="B543">
        <v>54</v>
      </c>
      <c r="C543" s="1">
        <v>45927.505462962959</v>
      </c>
      <c r="D543" t="s">
        <v>37</v>
      </c>
      <c r="E543" t="s">
        <v>38</v>
      </c>
      <c r="F543" t="s">
        <v>30</v>
      </c>
      <c r="G543">
        <v>2639</v>
      </c>
      <c r="H543">
        <v>3</v>
      </c>
      <c r="I543">
        <v>621.17999999999995</v>
      </c>
      <c r="J543">
        <v>1478.67</v>
      </c>
      <c r="L543">
        <v>0</v>
      </c>
    </row>
    <row r="544" spans="1:12" x14ac:dyDescent="0.25">
      <c r="A544" t="s">
        <v>685</v>
      </c>
      <c r="B544">
        <v>146</v>
      </c>
      <c r="C544" s="1">
        <v>45927.597500000003</v>
      </c>
      <c r="D544" t="s">
        <v>177</v>
      </c>
      <c r="E544" t="s">
        <v>178</v>
      </c>
      <c r="F544" t="s">
        <v>116</v>
      </c>
      <c r="G544">
        <v>0</v>
      </c>
      <c r="H544">
        <v>3</v>
      </c>
      <c r="I544">
        <v>154.66999999999999</v>
      </c>
      <c r="J544">
        <v>583.09</v>
      </c>
      <c r="L544">
        <v>0</v>
      </c>
    </row>
    <row r="545" spans="1:12" x14ac:dyDescent="0.25">
      <c r="A545" t="s">
        <v>686</v>
      </c>
      <c r="B545">
        <v>6</v>
      </c>
      <c r="C545" s="1">
        <v>45927.63076388889</v>
      </c>
      <c r="D545" t="s">
        <v>92</v>
      </c>
      <c r="E545" t="s">
        <v>93</v>
      </c>
      <c r="F545" t="s">
        <v>52</v>
      </c>
      <c r="G545">
        <v>249</v>
      </c>
      <c r="H545">
        <v>2</v>
      </c>
      <c r="I545">
        <v>57.05</v>
      </c>
      <c r="J545">
        <v>111.37</v>
      </c>
      <c r="K545" t="s">
        <v>60</v>
      </c>
      <c r="L545">
        <v>0.2</v>
      </c>
    </row>
    <row r="546" spans="1:12" x14ac:dyDescent="0.25">
      <c r="A546" t="s">
        <v>687</v>
      </c>
      <c r="B546">
        <v>170</v>
      </c>
      <c r="C546" s="1">
        <v>45928.782719907409</v>
      </c>
      <c r="D546" t="s">
        <v>50</v>
      </c>
      <c r="E546" t="s">
        <v>51</v>
      </c>
      <c r="F546" t="s">
        <v>52</v>
      </c>
      <c r="G546">
        <v>758</v>
      </c>
      <c r="H546">
        <v>2</v>
      </c>
      <c r="I546">
        <v>105.91</v>
      </c>
      <c r="J546">
        <v>174.35</v>
      </c>
      <c r="L546">
        <v>0</v>
      </c>
    </row>
    <row r="547" spans="1:12" x14ac:dyDescent="0.25">
      <c r="A547" t="s">
        <v>688</v>
      </c>
      <c r="B547">
        <v>84</v>
      </c>
      <c r="C547" s="1">
        <v>45928.878229166658</v>
      </c>
      <c r="D547" t="s">
        <v>105</v>
      </c>
      <c r="E547" t="s">
        <v>106</v>
      </c>
      <c r="F547" t="s">
        <v>30</v>
      </c>
      <c r="G547">
        <v>2086</v>
      </c>
      <c r="H547">
        <v>3</v>
      </c>
      <c r="I547">
        <v>218.72</v>
      </c>
      <c r="J547">
        <v>541.79</v>
      </c>
      <c r="K547" t="s">
        <v>60</v>
      </c>
      <c r="L547">
        <v>0.2</v>
      </c>
    </row>
    <row r="548" spans="1:12" x14ac:dyDescent="0.25">
      <c r="A548" t="s">
        <v>689</v>
      </c>
      <c r="B548">
        <v>66</v>
      </c>
      <c r="C548" s="1">
        <v>45929.305324074077</v>
      </c>
      <c r="D548" t="s">
        <v>43</v>
      </c>
      <c r="E548" t="s">
        <v>44</v>
      </c>
      <c r="F548" t="s">
        <v>45</v>
      </c>
      <c r="G548">
        <v>0</v>
      </c>
      <c r="H548">
        <v>3</v>
      </c>
      <c r="I548">
        <v>42.22</v>
      </c>
      <c r="J548">
        <v>121.74</v>
      </c>
      <c r="K548" t="s">
        <v>60</v>
      </c>
      <c r="L548">
        <v>0.2</v>
      </c>
    </row>
    <row r="549" spans="1:12" x14ac:dyDescent="0.25">
      <c r="A549" t="s">
        <v>690</v>
      </c>
      <c r="B549">
        <v>40</v>
      </c>
      <c r="C549" s="1">
        <v>45929.461840277778</v>
      </c>
      <c r="D549" t="s">
        <v>66</v>
      </c>
      <c r="E549" t="s">
        <v>67</v>
      </c>
      <c r="F549" t="s">
        <v>52</v>
      </c>
      <c r="G549">
        <v>216</v>
      </c>
      <c r="H549">
        <v>1</v>
      </c>
      <c r="I549">
        <v>54.55</v>
      </c>
      <c r="J549">
        <v>91.95</v>
      </c>
      <c r="L549">
        <v>0</v>
      </c>
    </row>
    <row r="550" spans="1:12" x14ac:dyDescent="0.25">
      <c r="A550" t="s">
        <v>691</v>
      </c>
      <c r="B550">
        <v>145</v>
      </c>
      <c r="C550" s="1">
        <v>45929.922881944447</v>
      </c>
      <c r="D550" t="s">
        <v>28</v>
      </c>
      <c r="E550" t="s">
        <v>29</v>
      </c>
      <c r="F550" t="s">
        <v>30</v>
      </c>
      <c r="G550">
        <v>2166</v>
      </c>
      <c r="H550">
        <v>2</v>
      </c>
      <c r="I550">
        <v>1602.59</v>
      </c>
      <c r="J550">
        <v>3258.89</v>
      </c>
      <c r="K550" t="s">
        <v>46</v>
      </c>
      <c r="L550">
        <v>0.1</v>
      </c>
    </row>
    <row r="551" spans="1:12" x14ac:dyDescent="0.25">
      <c r="A551" t="s">
        <v>692</v>
      </c>
      <c r="B551">
        <v>100</v>
      </c>
      <c r="C551" s="1">
        <v>45930.515046296299</v>
      </c>
      <c r="D551" t="s">
        <v>58</v>
      </c>
      <c r="E551" t="s">
        <v>59</v>
      </c>
      <c r="F551" t="s">
        <v>30</v>
      </c>
      <c r="G551">
        <v>4318</v>
      </c>
      <c r="H551">
        <v>2</v>
      </c>
      <c r="I551">
        <v>297.27</v>
      </c>
      <c r="J551">
        <v>480.02</v>
      </c>
      <c r="L551">
        <v>0</v>
      </c>
    </row>
    <row r="552" spans="1:12" x14ac:dyDescent="0.25">
      <c r="A552" t="s">
        <v>693</v>
      </c>
      <c r="B552">
        <v>58</v>
      </c>
      <c r="C552" s="1">
        <v>45931.095717592587</v>
      </c>
      <c r="D552" t="s">
        <v>105</v>
      </c>
      <c r="E552" t="s">
        <v>106</v>
      </c>
      <c r="F552" t="s">
        <v>30</v>
      </c>
      <c r="G552">
        <v>2038</v>
      </c>
      <c r="H552">
        <v>1</v>
      </c>
      <c r="I552">
        <v>305.89999999999998</v>
      </c>
      <c r="J552">
        <v>600.73</v>
      </c>
      <c r="L552">
        <v>0</v>
      </c>
    </row>
    <row r="553" spans="1:12" x14ac:dyDescent="0.25">
      <c r="A553" t="s">
        <v>694</v>
      </c>
      <c r="B553">
        <v>172</v>
      </c>
      <c r="C553" s="1">
        <v>45931.206458333327</v>
      </c>
      <c r="D553" t="s">
        <v>177</v>
      </c>
      <c r="E553" t="s">
        <v>178</v>
      </c>
      <c r="F553" t="s">
        <v>116</v>
      </c>
      <c r="G553">
        <v>0</v>
      </c>
      <c r="H553">
        <v>3</v>
      </c>
      <c r="I553">
        <v>239.87</v>
      </c>
      <c r="J553">
        <v>589.78</v>
      </c>
      <c r="L553">
        <v>0</v>
      </c>
    </row>
    <row r="554" spans="1:12" x14ac:dyDescent="0.25">
      <c r="A554" t="s">
        <v>695</v>
      </c>
      <c r="B554">
        <v>127</v>
      </c>
      <c r="C554" s="1">
        <v>45931.574467592603</v>
      </c>
      <c r="D554" t="s">
        <v>155</v>
      </c>
      <c r="E554" t="s">
        <v>156</v>
      </c>
      <c r="F554" t="s">
        <v>30</v>
      </c>
      <c r="G554">
        <v>3858</v>
      </c>
      <c r="H554">
        <v>2</v>
      </c>
      <c r="I554">
        <v>920.44</v>
      </c>
      <c r="J554">
        <v>1159.23</v>
      </c>
      <c r="L554">
        <v>0</v>
      </c>
    </row>
    <row r="555" spans="1:12" x14ac:dyDescent="0.25">
      <c r="A555" t="s">
        <v>696</v>
      </c>
      <c r="B555">
        <v>149</v>
      </c>
      <c r="C555" s="1">
        <v>45931.955787037034</v>
      </c>
      <c r="D555" t="s">
        <v>74</v>
      </c>
      <c r="E555" t="s">
        <v>75</v>
      </c>
      <c r="F555" t="s">
        <v>30</v>
      </c>
      <c r="G555">
        <v>2404</v>
      </c>
      <c r="H555">
        <v>2</v>
      </c>
      <c r="I555">
        <v>2915.28</v>
      </c>
      <c r="J555">
        <v>4104.63</v>
      </c>
      <c r="K555" t="s">
        <v>46</v>
      </c>
      <c r="L555">
        <v>0.1</v>
      </c>
    </row>
    <row r="556" spans="1:12" x14ac:dyDescent="0.25">
      <c r="A556" t="s">
        <v>697</v>
      </c>
      <c r="B556">
        <v>195</v>
      </c>
      <c r="C556" s="1">
        <v>45931.977361111109</v>
      </c>
      <c r="D556" t="s">
        <v>92</v>
      </c>
      <c r="E556" t="s">
        <v>93</v>
      </c>
      <c r="F556" t="s">
        <v>52</v>
      </c>
      <c r="G556">
        <v>230</v>
      </c>
      <c r="H556">
        <v>2</v>
      </c>
      <c r="I556">
        <v>39.18</v>
      </c>
      <c r="J556">
        <v>46.1</v>
      </c>
      <c r="L556">
        <v>0</v>
      </c>
    </row>
    <row r="557" spans="1:12" x14ac:dyDescent="0.25">
      <c r="A557" t="s">
        <v>698</v>
      </c>
      <c r="B557">
        <v>156</v>
      </c>
      <c r="C557" s="1">
        <v>45932.789074074077</v>
      </c>
      <c r="D557" t="s">
        <v>89</v>
      </c>
      <c r="E557" t="s">
        <v>90</v>
      </c>
      <c r="F557" t="s">
        <v>52</v>
      </c>
      <c r="G557">
        <v>328</v>
      </c>
      <c r="H557">
        <v>3</v>
      </c>
      <c r="I557">
        <v>57.07</v>
      </c>
      <c r="J557">
        <v>181.85</v>
      </c>
      <c r="L557">
        <v>0</v>
      </c>
    </row>
    <row r="558" spans="1:12" x14ac:dyDescent="0.25">
      <c r="A558" t="s">
        <v>699</v>
      </c>
      <c r="B558">
        <v>135</v>
      </c>
      <c r="C558" s="1">
        <v>45933.251666666663</v>
      </c>
      <c r="D558" t="s">
        <v>95</v>
      </c>
      <c r="E558" t="s">
        <v>96</v>
      </c>
      <c r="F558" t="s">
        <v>52</v>
      </c>
      <c r="G558">
        <v>447</v>
      </c>
      <c r="H558">
        <v>3</v>
      </c>
      <c r="I558">
        <v>31.02</v>
      </c>
      <c r="J558">
        <v>37.83</v>
      </c>
      <c r="L558">
        <v>0</v>
      </c>
    </row>
    <row r="559" spans="1:12" x14ac:dyDescent="0.25">
      <c r="A559" t="s">
        <v>700</v>
      </c>
      <c r="B559">
        <v>77</v>
      </c>
      <c r="C559" s="1">
        <v>45933.292060185187</v>
      </c>
      <c r="D559" t="s">
        <v>28</v>
      </c>
      <c r="E559" t="s">
        <v>29</v>
      </c>
      <c r="F559" t="s">
        <v>30</v>
      </c>
      <c r="G559">
        <v>2354</v>
      </c>
      <c r="H559">
        <v>3</v>
      </c>
      <c r="I559">
        <v>1872.58</v>
      </c>
      <c r="J559">
        <v>2271.58</v>
      </c>
      <c r="K559" t="s">
        <v>46</v>
      </c>
      <c r="L559">
        <v>0.1</v>
      </c>
    </row>
    <row r="560" spans="1:12" x14ac:dyDescent="0.25">
      <c r="A560" t="s">
        <v>701</v>
      </c>
      <c r="B560">
        <v>61</v>
      </c>
      <c r="C560" s="1">
        <v>45934.036099537043</v>
      </c>
      <c r="D560" t="s">
        <v>177</v>
      </c>
      <c r="E560" t="s">
        <v>178</v>
      </c>
      <c r="F560" t="s">
        <v>116</v>
      </c>
      <c r="G560">
        <v>0</v>
      </c>
      <c r="H560">
        <v>2</v>
      </c>
      <c r="I560">
        <v>215.92</v>
      </c>
      <c r="J560">
        <v>588.29999999999995</v>
      </c>
      <c r="L560">
        <v>0</v>
      </c>
    </row>
    <row r="561" spans="1:12" x14ac:dyDescent="0.25">
      <c r="A561" t="s">
        <v>702</v>
      </c>
      <c r="B561">
        <v>42</v>
      </c>
      <c r="C561" s="1">
        <v>45934.677129629628</v>
      </c>
      <c r="D561" t="s">
        <v>92</v>
      </c>
      <c r="E561" t="s">
        <v>93</v>
      </c>
      <c r="F561" t="s">
        <v>52</v>
      </c>
      <c r="G561">
        <v>289</v>
      </c>
      <c r="H561">
        <v>1</v>
      </c>
      <c r="I561">
        <v>29.18</v>
      </c>
      <c r="J561">
        <v>106.95</v>
      </c>
      <c r="L561">
        <v>0</v>
      </c>
    </row>
    <row r="562" spans="1:12" x14ac:dyDescent="0.25">
      <c r="A562" t="s">
        <v>703</v>
      </c>
      <c r="B562">
        <v>61</v>
      </c>
      <c r="C562" s="1">
        <v>45935.571076388893</v>
      </c>
      <c r="D562" t="s">
        <v>81</v>
      </c>
      <c r="E562" t="s">
        <v>82</v>
      </c>
      <c r="F562" t="s">
        <v>45</v>
      </c>
      <c r="G562">
        <v>0</v>
      </c>
      <c r="H562">
        <v>3</v>
      </c>
      <c r="I562">
        <v>62.21</v>
      </c>
      <c r="J562">
        <v>108.12</v>
      </c>
      <c r="L562">
        <v>0</v>
      </c>
    </row>
    <row r="563" spans="1:12" x14ac:dyDescent="0.25">
      <c r="A563" t="s">
        <v>704</v>
      </c>
      <c r="B563">
        <v>145</v>
      </c>
      <c r="C563" s="1">
        <v>45936.417233796303</v>
      </c>
      <c r="D563" t="s">
        <v>81</v>
      </c>
      <c r="E563" t="s">
        <v>82</v>
      </c>
      <c r="F563" t="s">
        <v>45</v>
      </c>
      <c r="G563">
        <v>0</v>
      </c>
      <c r="H563">
        <v>3</v>
      </c>
      <c r="I563">
        <v>68.430000000000007</v>
      </c>
      <c r="J563">
        <v>144.37</v>
      </c>
      <c r="K563" t="s">
        <v>60</v>
      </c>
      <c r="L563">
        <v>0.2</v>
      </c>
    </row>
    <row r="564" spans="1:12" x14ac:dyDescent="0.25">
      <c r="A564" t="s">
        <v>705</v>
      </c>
      <c r="B564">
        <v>133</v>
      </c>
      <c r="C564" s="1">
        <v>45936.467523148152</v>
      </c>
      <c r="D564" t="s">
        <v>114</v>
      </c>
      <c r="E564" t="s">
        <v>115</v>
      </c>
      <c r="F564" t="s">
        <v>116</v>
      </c>
      <c r="G564">
        <v>0</v>
      </c>
      <c r="H564">
        <v>3</v>
      </c>
      <c r="I564">
        <v>320.27</v>
      </c>
      <c r="J564">
        <v>370.24</v>
      </c>
      <c r="K564" t="s">
        <v>46</v>
      </c>
      <c r="L564">
        <v>0.1</v>
      </c>
    </row>
    <row r="565" spans="1:12" x14ac:dyDescent="0.25">
      <c r="A565" t="s">
        <v>706</v>
      </c>
      <c r="B565">
        <v>114</v>
      </c>
      <c r="C565" s="1">
        <v>45936.522118055553</v>
      </c>
      <c r="D565" t="s">
        <v>177</v>
      </c>
      <c r="E565" t="s">
        <v>178</v>
      </c>
      <c r="F565" t="s">
        <v>116</v>
      </c>
      <c r="G565">
        <v>0</v>
      </c>
      <c r="H565">
        <v>1</v>
      </c>
      <c r="I565">
        <v>228.93</v>
      </c>
      <c r="J565">
        <v>304.93</v>
      </c>
      <c r="L565">
        <v>0</v>
      </c>
    </row>
    <row r="566" spans="1:12" x14ac:dyDescent="0.25">
      <c r="A566" t="s">
        <v>707</v>
      </c>
      <c r="B566">
        <v>31</v>
      </c>
      <c r="C566" s="1">
        <v>45936.679537037038</v>
      </c>
      <c r="D566" t="s">
        <v>114</v>
      </c>
      <c r="E566" t="s">
        <v>115</v>
      </c>
      <c r="F566" t="s">
        <v>116</v>
      </c>
      <c r="G566">
        <v>0</v>
      </c>
      <c r="H566">
        <v>2</v>
      </c>
      <c r="I566">
        <v>387.77</v>
      </c>
      <c r="J566">
        <v>607.66</v>
      </c>
      <c r="K566" t="s">
        <v>60</v>
      </c>
      <c r="L566">
        <v>0.2</v>
      </c>
    </row>
    <row r="567" spans="1:12" x14ac:dyDescent="0.25">
      <c r="A567" t="s">
        <v>708</v>
      </c>
      <c r="B567">
        <v>52</v>
      </c>
      <c r="C567" s="1">
        <v>45937.643761574072</v>
      </c>
      <c r="D567" t="s">
        <v>86</v>
      </c>
      <c r="E567" t="s">
        <v>87</v>
      </c>
      <c r="F567" t="s">
        <v>45</v>
      </c>
      <c r="G567">
        <v>0</v>
      </c>
      <c r="H567">
        <v>2</v>
      </c>
      <c r="I567">
        <v>66.510000000000005</v>
      </c>
      <c r="J567">
        <v>188.61</v>
      </c>
      <c r="L567">
        <v>0</v>
      </c>
    </row>
    <row r="568" spans="1:12" x14ac:dyDescent="0.25">
      <c r="A568" t="s">
        <v>709</v>
      </c>
      <c r="B568">
        <v>118</v>
      </c>
      <c r="C568" s="1">
        <v>45937.859814814823</v>
      </c>
      <c r="D568" t="s">
        <v>71</v>
      </c>
      <c r="E568" t="s">
        <v>72</v>
      </c>
      <c r="F568" t="s">
        <v>52</v>
      </c>
      <c r="G568">
        <v>204</v>
      </c>
      <c r="H568">
        <v>3</v>
      </c>
      <c r="I568">
        <v>53.52</v>
      </c>
      <c r="J568">
        <v>146.11000000000001</v>
      </c>
      <c r="L568">
        <v>0</v>
      </c>
    </row>
    <row r="569" spans="1:12" x14ac:dyDescent="0.25">
      <c r="A569" t="s">
        <v>710</v>
      </c>
      <c r="B569">
        <v>5</v>
      </c>
      <c r="C569" s="1">
        <v>45937.983414351853</v>
      </c>
      <c r="D569" t="s">
        <v>148</v>
      </c>
      <c r="E569" t="s">
        <v>149</v>
      </c>
      <c r="F569" t="s">
        <v>30</v>
      </c>
      <c r="G569">
        <v>3001</v>
      </c>
      <c r="H569">
        <v>3</v>
      </c>
      <c r="I569">
        <v>391.09</v>
      </c>
      <c r="J569">
        <v>581.29</v>
      </c>
      <c r="K569" t="s">
        <v>46</v>
      </c>
      <c r="L569">
        <v>0.1</v>
      </c>
    </row>
    <row r="570" spans="1:12" x14ac:dyDescent="0.25">
      <c r="A570" t="s">
        <v>711</v>
      </c>
      <c r="B570">
        <v>65</v>
      </c>
      <c r="C570" s="1">
        <v>45938.138495370367</v>
      </c>
      <c r="D570" t="s">
        <v>164</v>
      </c>
      <c r="E570" t="s">
        <v>165</v>
      </c>
      <c r="F570" t="s">
        <v>116</v>
      </c>
      <c r="G570">
        <v>0</v>
      </c>
      <c r="H570">
        <v>2</v>
      </c>
      <c r="I570">
        <v>380.56</v>
      </c>
      <c r="J570">
        <v>722.73</v>
      </c>
      <c r="K570" t="s">
        <v>46</v>
      </c>
      <c r="L570">
        <v>0.1</v>
      </c>
    </row>
    <row r="571" spans="1:12" x14ac:dyDescent="0.25">
      <c r="A571" t="s">
        <v>712</v>
      </c>
      <c r="B571">
        <v>140</v>
      </c>
      <c r="C571" s="1">
        <v>45938.222569444442</v>
      </c>
      <c r="D571" t="s">
        <v>43</v>
      </c>
      <c r="E571" t="s">
        <v>44</v>
      </c>
      <c r="F571" t="s">
        <v>45</v>
      </c>
      <c r="G571">
        <v>0</v>
      </c>
      <c r="H571">
        <v>1</v>
      </c>
      <c r="I571">
        <v>28.28</v>
      </c>
      <c r="J571">
        <v>147.09</v>
      </c>
      <c r="K571" t="s">
        <v>46</v>
      </c>
      <c r="L571">
        <v>0.1</v>
      </c>
    </row>
    <row r="572" spans="1:12" x14ac:dyDescent="0.25">
      <c r="A572" t="s">
        <v>713</v>
      </c>
      <c r="B572">
        <v>27</v>
      </c>
      <c r="C572" s="1">
        <v>45939.64298611111</v>
      </c>
      <c r="D572" t="s">
        <v>28</v>
      </c>
      <c r="E572" t="s">
        <v>29</v>
      </c>
      <c r="F572" t="s">
        <v>30</v>
      </c>
      <c r="G572">
        <v>2005</v>
      </c>
      <c r="H572">
        <v>1</v>
      </c>
      <c r="I572">
        <v>1706.38</v>
      </c>
      <c r="J572">
        <v>3652.88</v>
      </c>
      <c r="L572">
        <v>0</v>
      </c>
    </row>
    <row r="573" spans="1:12" x14ac:dyDescent="0.25">
      <c r="A573" t="s">
        <v>714</v>
      </c>
      <c r="B573">
        <v>62</v>
      </c>
      <c r="C573" s="1">
        <v>45939.744733796288</v>
      </c>
      <c r="D573" t="s">
        <v>164</v>
      </c>
      <c r="E573" t="s">
        <v>165</v>
      </c>
      <c r="F573" t="s">
        <v>116</v>
      </c>
      <c r="G573">
        <v>0</v>
      </c>
      <c r="H573">
        <v>2</v>
      </c>
      <c r="I573">
        <v>307.94</v>
      </c>
      <c r="J573">
        <v>621.84</v>
      </c>
      <c r="K573" t="s">
        <v>46</v>
      </c>
      <c r="L573">
        <v>0.1</v>
      </c>
    </row>
    <row r="574" spans="1:12" x14ac:dyDescent="0.25">
      <c r="A574" t="s">
        <v>715</v>
      </c>
      <c r="B574">
        <v>102</v>
      </c>
      <c r="C574" s="1">
        <v>45940.059548611112</v>
      </c>
      <c r="D574" t="s">
        <v>86</v>
      </c>
      <c r="E574" t="s">
        <v>87</v>
      </c>
      <c r="F574" t="s">
        <v>45</v>
      </c>
      <c r="G574">
        <v>0</v>
      </c>
      <c r="H574">
        <v>1</v>
      </c>
      <c r="I574">
        <v>46.67</v>
      </c>
      <c r="J574">
        <v>81.540000000000006</v>
      </c>
      <c r="L574">
        <v>0</v>
      </c>
    </row>
    <row r="575" spans="1:12" x14ac:dyDescent="0.25">
      <c r="A575" t="s">
        <v>716</v>
      </c>
      <c r="B575">
        <v>167</v>
      </c>
      <c r="C575" s="1">
        <v>45940.231550925928</v>
      </c>
      <c r="D575" t="s">
        <v>86</v>
      </c>
      <c r="E575" t="s">
        <v>87</v>
      </c>
      <c r="F575" t="s">
        <v>45</v>
      </c>
      <c r="G575">
        <v>0</v>
      </c>
      <c r="H575">
        <v>2</v>
      </c>
      <c r="I575">
        <v>55.72</v>
      </c>
      <c r="J575">
        <v>181.84</v>
      </c>
      <c r="L575">
        <v>0</v>
      </c>
    </row>
    <row r="576" spans="1:12" x14ac:dyDescent="0.25">
      <c r="A576" t="s">
        <v>717</v>
      </c>
      <c r="B576">
        <v>37</v>
      </c>
      <c r="C576" s="1">
        <v>45941.109965277778</v>
      </c>
      <c r="D576" t="s">
        <v>105</v>
      </c>
      <c r="E576" t="s">
        <v>106</v>
      </c>
      <c r="F576" t="s">
        <v>30</v>
      </c>
      <c r="G576">
        <v>2085</v>
      </c>
      <c r="H576">
        <v>2</v>
      </c>
      <c r="I576">
        <v>262.13</v>
      </c>
      <c r="J576">
        <v>515.02</v>
      </c>
      <c r="L576">
        <v>0</v>
      </c>
    </row>
    <row r="577" spans="1:12" x14ac:dyDescent="0.25">
      <c r="A577" t="s">
        <v>718</v>
      </c>
      <c r="B577">
        <v>49</v>
      </c>
      <c r="C577" s="1">
        <v>45941.570115740738</v>
      </c>
      <c r="D577" t="s">
        <v>92</v>
      </c>
      <c r="E577" t="s">
        <v>93</v>
      </c>
      <c r="F577" t="s">
        <v>52</v>
      </c>
      <c r="G577">
        <v>247</v>
      </c>
      <c r="H577">
        <v>2</v>
      </c>
      <c r="I577">
        <v>27.46</v>
      </c>
      <c r="J577">
        <v>84.85</v>
      </c>
      <c r="K577" t="s">
        <v>60</v>
      </c>
      <c r="L577">
        <v>0.2</v>
      </c>
    </row>
    <row r="578" spans="1:12" x14ac:dyDescent="0.25">
      <c r="A578" t="s">
        <v>719</v>
      </c>
      <c r="B578">
        <v>164</v>
      </c>
      <c r="C578" s="1">
        <v>45942.364293981482</v>
      </c>
      <c r="D578" t="s">
        <v>37</v>
      </c>
      <c r="E578" t="s">
        <v>38</v>
      </c>
      <c r="F578" t="s">
        <v>30</v>
      </c>
      <c r="G578">
        <v>2017</v>
      </c>
      <c r="H578">
        <v>1</v>
      </c>
      <c r="I578">
        <v>461.14</v>
      </c>
      <c r="J578">
        <v>1136.54</v>
      </c>
      <c r="L578">
        <v>0</v>
      </c>
    </row>
    <row r="579" spans="1:12" x14ac:dyDescent="0.25">
      <c r="A579" t="s">
        <v>720</v>
      </c>
      <c r="B579">
        <v>87</v>
      </c>
      <c r="C579" s="1">
        <v>45942.761145833327</v>
      </c>
      <c r="D579" t="s">
        <v>110</v>
      </c>
      <c r="E579" t="s">
        <v>111</v>
      </c>
      <c r="F579" t="s">
        <v>30</v>
      </c>
      <c r="G579">
        <v>2004</v>
      </c>
      <c r="H579">
        <v>1</v>
      </c>
      <c r="I579">
        <v>957.23</v>
      </c>
      <c r="J579">
        <v>2280.79</v>
      </c>
      <c r="L579">
        <v>0</v>
      </c>
    </row>
    <row r="580" spans="1:12" x14ac:dyDescent="0.25">
      <c r="A580" t="s">
        <v>721</v>
      </c>
      <c r="B580">
        <v>193</v>
      </c>
      <c r="C580" s="1">
        <v>45943.031446759262</v>
      </c>
      <c r="D580" t="s">
        <v>123</v>
      </c>
      <c r="E580" t="s">
        <v>124</v>
      </c>
      <c r="F580" t="s">
        <v>45</v>
      </c>
      <c r="G580">
        <v>0</v>
      </c>
      <c r="H580">
        <v>1</v>
      </c>
      <c r="I580">
        <v>215.79</v>
      </c>
      <c r="J580">
        <v>271.52999999999997</v>
      </c>
      <c r="L580">
        <v>0</v>
      </c>
    </row>
    <row r="581" spans="1:12" x14ac:dyDescent="0.25">
      <c r="A581" t="s">
        <v>722</v>
      </c>
      <c r="B581">
        <v>168</v>
      </c>
      <c r="C581" s="1">
        <v>45943.182812500003</v>
      </c>
      <c r="D581" t="s">
        <v>164</v>
      </c>
      <c r="E581" t="s">
        <v>165</v>
      </c>
      <c r="F581" t="s">
        <v>116</v>
      </c>
      <c r="G581">
        <v>0</v>
      </c>
      <c r="H581">
        <v>1</v>
      </c>
      <c r="I581">
        <v>410.17</v>
      </c>
      <c r="J581">
        <v>624.34</v>
      </c>
      <c r="K581" t="s">
        <v>60</v>
      </c>
      <c r="L581">
        <v>0.2</v>
      </c>
    </row>
    <row r="582" spans="1:12" x14ac:dyDescent="0.25">
      <c r="A582" t="s">
        <v>723</v>
      </c>
      <c r="B582">
        <v>108</v>
      </c>
      <c r="C582" s="1">
        <v>45944.071226851847</v>
      </c>
      <c r="D582" t="s">
        <v>95</v>
      </c>
      <c r="E582" t="s">
        <v>96</v>
      </c>
      <c r="F582" t="s">
        <v>52</v>
      </c>
      <c r="G582">
        <v>598</v>
      </c>
      <c r="H582">
        <v>2</v>
      </c>
      <c r="I582">
        <v>47.5</v>
      </c>
      <c r="J582">
        <v>64.52</v>
      </c>
      <c r="K582" t="s">
        <v>46</v>
      </c>
      <c r="L582">
        <v>0.1</v>
      </c>
    </row>
    <row r="583" spans="1:12" x14ac:dyDescent="0.25">
      <c r="A583" t="s">
        <v>724</v>
      </c>
      <c r="B583">
        <v>135</v>
      </c>
      <c r="C583" s="1">
        <v>45944.142766203702</v>
      </c>
      <c r="D583" t="s">
        <v>137</v>
      </c>
      <c r="E583" t="s">
        <v>138</v>
      </c>
      <c r="F583" t="s">
        <v>52</v>
      </c>
      <c r="G583">
        <v>336</v>
      </c>
      <c r="H583">
        <v>2</v>
      </c>
      <c r="I583">
        <v>118.84</v>
      </c>
      <c r="J583">
        <v>198.47</v>
      </c>
      <c r="L583">
        <v>0</v>
      </c>
    </row>
    <row r="584" spans="1:12" x14ac:dyDescent="0.25">
      <c r="A584" t="s">
        <v>725</v>
      </c>
      <c r="B584">
        <v>85</v>
      </c>
      <c r="C584" s="1">
        <v>45944.310370370367</v>
      </c>
      <c r="D584" t="s">
        <v>148</v>
      </c>
      <c r="E584" t="s">
        <v>149</v>
      </c>
      <c r="F584" t="s">
        <v>30</v>
      </c>
      <c r="G584">
        <v>2669</v>
      </c>
      <c r="H584">
        <v>2</v>
      </c>
      <c r="I584">
        <v>569.66999999999996</v>
      </c>
      <c r="J584">
        <v>969.87</v>
      </c>
      <c r="L584">
        <v>0</v>
      </c>
    </row>
    <row r="585" spans="1:12" x14ac:dyDescent="0.25">
      <c r="A585" t="s">
        <v>726</v>
      </c>
      <c r="B585">
        <v>130</v>
      </c>
      <c r="C585" s="1">
        <v>45944.344988425917</v>
      </c>
      <c r="D585" t="s">
        <v>105</v>
      </c>
      <c r="E585" t="s">
        <v>106</v>
      </c>
      <c r="F585" t="s">
        <v>30</v>
      </c>
      <c r="G585">
        <v>2089</v>
      </c>
      <c r="H585">
        <v>1</v>
      </c>
      <c r="I585">
        <v>399.97</v>
      </c>
      <c r="J585">
        <v>614.88</v>
      </c>
      <c r="L585">
        <v>0</v>
      </c>
    </row>
    <row r="586" spans="1:12" x14ac:dyDescent="0.25">
      <c r="A586" t="s">
        <v>727</v>
      </c>
      <c r="B586">
        <v>110</v>
      </c>
      <c r="C586" s="1">
        <v>45944.379629629628</v>
      </c>
      <c r="D586" t="s">
        <v>177</v>
      </c>
      <c r="E586" t="s">
        <v>178</v>
      </c>
      <c r="F586" t="s">
        <v>116</v>
      </c>
      <c r="G586">
        <v>0</v>
      </c>
      <c r="H586">
        <v>1</v>
      </c>
      <c r="I586">
        <v>278.95999999999998</v>
      </c>
      <c r="J586">
        <v>339.9</v>
      </c>
      <c r="K586" t="s">
        <v>60</v>
      </c>
      <c r="L586">
        <v>0.2</v>
      </c>
    </row>
    <row r="587" spans="1:12" x14ac:dyDescent="0.25">
      <c r="A587" t="s">
        <v>728</v>
      </c>
      <c r="B587">
        <v>72</v>
      </c>
      <c r="C587" s="1">
        <v>45944.482071759259</v>
      </c>
      <c r="D587" t="s">
        <v>66</v>
      </c>
      <c r="E587" t="s">
        <v>67</v>
      </c>
      <c r="F587" t="s">
        <v>52</v>
      </c>
      <c r="G587">
        <v>220</v>
      </c>
      <c r="H587">
        <v>2</v>
      </c>
      <c r="I587">
        <v>32.619999999999997</v>
      </c>
      <c r="J587">
        <v>133.63999999999999</v>
      </c>
      <c r="L587">
        <v>0</v>
      </c>
    </row>
    <row r="588" spans="1:12" x14ac:dyDescent="0.25">
      <c r="A588" t="s">
        <v>729</v>
      </c>
      <c r="B588">
        <v>34</v>
      </c>
      <c r="C588" s="1">
        <v>45944.755694444437</v>
      </c>
      <c r="D588" t="s">
        <v>164</v>
      </c>
      <c r="E588" t="s">
        <v>165</v>
      </c>
      <c r="F588" t="s">
        <v>116</v>
      </c>
      <c r="G588">
        <v>0</v>
      </c>
      <c r="H588">
        <v>2</v>
      </c>
      <c r="I588">
        <v>392.78</v>
      </c>
      <c r="J588">
        <v>745.38</v>
      </c>
      <c r="L588">
        <v>0</v>
      </c>
    </row>
    <row r="589" spans="1:12" x14ac:dyDescent="0.25">
      <c r="A589" t="s">
        <v>730</v>
      </c>
      <c r="B589">
        <v>37</v>
      </c>
      <c r="C589" s="1">
        <v>45944.977835648147</v>
      </c>
      <c r="D589" t="s">
        <v>198</v>
      </c>
      <c r="E589" t="s">
        <v>199</v>
      </c>
      <c r="F589" t="s">
        <v>116</v>
      </c>
      <c r="G589">
        <v>0</v>
      </c>
      <c r="H589">
        <v>3</v>
      </c>
      <c r="I589">
        <v>411.9</v>
      </c>
      <c r="J589">
        <v>657.03</v>
      </c>
      <c r="L589">
        <v>0</v>
      </c>
    </row>
    <row r="590" spans="1:12" x14ac:dyDescent="0.25">
      <c r="A590" t="s">
        <v>731</v>
      </c>
      <c r="B590">
        <v>23</v>
      </c>
      <c r="C590" s="1">
        <v>45945.36954861111</v>
      </c>
      <c r="D590" t="s">
        <v>86</v>
      </c>
      <c r="E590" t="s">
        <v>87</v>
      </c>
      <c r="F590" t="s">
        <v>45</v>
      </c>
      <c r="G590">
        <v>0</v>
      </c>
      <c r="H590">
        <v>1</v>
      </c>
      <c r="I590">
        <v>94.56</v>
      </c>
      <c r="J590">
        <v>135.11000000000001</v>
      </c>
      <c r="L590">
        <v>0</v>
      </c>
    </row>
    <row r="591" spans="1:12" x14ac:dyDescent="0.25">
      <c r="A591" t="s">
        <v>732</v>
      </c>
      <c r="B591">
        <v>120</v>
      </c>
      <c r="C591" s="1">
        <v>45945.771493055552</v>
      </c>
      <c r="D591" t="s">
        <v>37</v>
      </c>
      <c r="E591" t="s">
        <v>38</v>
      </c>
      <c r="F591" t="s">
        <v>30</v>
      </c>
      <c r="G591">
        <v>2116</v>
      </c>
      <c r="H591">
        <v>3</v>
      </c>
      <c r="I591">
        <v>601.11</v>
      </c>
      <c r="J591">
        <v>1026.28</v>
      </c>
      <c r="L591">
        <v>0</v>
      </c>
    </row>
    <row r="592" spans="1:12" x14ac:dyDescent="0.25">
      <c r="A592" t="s">
        <v>733</v>
      </c>
      <c r="B592">
        <v>89</v>
      </c>
      <c r="C592" s="1">
        <v>45946.215324074074</v>
      </c>
      <c r="D592" t="s">
        <v>137</v>
      </c>
      <c r="E592" t="s">
        <v>138</v>
      </c>
      <c r="F592" t="s">
        <v>52</v>
      </c>
      <c r="G592">
        <v>486</v>
      </c>
      <c r="H592">
        <v>2</v>
      </c>
      <c r="I592">
        <v>62.78</v>
      </c>
      <c r="J592">
        <v>213.95</v>
      </c>
      <c r="L592">
        <v>0</v>
      </c>
    </row>
    <row r="593" spans="1:12" x14ac:dyDescent="0.25">
      <c r="A593" t="s">
        <v>734</v>
      </c>
      <c r="B593">
        <v>4</v>
      </c>
      <c r="C593" s="1">
        <v>45946.874201388891</v>
      </c>
      <c r="D593" t="s">
        <v>86</v>
      </c>
      <c r="E593" t="s">
        <v>87</v>
      </c>
      <c r="F593" t="s">
        <v>45</v>
      </c>
      <c r="G593">
        <v>0</v>
      </c>
      <c r="H593">
        <v>1</v>
      </c>
      <c r="I593">
        <v>53.55</v>
      </c>
      <c r="J593">
        <v>99.96</v>
      </c>
      <c r="K593" t="s">
        <v>60</v>
      </c>
      <c r="L593">
        <v>0.2</v>
      </c>
    </row>
    <row r="594" spans="1:12" x14ac:dyDescent="0.25">
      <c r="A594" t="s">
        <v>735</v>
      </c>
      <c r="B594">
        <v>57</v>
      </c>
      <c r="C594" s="1">
        <v>45947.049988425933</v>
      </c>
      <c r="D594" t="s">
        <v>43</v>
      </c>
      <c r="E594" t="s">
        <v>44</v>
      </c>
      <c r="F594" t="s">
        <v>45</v>
      </c>
      <c r="G594">
        <v>0</v>
      </c>
      <c r="H594">
        <v>1</v>
      </c>
      <c r="I594">
        <v>60.73</v>
      </c>
      <c r="J594">
        <v>98.6</v>
      </c>
      <c r="K594" t="s">
        <v>60</v>
      </c>
      <c r="L594">
        <v>0.2</v>
      </c>
    </row>
    <row r="595" spans="1:12" x14ac:dyDescent="0.25">
      <c r="A595" t="s">
        <v>736</v>
      </c>
      <c r="B595">
        <v>161</v>
      </c>
      <c r="C595" s="1">
        <v>45947.089907407397</v>
      </c>
      <c r="D595" t="s">
        <v>28</v>
      </c>
      <c r="E595" t="s">
        <v>29</v>
      </c>
      <c r="F595" t="s">
        <v>30</v>
      </c>
      <c r="G595">
        <v>2691</v>
      </c>
      <c r="H595">
        <v>3</v>
      </c>
      <c r="I595">
        <v>2398.2199999999998</v>
      </c>
      <c r="J595">
        <v>3423.17</v>
      </c>
      <c r="K595" t="s">
        <v>60</v>
      </c>
      <c r="L595">
        <v>0.2</v>
      </c>
    </row>
    <row r="596" spans="1:12" x14ac:dyDescent="0.25">
      <c r="A596" t="s">
        <v>737</v>
      </c>
      <c r="B596">
        <v>148</v>
      </c>
      <c r="C596" s="1">
        <v>45948.912962962961</v>
      </c>
      <c r="D596" t="s">
        <v>50</v>
      </c>
      <c r="E596" t="s">
        <v>51</v>
      </c>
      <c r="F596" t="s">
        <v>52</v>
      </c>
      <c r="G596">
        <v>764</v>
      </c>
      <c r="H596">
        <v>2</v>
      </c>
      <c r="I596">
        <v>82.28</v>
      </c>
      <c r="J596">
        <v>336.54</v>
      </c>
      <c r="L596">
        <v>0</v>
      </c>
    </row>
    <row r="597" spans="1:12" x14ac:dyDescent="0.25">
      <c r="A597" t="s">
        <v>738</v>
      </c>
      <c r="B597">
        <v>126</v>
      </c>
      <c r="C597" s="1">
        <v>45950.154942129629</v>
      </c>
      <c r="D597" t="s">
        <v>155</v>
      </c>
      <c r="E597" t="s">
        <v>156</v>
      </c>
      <c r="F597" t="s">
        <v>30</v>
      </c>
      <c r="G597">
        <v>4847</v>
      </c>
      <c r="H597">
        <v>1</v>
      </c>
      <c r="I597">
        <v>1162.9100000000001</v>
      </c>
      <c r="J597">
        <v>1977.69</v>
      </c>
      <c r="L597">
        <v>0</v>
      </c>
    </row>
    <row r="598" spans="1:12" x14ac:dyDescent="0.25">
      <c r="A598" t="s">
        <v>739</v>
      </c>
      <c r="B598">
        <v>147</v>
      </c>
      <c r="C598" s="1">
        <v>45950.339861111112</v>
      </c>
      <c r="D598" t="s">
        <v>28</v>
      </c>
      <c r="E598" t="s">
        <v>29</v>
      </c>
      <c r="F598" t="s">
        <v>30</v>
      </c>
      <c r="G598">
        <v>2570</v>
      </c>
      <c r="H598">
        <v>3</v>
      </c>
      <c r="I598">
        <v>2381.9499999999998</v>
      </c>
      <c r="J598">
        <v>3566.75</v>
      </c>
      <c r="K598" t="s">
        <v>46</v>
      </c>
      <c r="L598">
        <v>0.1</v>
      </c>
    </row>
    <row r="599" spans="1:12" x14ac:dyDescent="0.25">
      <c r="A599" t="s">
        <v>740</v>
      </c>
      <c r="B599">
        <v>195</v>
      </c>
      <c r="C599" s="1">
        <v>45950.471875000003</v>
      </c>
      <c r="D599" t="s">
        <v>114</v>
      </c>
      <c r="E599" t="s">
        <v>115</v>
      </c>
      <c r="F599" t="s">
        <v>116</v>
      </c>
      <c r="G599">
        <v>0</v>
      </c>
      <c r="H599">
        <v>3</v>
      </c>
      <c r="I599">
        <v>474.04</v>
      </c>
      <c r="J599">
        <v>747.99</v>
      </c>
      <c r="K599" t="s">
        <v>46</v>
      </c>
      <c r="L599">
        <v>0.1</v>
      </c>
    </row>
    <row r="600" spans="1:12" x14ac:dyDescent="0.25">
      <c r="A600" t="s">
        <v>741</v>
      </c>
      <c r="B600">
        <v>58</v>
      </c>
      <c r="C600" s="1">
        <v>45950.961828703701</v>
      </c>
      <c r="D600" t="s">
        <v>37</v>
      </c>
      <c r="E600" t="s">
        <v>38</v>
      </c>
      <c r="F600" t="s">
        <v>30</v>
      </c>
      <c r="G600">
        <v>2171</v>
      </c>
      <c r="H600">
        <v>1</v>
      </c>
      <c r="I600">
        <v>506.86</v>
      </c>
      <c r="J600">
        <v>925</v>
      </c>
      <c r="K600" t="s">
        <v>60</v>
      </c>
      <c r="L600">
        <v>0.2</v>
      </c>
    </row>
    <row r="601" spans="1:12" x14ac:dyDescent="0.25">
      <c r="A601" t="s">
        <v>742</v>
      </c>
      <c r="B601">
        <v>52</v>
      </c>
      <c r="C601" s="1">
        <v>45951.414398148147</v>
      </c>
      <c r="D601" t="s">
        <v>198</v>
      </c>
      <c r="E601" t="s">
        <v>199</v>
      </c>
      <c r="F601" t="s">
        <v>116</v>
      </c>
      <c r="G601">
        <v>0</v>
      </c>
      <c r="H601">
        <v>3</v>
      </c>
      <c r="I601">
        <v>468.64</v>
      </c>
      <c r="J601">
        <v>625.37</v>
      </c>
      <c r="K601" t="s">
        <v>60</v>
      </c>
      <c r="L601">
        <v>0.2</v>
      </c>
    </row>
    <row r="602" spans="1:12" x14ac:dyDescent="0.25">
      <c r="A602" t="s">
        <v>743</v>
      </c>
      <c r="B602">
        <v>70</v>
      </c>
      <c r="C602" s="1">
        <v>45952.016388888893</v>
      </c>
      <c r="D602" t="s">
        <v>66</v>
      </c>
      <c r="E602" t="s">
        <v>67</v>
      </c>
      <c r="F602" t="s">
        <v>52</v>
      </c>
      <c r="G602">
        <v>298</v>
      </c>
      <c r="H602">
        <v>3</v>
      </c>
      <c r="I602">
        <v>32.630000000000003</v>
      </c>
      <c r="J602">
        <v>127.33</v>
      </c>
      <c r="L602">
        <v>0</v>
      </c>
    </row>
    <row r="603" spans="1:12" x14ac:dyDescent="0.25">
      <c r="A603" t="s">
        <v>744</v>
      </c>
      <c r="B603">
        <v>108</v>
      </c>
      <c r="C603" s="1">
        <v>45952.162129629629</v>
      </c>
      <c r="D603" t="s">
        <v>155</v>
      </c>
      <c r="E603" t="s">
        <v>156</v>
      </c>
      <c r="F603" t="s">
        <v>30</v>
      </c>
      <c r="G603">
        <v>4019</v>
      </c>
      <c r="H603">
        <v>1</v>
      </c>
      <c r="I603">
        <v>596.67999999999995</v>
      </c>
      <c r="J603">
        <v>933.32</v>
      </c>
      <c r="L603">
        <v>0</v>
      </c>
    </row>
    <row r="604" spans="1:12" x14ac:dyDescent="0.25">
      <c r="A604" t="s">
        <v>745</v>
      </c>
      <c r="B604">
        <v>125</v>
      </c>
      <c r="C604" s="1">
        <v>45953.094467592593</v>
      </c>
      <c r="D604" t="s">
        <v>58</v>
      </c>
      <c r="E604" t="s">
        <v>59</v>
      </c>
      <c r="F604" t="s">
        <v>30</v>
      </c>
      <c r="G604">
        <v>4530</v>
      </c>
      <c r="H604">
        <v>3</v>
      </c>
      <c r="I604">
        <v>404.95</v>
      </c>
      <c r="J604">
        <v>579.16999999999996</v>
      </c>
      <c r="K604" t="s">
        <v>60</v>
      </c>
      <c r="L604">
        <v>0.2</v>
      </c>
    </row>
    <row r="605" spans="1:12" x14ac:dyDescent="0.25">
      <c r="A605" t="s">
        <v>746</v>
      </c>
      <c r="B605">
        <v>111</v>
      </c>
      <c r="C605" s="1">
        <v>45953.609571759262</v>
      </c>
      <c r="D605" t="s">
        <v>198</v>
      </c>
      <c r="E605" t="s">
        <v>199</v>
      </c>
      <c r="F605" t="s">
        <v>116</v>
      </c>
      <c r="G605">
        <v>0</v>
      </c>
      <c r="H605">
        <v>1</v>
      </c>
      <c r="I605">
        <v>327.05</v>
      </c>
      <c r="J605">
        <v>757.05</v>
      </c>
      <c r="L605">
        <v>0</v>
      </c>
    </row>
    <row r="606" spans="1:12" x14ac:dyDescent="0.25">
      <c r="A606" t="s">
        <v>747</v>
      </c>
      <c r="B606">
        <v>63</v>
      </c>
      <c r="C606" s="1">
        <v>45954.386319444442</v>
      </c>
      <c r="D606" t="s">
        <v>71</v>
      </c>
      <c r="E606" t="s">
        <v>72</v>
      </c>
      <c r="F606" t="s">
        <v>52</v>
      </c>
      <c r="G606">
        <v>254</v>
      </c>
      <c r="H606">
        <v>2</v>
      </c>
      <c r="I606">
        <v>33.86</v>
      </c>
      <c r="J606">
        <v>66.25</v>
      </c>
      <c r="L606">
        <v>0</v>
      </c>
    </row>
    <row r="607" spans="1:12" x14ac:dyDescent="0.25">
      <c r="A607" t="s">
        <v>748</v>
      </c>
      <c r="B607">
        <v>83</v>
      </c>
      <c r="C607" s="1">
        <v>45954.859803240739</v>
      </c>
      <c r="D607" t="s">
        <v>92</v>
      </c>
      <c r="E607" t="s">
        <v>93</v>
      </c>
      <c r="F607" t="s">
        <v>52</v>
      </c>
      <c r="G607">
        <v>231</v>
      </c>
      <c r="H607">
        <v>2</v>
      </c>
      <c r="I607">
        <v>47.44</v>
      </c>
      <c r="J607">
        <v>63.81</v>
      </c>
      <c r="L607">
        <v>0</v>
      </c>
    </row>
    <row r="608" spans="1:12" x14ac:dyDescent="0.25">
      <c r="A608" t="s">
        <v>749</v>
      </c>
      <c r="B608">
        <v>22</v>
      </c>
      <c r="C608" s="1">
        <v>45955.244745370372</v>
      </c>
      <c r="D608" t="s">
        <v>110</v>
      </c>
      <c r="E608" t="s">
        <v>111</v>
      </c>
      <c r="F608" t="s">
        <v>30</v>
      </c>
      <c r="G608">
        <v>2101</v>
      </c>
      <c r="H608">
        <v>2</v>
      </c>
      <c r="I608">
        <v>1446.75</v>
      </c>
      <c r="J608">
        <v>2354.1</v>
      </c>
      <c r="L608">
        <v>0</v>
      </c>
    </row>
    <row r="609" spans="1:12" x14ac:dyDescent="0.25">
      <c r="A609" t="s">
        <v>750</v>
      </c>
      <c r="B609">
        <v>21</v>
      </c>
      <c r="C609" s="1">
        <v>45955.5858912037</v>
      </c>
      <c r="D609" t="s">
        <v>110</v>
      </c>
      <c r="E609" t="s">
        <v>111</v>
      </c>
      <c r="F609" t="s">
        <v>30</v>
      </c>
      <c r="G609">
        <v>2048</v>
      </c>
      <c r="H609">
        <v>2</v>
      </c>
      <c r="I609">
        <v>962.14</v>
      </c>
      <c r="J609">
        <v>2330.61</v>
      </c>
      <c r="L609">
        <v>0</v>
      </c>
    </row>
    <row r="610" spans="1:12" x14ac:dyDescent="0.25">
      <c r="A610" t="s">
        <v>751</v>
      </c>
      <c r="B610">
        <v>184</v>
      </c>
      <c r="C610" s="1">
        <v>45955.623379629629</v>
      </c>
      <c r="D610" t="s">
        <v>95</v>
      </c>
      <c r="E610" t="s">
        <v>96</v>
      </c>
      <c r="F610" t="s">
        <v>52</v>
      </c>
      <c r="G610">
        <v>591</v>
      </c>
      <c r="H610">
        <v>1</v>
      </c>
      <c r="I610">
        <v>42.49</v>
      </c>
      <c r="J610">
        <v>54.86</v>
      </c>
      <c r="K610" t="s">
        <v>46</v>
      </c>
      <c r="L610">
        <v>0.1</v>
      </c>
    </row>
    <row r="611" spans="1:12" x14ac:dyDescent="0.25">
      <c r="A611" t="s">
        <v>752</v>
      </c>
      <c r="B611">
        <v>118</v>
      </c>
      <c r="C611" s="1">
        <v>45955.638657407413</v>
      </c>
      <c r="D611" t="s">
        <v>28</v>
      </c>
      <c r="E611" t="s">
        <v>29</v>
      </c>
      <c r="F611" t="s">
        <v>30</v>
      </c>
      <c r="G611">
        <v>2114</v>
      </c>
      <c r="H611">
        <v>1</v>
      </c>
      <c r="I611">
        <v>2212.64</v>
      </c>
      <c r="J611">
        <v>3269.04</v>
      </c>
      <c r="K611" t="s">
        <v>60</v>
      </c>
      <c r="L611">
        <v>0.2</v>
      </c>
    </row>
    <row r="612" spans="1:12" x14ac:dyDescent="0.25">
      <c r="A612" t="s">
        <v>753</v>
      </c>
      <c r="B612">
        <v>107</v>
      </c>
      <c r="C612" s="1">
        <v>45955.813923611109</v>
      </c>
      <c r="D612" t="s">
        <v>92</v>
      </c>
      <c r="E612" t="s">
        <v>93</v>
      </c>
      <c r="F612" t="s">
        <v>52</v>
      </c>
      <c r="G612">
        <v>276</v>
      </c>
      <c r="H612">
        <v>1</v>
      </c>
      <c r="I612">
        <v>20.420000000000002</v>
      </c>
      <c r="J612">
        <v>81.709999999999994</v>
      </c>
      <c r="K612" t="s">
        <v>60</v>
      </c>
      <c r="L612">
        <v>0.2</v>
      </c>
    </row>
    <row r="613" spans="1:12" x14ac:dyDescent="0.25">
      <c r="A613" t="s">
        <v>754</v>
      </c>
      <c r="B613">
        <v>99</v>
      </c>
      <c r="C613" s="1">
        <v>45956.397129629629</v>
      </c>
      <c r="D613" t="s">
        <v>95</v>
      </c>
      <c r="E613" t="s">
        <v>96</v>
      </c>
      <c r="F613" t="s">
        <v>52</v>
      </c>
      <c r="G613">
        <v>337</v>
      </c>
      <c r="H613">
        <v>3</v>
      </c>
      <c r="I613">
        <v>34.99</v>
      </c>
      <c r="J613">
        <v>97.9</v>
      </c>
      <c r="L613">
        <v>0</v>
      </c>
    </row>
    <row r="614" spans="1:12" x14ac:dyDescent="0.25">
      <c r="A614" t="s">
        <v>755</v>
      </c>
      <c r="B614">
        <v>123</v>
      </c>
      <c r="C614" s="1">
        <v>45956.422835648147</v>
      </c>
      <c r="D614" t="s">
        <v>74</v>
      </c>
      <c r="E614" t="s">
        <v>75</v>
      </c>
      <c r="F614" t="s">
        <v>30</v>
      </c>
      <c r="G614">
        <v>2236</v>
      </c>
      <c r="H614">
        <v>3</v>
      </c>
      <c r="I614">
        <v>2574.73</v>
      </c>
      <c r="J614">
        <v>4446.8599999999997</v>
      </c>
      <c r="L614">
        <v>0</v>
      </c>
    </row>
    <row r="615" spans="1:12" x14ac:dyDescent="0.25">
      <c r="A615" t="s">
        <v>756</v>
      </c>
      <c r="B615">
        <v>99</v>
      </c>
      <c r="C615" s="1">
        <v>45956.528935185182</v>
      </c>
      <c r="D615" t="s">
        <v>114</v>
      </c>
      <c r="E615" t="s">
        <v>115</v>
      </c>
      <c r="F615" t="s">
        <v>116</v>
      </c>
      <c r="G615">
        <v>0</v>
      </c>
      <c r="H615">
        <v>1</v>
      </c>
      <c r="I615">
        <v>476.1</v>
      </c>
      <c r="J615">
        <v>600.04</v>
      </c>
      <c r="L615">
        <v>0</v>
      </c>
    </row>
    <row r="616" spans="1:12" x14ac:dyDescent="0.25">
      <c r="A616" t="s">
        <v>757</v>
      </c>
      <c r="B616">
        <v>161</v>
      </c>
      <c r="C616" s="1">
        <v>45956.532384259262</v>
      </c>
      <c r="D616" t="s">
        <v>148</v>
      </c>
      <c r="E616" t="s">
        <v>149</v>
      </c>
      <c r="F616" t="s">
        <v>30</v>
      </c>
      <c r="G616">
        <v>3438</v>
      </c>
      <c r="H616">
        <v>3</v>
      </c>
      <c r="I616">
        <v>383.25</v>
      </c>
      <c r="J616">
        <v>835.7</v>
      </c>
      <c r="L616">
        <v>0</v>
      </c>
    </row>
    <row r="617" spans="1:12" x14ac:dyDescent="0.25">
      <c r="A617" t="s">
        <v>758</v>
      </c>
      <c r="B617">
        <v>75</v>
      </c>
      <c r="C617" s="1">
        <v>45956.780868055554</v>
      </c>
      <c r="D617" t="s">
        <v>105</v>
      </c>
      <c r="E617" t="s">
        <v>106</v>
      </c>
      <c r="F617" t="s">
        <v>30</v>
      </c>
      <c r="G617">
        <v>2055</v>
      </c>
      <c r="H617">
        <v>1</v>
      </c>
      <c r="I617">
        <v>370.77</v>
      </c>
      <c r="J617">
        <v>500.29</v>
      </c>
      <c r="K617" t="s">
        <v>46</v>
      </c>
      <c r="L617">
        <v>0.1</v>
      </c>
    </row>
    <row r="618" spans="1:12" x14ac:dyDescent="0.25">
      <c r="A618" t="s">
        <v>759</v>
      </c>
      <c r="B618">
        <v>136</v>
      </c>
      <c r="C618" s="1">
        <v>45957.246666666673</v>
      </c>
      <c r="D618" t="s">
        <v>155</v>
      </c>
      <c r="E618" t="s">
        <v>156</v>
      </c>
      <c r="F618" t="s">
        <v>30</v>
      </c>
      <c r="G618">
        <v>4374</v>
      </c>
      <c r="H618">
        <v>1</v>
      </c>
      <c r="I618">
        <v>615.99</v>
      </c>
      <c r="J618">
        <v>1091.21</v>
      </c>
      <c r="L618">
        <v>0</v>
      </c>
    </row>
    <row r="619" spans="1:12" x14ac:dyDescent="0.25">
      <c r="A619" t="s">
        <v>760</v>
      </c>
      <c r="B619">
        <v>1</v>
      </c>
      <c r="C619" s="1">
        <v>45957.445196759261</v>
      </c>
      <c r="D619" t="s">
        <v>137</v>
      </c>
      <c r="E619" t="s">
        <v>138</v>
      </c>
      <c r="F619" t="s">
        <v>52</v>
      </c>
      <c r="G619">
        <v>375</v>
      </c>
      <c r="H619">
        <v>2</v>
      </c>
      <c r="I619">
        <v>80.73</v>
      </c>
      <c r="J619">
        <v>268.57</v>
      </c>
      <c r="L619">
        <v>0</v>
      </c>
    </row>
    <row r="620" spans="1:12" x14ac:dyDescent="0.25">
      <c r="A620" t="s">
        <v>761</v>
      </c>
      <c r="B620">
        <v>85</v>
      </c>
      <c r="C620" s="1">
        <v>45957.662557870368</v>
      </c>
      <c r="D620" t="s">
        <v>105</v>
      </c>
      <c r="E620" t="s">
        <v>106</v>
      </c>
      <c r="F620" t="s">
        <v>30</v>
      </c>
      <c r="G620">
        <v>2074</v>
      </c>
      <c r="H620">
        <v>3</v>
      </c>
      <c r="I620">
        <v>231.77</v>
      </c>
      <c r="J620">
        <v>351.85</v>
      </c>
      <c r="L620">
        <v>0</v>
      </c>
    </row>
    <row r="621" spans="1:12" x14ac:dyDescent="0.25">
      <c r="A621" t="s">
        <v>762</v>
      </c>
      <c r="B621">
        <v>22</v>
      </c>
      <c r="C621" s="1">
        <v>45958.003368055557</v>
      </c>
      <c r="D621" t="s">
        <v>28</v>
      </c>
      <c r="E621" t="s">
        <v>29</v>
      </c>
      <c r="F621" t="s">
        <v>30</v>
      </c>
      <c r="G621">
        <v>2790</v>
      </c>
      <c r="H621">
        <v>3</v>
      </c>
      <c r="I621">
        <v>2080.5100000000002</v>
      </c>
      <c r="J621">
        <v>3370.04</v>
      </c>
      <c r="K621" t="s">
        <v>46</v>
      </c>
      <c r="L621">
        <v>0.1</v>
      </c>
    </row>
    <row r="622" spans="1:12" x14ac:dyDescent="0.25">
      <c r="A622" t="s">
        <v>763</v>
      </c>
      <c r="B622">
        <v>82</v>
      </c>
      <c r="C622" s="1">
        <v>45958.145937499998</v>
      </c>
      <c r="D622" t="s">
        <v>50</v>
      </c>
      <c r="E622" t="s">
        <v>51</v>
      </c>
      <c r="F622" t="s">
        <v>52</v>
      </c>
      <c r="G622">
        <v>722</v>
      </c>
      <c r="H622">
        <v>1</v>
      </c>
      <c r="I622">
        <v>174.44</v>
      </c>
      <c r="J622">
        <v>267.89999999999998</v>
      </c>
      <c r="L622">
        <v>0</v>
      </c>
    </row>
    <row r="623" spans="1:12" x14ac:dyDescent="0.25">
      <c r="A623" t="s">
        <v>764</v>
      </c>
      <c r="B623">
        <v>200</v>
      </c>
      <c r="C623" s="1">
        <v>45958.265914351847</v>
      </c>
      <c r="D623" t="s">
        <v>37</v>
      </c>
      <c r="E623" t="s">
        <v>38</v>
      </c>
      <c r="F623" t="s">
        <v>30</v>
      </c>
      <c r="G623">
        <v>2499</v>
      </c>
      <c r="H623">
        <v>3</v>
      </c>
      <c r="I623">
        <v>673.6</v>
      </c>
      <c r="J623">
        <v>887.94</v>
      </c>
      <c r="L623">
        <v>0</v>
      </c>
    </row>
    <row r="624" spans="1:12" x14ac:dyDescent="0.25">
      <c r="A624" t="s">
        <v>765</v>
      </c>
      <c r="B624">
        <v>11</v>
      </c>
      <c r="C624" s="1">
        <v>45959.562534722223</v>
      </c>
      <c r="D624" t="s">
        <v>92</v>
      </c>
      <c r="E624" t="s">
        <v>93</v>
      </c>
      <c r="F624" t="s">
        <v>52</v>
      </c>
      <c r="G624">
        <v>293</v>
      </c>
      <c r="H624">
        <v>1</v>
      </c>
      <c r="I624">
        <v>42.64</v>
      </c>
      <c r="J624">
        <v>83.56</v>
      </c>
      <c r="K624" t="s">
        <v>60</v>
      </c>
      <c r="L624">
        <v>0.2</v>
      </c>
    </row>
    <row r="625" spans="1:12" x14ac:dyDescent="0.25">
      <c r="A625" t="s">
        <v>766</v>
      </c>
      <c r="B625">
        <v>131</v>
      </c>
      <c r="C625" s="1">
        <v>45959.952951388892</v>
      </c>
      <c r="D625" t="s">
        <v>71</v>
      </c>
      <c r="E625" t="s">
        <v>72</v>
      </c>
      <c r="F625" t="s">
        <v>52</v>
      </c>
      <c r="G625">
        <v>258</v>
      </c>
      <c r="H625">
        <v>1</v>
      </c>
      <c r="I625">
        <v>45.27</v>
      </c>
      <c r="J625">
        <v>148.65</v>
      </c>
      <c r="L625">
        <v>0</v>
      </c>
    </row>
    <row r="626" spans="1:12" x14ac:dyDescent="0.25">
      <c r="A626" t="s">
        <v>767</v>
      </c>
      <c r="B626">
        <v>14</v>
      </c>
      <c r="C626" s="1">
        <v>45961.315787037027</v>
      </c>
      <c r="D626" t="s">
        <v>28</v>
      </c>
      <c r="E626" t="s">
        <v>29</v>
      </c>
      <c r="F626" t="s">
        <v>30</v>
      </c>
      <c r="G626">
        <v>2664</v>
      </c>
      <c r="H626">
        <v>1</v>
      </c>
      <c r="I626">
        <v>2307.81</v>
      </c>
      <c r="J626">
        <v>3491.73</v>
      </c>
      <c r="L626">
        <v>0</v>
      </c>
    </row>
    <row r="627" spans="1:12" x14ac:dyDescent="0.25">
      <c r="A627" t="s">
        <v>768</v>
      </c>
      <c r="B627">
        <v>172</v>
      </c>
      <c r="C627" s="1">
        <v>45961.719421296293</v>
      </c>
      <c r="D627" t="s">
        <v>148</v>
      </c>
      <c r="E627" t="s">
        <v>149</v>
      </c>
      <c r="F627" t="s">
        <v>30</v>
      </c>
      <c r="G627">
        <v>3266</v>
      </c>
      <c r="H627">
        <v>3</v>
      </c>
      <c r="I627">
        <v>337.35</v>
      </c>
      <c r="J627">
        <v>510.53</v>
      </c>
      <c r="L627">
        <v>0</v>
      </c>
    </row>
    <row r="628" spans="1:12" x14ac:dyDescent="0.25">
      <c r="A628" t="s">
        <v>769</v>
      </c>
      <c r="B628">
        <v>140</v>
      </c>
      <c r="C628" s="1">
        <v>45962.073634259257</v>
      </c>
      <c r="D628" t="s">
        <v>66</v>
      </c>
      <c r="E628" t="s">
        <v>67</v>
      </c>
      <c r="F628" t="s">
        <v>52</v>
      </c>
      <c r="G628">
        <v>262</v>
      </c>
      <c r="H628">
        <v>2</v>
      </c>
      <c r="I628">
        <v>75.86</v>
      </c>
      <c r="J628">
        <v>114.21</v>
      </c>
      <c r="K628" t="s">
        <v>46</v>
      </c>
      <c r="L628">
        <v>0.1</v>
      </c>
    </row>
    <row r="629" spans="1:12" x14ac:dyDescent="0.25">
      <c r="A629" t="s">
        <v>770</v>
      </c>
      <c r="B629">
        <v>92</v>
      </c>
      <c r="C629" s="1">
        <v>45962.123472222222</v>
      </c>
      <c r="D629" t="s">
        <v>58</v>
      </c>
      <c r="E629" t="s">
        <v>59</v>
      </c>
      <c r="F629" t="s">
        <v>30</v>
      </c>
      <c r="G629">
        <v>4231</v>
      </c>
      <c r="H629">
        <v>2</v>
      </c>
      <c r="I629">
        <v>355.1</v>
      </c>
      <c r="J629">
        <v>480.36</v>
      </c>
      <c r="K629" t="s">
        <v>60</v>
      </c>
      <c r="L629">
        <v>0.2</v>
      </c>
    </row>
    <row r="630" spans="1:12" x14ac:dyDescent="0.25">
      <c r="A630" t="s">
        <v>771</v>
      </c>
      <c r="B630">
        <v>169</v>
      </c>
      <c r="C630" s="1">
        <v>45962.382303240738</v>
      </c>
      <c r="D630" t="s">
        <v>58</v>
      </c>
      <c r="E630" t="s">
        <v>59</v>
      </c>
      <c r="F630" t="s">
        <v>30</v>
      </c>
      <c r="G630">
        <v>4090</v>
      </c>
      <c r="H630">
        <v>3</v>
      </c>
      <c r="I630">
        <v>349.35</v>
      </c>
      <c r="J630">
        <v>406.54</v>
      </c>
      <c r="L630">
        <v>0</v>
      </c>
    </row>
    <row r="631" spans="1:12" x14ac:dyDescent="0.25">
      <c r="A631" t="s">
        <v>772</v>
      </c>
      <c r="B631">
        <v>89</v>
      </c>
      <c r="C631" s="1">
        <v>45963.599872685183</v>
      </c>
      <c r="D631" t="s">
        <v>155</v>
      </c>
      <c r="E631" t="s">
        <v>156</v>
      </c>
      <c r="F631" t="s">
        <v>30</v>
      </c>
      <c r="G631">
        <v>4550</v>
      </c>
      <c r="H631">
        <v>1</v>
      </c>
      <c r="I631">
        <v>1026.95</v>
      </c>
      <c r="J631">
        <v>1534.61</v>
      </c>
      <c r="K631" t="s">
        <v>60</v>
      </c>
      <c r="L631">
        <v>0.2</v>
      </c>
    </row>
    <row r="632" spans="1:12" x14ac:dyDescent="0.25">
      <c r="A632" t="s">
        <v>773</v>
      </c>
      <c r="B632">
        <v>3</v>
      </c>
      <c r="C632" s="1">
        <v>45963.816087962958</v>
      </c>
      <c r="D632" t="s">
        <v>50</v>
      </c>
      <c r="E632" t="s">
        <v>51</v>
      </c>
      <c r="F632" t="s">
        <v>52</v>
      </c>
      <c r="G632">
        <v>602</v>
      </c>
      <c r="H632">
        <v>2</v>
      </c>
      <c r="I632">
        <v>138.9</v>
      </c>
      <c r="J632">
        <v>182.17</v>
      </c>
      <c r="L632">
        <v>0</v>
      </c>
    </row>
    <row r="633" spans="1:12" x14ac:dyDescent="0.25">
      <c r="A633" t="s">
        <v>774</v>
      </c>
      <c r="B633">
        <v>17</v>
      </c>
      <c r="C633" s="1">
        <v>45963.860694444447</v>
      </c>
      <c r="D633" t="s">
        <v>164</v>
      </c>
      <c r="E633" t="s">
        <v>165</v>
      </c>
      <c r="F633" t="s">
        <v>116</v>
      </c>
      <c r="G633">
        <v>0</v>
      </c>
      <c r="H633">
        <v>2</v>
      </c>
      <c r="I633">
        <v>183.42</v>
      </c>
      <c r="J633">
        <v>355.91</v>
      </c>
      <c r="L633">
        <v>0</v>
      </c>
    </row>
    <row r="634" spans="1:12" x14ac:dyDescent="0.25">
      <c r="A634" t="s">
        <v>775</v>
      </c>
      <c r="B634">
        <v>73</v>
      </c>
      <c r="C634" s="1">
        <v>45963.904861111107</v>
      </c>
      <c r="D634" t="s">
        <v>114</v>
      </c>
      <c r="E634" t="s">
        <v>115</v>
      </c>
      <c r="F634" t="s">
        <v>116</v>
      </c>
      <c r="G634">
        <v>0</v>
      </c>
      <c r="H634">
        <v>3</v>
      </c>
      <c r="I634">
        <v>258.31</v>
      </c>
      <c r="J634">
        <v>739.03</v>
      </c>
      <c r="K634" t="s">
        <v>46</v>
      </c>
      <c r="L634">
        <v>0.1</v>
      </c>
    </row>
    <row r="635" spans="1:12" x14ac:dyDescent="0.25">
      <c r="A635" t="s">
        <v>776</v>
      </c>
      <c r="B635">
        <v>176</v>
      </c>
      <c r="C635" s="1">
        <v>45963.918530092589</v>
      </c>
      <c r="D635" t="s">
        <v>148</v>
      </c>
      <c r="E635" t="s">
        <v>149</v>
      </c>
      <c r="F635" t="s">
        <v>30</v>
      </c>
      <c r="G635">
        <v>3228</v>
      </c>
      <c r="H635">
        <v>1</v>
      </c>
      <c r="I635">
        <v>314.12</v>
      </c>
      <c r="J635">
        <v>598.61</v>
      </c>
      <c r="L635">
        <v>0</v>
      </c>
    </row>
    <row r="636" spans="1:12" x14ac:dyDescent="0.25">
      <c r="A636" t="s">
        <v>777</v>
      </c>
      <c r="B636">
        <v>164</v>
      </c>
      <c r="C636" s="1">
        <v>45964.378576388888</v>
      </c>
      <c r="D636" t="s">
        <v>95</v>
      </c>
      <c r="E636" t="s">
        <v>96</v>
      </c>
      <c r="F636" t="s">
        <v>52</v>
      </c>
      <c r="G636">
        <v>405</v>
      </c>
      <c r="H636">
        <v>1</v>
      </c>
      <c r="I636">
        <v>17.78</v>
      </c>
      <c r="J636">
        <v>81.849999999999994</v>
      </c>
      <c r="L636">
        <v>0</v>
      </c>
    </row>
    <row r="637" spans="1:12" x14ac:dyDescent="0.25">
      <c r="A637" t="s">
        <v>778</v>
      </c>
      <c r="B637">
        <v>36</v>
      </c>
      <c r="C637" s="1">
        <v>45964.442488425928</v>
      </c>
      <c r="D637" t="s">
        <v>71</v>
      </c>
      <c r="E637" t="s">
        <v>72</v>
      </c>
      <c r="F637" t="s">
        <v>52</v>
      </c>
      <c r="G637">
        <v>249</v>
      </c>
      <c r="H637">
        <v>1</v>
      </c>
      <c r="I637">
        <v>60.83</v>
      </c>
      <c r="J637">
        <v>107.71</v>
      </c>
      <c r="L637">
        <v>0</v>
      </c>
    </row>
    <row r="638" spans="1:12" x14ac:dyDescent="0.25">
      <c r="A638" t="s">
        <v>779</v>
      </c>
      <c r="B638">
        <v>63</v>
      </c>
      <c r="C638" s="1">
        <v>45964.56590277778</v>
      </c>
      <c r="D638" t="s">
        <v>74</v>
      </c>
      <c r="E638" t="s">
        <v>75</v>
      </c>
      <c r="F638" t="s">
        <v>30</v>
      </c>
      <c r="G638">
        <v>2756</v>
      </c>
      <c r="H638">
        <v>3</v>
      </c>
      <c r="I638">
        <v>2992.7</v>
      </c>
      <c r="J638">
        <v>4398.9399999999996</v>
      </c>
      <c r="L638">
        <v>0</v>
      </c>
    </row>
    <row r="639" spans="1:12" x14ac:dyDescent="0.25">
      <c r="A639" t="s">
        <v>780</v>
      </c>
      <c r="B639">
        <v>22</v>
      </c>
      <c r="C639" s="1">
        <v>45964.632604166669</v>
      </c>
      <c r="D639" t="s">
        <v>74</v>
      </c>
      <c r="E639" t="s">
        <v>75</v>
      </c>
      <c r="F639" t="s">
        <v>30</v>
      </c>
      <c r="G639">
        <v>2512</v>
      </c>
      <c r="H639">
        <v>2</v>
      </c>
      <c r="I639">
        <v>2617.14</v>
      </c>
      <c r="J639">
        <v>4778.8500000000004</v>
      </c>
      <c r="L639">
        <v>0</v>
      </c>
    </row>
    <row r="640" spans="1:12" x14ac:dyDescent="0.25">
      <c r="A640" t="s">
        <v>781</v>
      </c>
      <c r="B640">
        <v>61</v>
      </c>
      <c r="C640" s="1">
        <v>45965.176076388889</v>
      </c>
      <c r="D640" t="s">
        <v>92</v>
      </c>
      <c r="E640" t="s">
        <v>93</v>
      </c>
      <c r="F640" t="s">
        <v>52</v>
      </c>
      <c r="G640">
        <v>293</v>
      </c>
      <c r="H640">
        <v>3</v>
      </c>
      <c r="I640">
        <v>59.03</v>
      </c>
      <c r="J640">
        <v>115.59</v>
      </c>
      <c r="K640" t="s">
        <v>46</v>
      </c>
      <c r="L640">
        <v>0.1</v>
      </c>
    </row>
    <row r="641" spans="1:12" x14ac:dyDescent="0.25">
      <c r="A641" t="s">
        <v>782</v>
      </c>
      <c r="B641">
        <v>20</v>
      </c>
      <c r="C641" s="1">
        <v>45965.608252314807</v>
      </c>
      <c r="D641" t="s">
        <v>164</v>
      </c>
      <c r="E641" t="s">
        <v>165</v>
      </c>
      <c r="F641" t="s">
        <v>116</v>
      </c>
      <c r="G641">
        <v>0</v>
      </c>
      <c r="H641">
        <v>3</v>
      </c>
      <c r="I641">
        <v>386.77</v>
      </c>
      <c r="J641">
        <v>626.17999999999995</v>
      </c>
      <c r="L641">
        <v>0</v>
      </c>
    </row>
    <row r="642" spans="1:12" x14ac:dyDescent="0.25">
      <c r="A642" t="s">
        <v>783</v>
      </c>
      <c r="B642">
        <v>165</v>
      </c>
      <c r="C642" s="1">
        <v>45965.868333333332</v>
      </c>
      <c r="D642" t="s">
        <v>43</v>
      </c>
      <c r="E642" t="s">
        <v>44</v>
      </c>
      <c r="F642" t="s">
        <v>45</v>
      </c>
      <c r="G642">
        <v>0</v>
      </c>
      <c r="H642">
        <v>1</v>
      </c>
      <c r="I642">
        <v>41.93</v>
      </c>
      <c r="J642">
        <v>83.37</v>
      </c>
      <c r="K642" t="s">
        <v>60</v>
      </c>
      <c r="L642">
        <v>0.2</v>
      </c>
    </row>
    <row r="643" spans="1:12" x14ac:dyDescent="0.25">
      <c r="A643" t="s">
        <v>784</v>
      </c>
      <c r="B643">
        <v>148</v>
      </c>
      <c r="C643" s="1">
        <v>45967.637962962966</v>
      </c>
      <c r="D643" t="s">
        <v>86</v>
      </c>
      <c r="E643" t="s">
        <v>87</v>
      </c>
      <c r="F643" t="s">
        <v>45</v>
      </c>
      <c r="G643">
        <v>0</v>
      </c>
      <c r="H643">
        <v>1</v>
      </c>
      <c r="I643">
        <v>90</v>
      </c>
      <c r="J643">
        <v>143.82</v>
      </c>
      <c r="K643" t="s">
        <v>46</v>
      </c>
      <c r="L643">
        <v>0.1</v>
      </c>
    </row>
    <row r="644" spans="1:12" x14ac:dyDescent="0.25">
      <c r="A644" t="s">
        <v>785</v>
      </c>
      <c r="B644">
        <v>40</v>
      </c>
      <c r="C644" s="1">
        <v>45969.505729166667</v>
      </c>
      <c r="D644" t="s">
        <v>58</v>
      </c>
      <c r="E644" t="s">
        <v>59</v>
      </c>
      <c r="F644" t="s">
        <v>30</v>
      </c>
      <c r="G644">
        <v>4087</v>
      </c>
      <c r="H644">
        <v>3</v>
      </c>
      <c r="I644">
        <v>467.76</v>
      </c>
      <c r="J644">
        <v>582.14</v>
      </c>
      <c r="L644">
        <v>0</v>
      </c>
    </row>
    <row r="645" spans="1:12" x14ac:dyDescent="0.25">
      <c r="A645" t="s">
        <v>786</v>
      </c>
      <c r="B645">
        <v>49</v>
      </c>
      <c r="C645" s="1">
        <v>45969.600023148138</v>
      </c>
      <c r="D645" t="s">
        <v>28</v>
      </c>
      <c r="E645" t="s">
        <v>29</v>
      </c>
      <c r="F645" t="s">
        <v>30</v>
      </c>
      <c r="G645">
        <v>2458</v>
      </c>
      <c r="H645">
        <v>2</v>
      </c>
      <c r="I645">
        <v>1870.52</v>
      </c>
      <c r="J645">
        <v>3189.15</v>
      </c>
      <c r="K645" t="s">
        <v>60</v>
      </c>
      <c r="L645">
        <v>0.2</v>
      </c>
    </row>
    <row r="646" spans="1:12" x14ac:dyDescent="0.25">
      <c r="A646" t="s">
        <v>787</v>
      </c>
      <c r="B646">
        <v>182</v>
      </c>
      <c r="C646" s="1">
        <v>45969.646979166668</v>
      </c>
      <c r="D646" t="s">
        <v>74</v>
      </c>
      <c r="E646" t="s">
        <v>75</v>
      </c>
      <c r="F646" t="s">
        <v>30</v>
      </c>
      <c r="G646">
        <v>2217</v>
      </c>
      <c r="H646">
        <v>3</v>
      </c>
      <c r="I646">
        <v>2410.7399999999998</v>
      </c>
      <c r="J646">
        <v>3529.37</v>
      </c>
      <c r="K646" t="s">
        <v>46</v>
      </c>
      <c r="L646">
        <v>0.1</v>
      </c>
    </row>
    <row r="647" spans="1:12" x14ac:dyDescent="0.25">
      <c r="A647" t="s">
        <v>788</v>
      </c>
      <c r="B647">
        <v>106</v>
      </c>
      <c r="C647" s="1">
        <v>45970.428043981483</v>
      </c>
      <c r="D647" t="s">
        <v>37</v>
      </c>
      <c r="E647" t="s">
        <v>38</v>
      </c>
      <c r="F647" t="s">
        <v>30</v>
      </c>
      <c r="G647">
        <v>2697</v>
      </c>
      <c r="H647">
        <v>3</v>
      </c>
      <c r="I647">
        <v>773.54</v>
      </c>
      <c r="J647">
        <v>1238.31</v>
      </c>
      <c r="L647">
        <v>0</v>
      </c>
    </row>
    <row r="648" spans="1:12" x14ac:dyDescent="0.25">
      <c r="A648" t="s">
        <v>789</v>
      </c>
      <c r="B648">
        <v>95</v>
      </c>
      <c r="C648" s="1">
        <v>45970.608078703714</v>
      </c>
      <c r="D648" t="s">
        <v>92</v>
      </c>
      <c r="E648" t="s">
        <v>93</v>
      </c>
      <c r="F648" t="s">
        <v>52</v>
      </c>
      <c r="G648">
        <v>292</v>
      </c>
      <c r="H648">
        <v>2</v>
      </c>
      <c r="I648">
        <v>31.26</v>
      </c>
      <c r="J648">
        <v>117.87</v>
      </c>
      <c r="L648">
        <v>0</v>
      </c>
    </row>
    <row r="649" spans="1:12" x14ac:dyDescent="0.25">
      <c r="A649" t="s">
        <v>790</v>
      </c>
      <c r="B649">
        <v>98</v>
      </c>
      <c r="C649" s="1">
        <v>45970.730555555558</v>
      </c>
      <c r="D649" t="s">
        <v>28</v>
      </c>
      <c r="E649" t="s">
        <v>29</v>
      </c>
      <c r="F649" t="s">
        <v>30</v>
      </c>
      <c r="G649">
        <v>2095</v>
      </c>
      <c r="H649">
        <v>3</v>
      </c>
      <c r="I649">
        <v>1711.4</v>
      </c>
      <c r="J649">
        <v>2736.94</v>
      </c>
      <c r="L649">
        <v>0</v>
      </c>
    </row>
    <row r="650" spans="1:12" x14ac:dyDescent="0.25">
      <c r="A650" t="s">
        <v>791</v>
      </c>
      <c r="B650">
        <v>124</v>
      </c>
      <c r="C650" s="1">
        <v>45970.892708333333</v>
      </c>
      <c r="D650" t="s">
        <v>71</v>
      </c>
      <c r="E650" t="s">
        <v>72</v>
      </c>
      <c r="F650" t="s">
        <v>52</v>
      </c>
      <c r="G650">
        <v>296</v>
      </c>
      <c r="H650">
        <v>1</v>
      </c>
      <c r="I650">
        <v>69.33</v>
      </c>
      <c r="J650">
        <v>105.48</v>
      </c>
      <c r="K650" t="s">
        <v>60</v>
      </c>
      <c r="L650">
        <v>0.2</v>
      </c>
    </row>
    <row r="651" spans="1:12" x14ac:dyDescent="0.25">
      <c r="A651" t="s">
        <v>792</v>
      </c>
      <c r="B651">
        <v>123</v>
      </c>
      <c r="C651" s="1">
        <v>45970.969456018523</v>
      </c>
      <c r="D651" t="s">
        <v>71</v>
      </c>
      <c r="E651" t="s">
        <v>72</v>
      </c>
      <c r="F651" t="s">
        <v>52</v>
      </c>
      <c r="G651">
        <v>207</v>
      </c>
      <c r="H651">
        <v>1</v>
      </c>
      <c r="I651">
        <v>74.33</v>
      </c>
      <c r="J651">
        <v>106.24</v>
      </c>
      <c r="L651">
        <v>0</v>
      </c>
    </row>
    <row r="652" spans="1:12" x14ac:dyDescent="0.25">
      <c r="A652" t="s">
        <v>793</v>
      </c>
      <c r="B652">
        <v>50</v>
      </c>
      <c r="C652" s="1">
        <v>45971.300439814811</v>
      </c>
      <c r="D652" t="s">
        <v>155</v>
      </c>
      <c r="E652" t="s">
        <v>156</v>
      </c>
      <c r="F652" t="s">
        <v>30</v>
      </c>
      <c r="G652">
        <v>4951</v>
      </c>
      <c r="H652">
        <v>3</v>
      </c>
      <c r="I652">
        <v>709.93</v>
      </c>
      <c r="J652">
        <v>1415.7</v>
      </c>
      <c r="L652">
        <v>0</v>
      </c>
    </row>
    <row r="653" spans="1:12" x14ac:dyDescent="0.25">
      <c r="A653" t="s">
        <v>794</v>
      </c>
      <c r="B653">
        <v>98</v>
      </c>
      <c r="C653" s="1">
        <v>45971.529490740737</v>
      </c>
      <c r="D653" t="s">
        <v>110</v>
      </c>
      <c r="E653" t="s">
        <v>111</v>
      </c>
      <c r="F653" t="s">
        <v>30</v>
      </c>
      <c r="G653">
        <v>2049</v>
      </c>
      <c r="H653">
        <v>3</v>
      </c>
      <c r="I653">
        <v>904.87</v>
      </c>
      <c r="J653">
        <v>2484.48</v>
      </c>
      <c r="L653">
        <v>0</v>
      </c>
    </row>
    <row r="654" spans="1:12" x14ac:dyDescent="0.25">
      <c r="A654" t="s">
        <v>795</v>
      </c>
      <c r="B654">
        <v>111</v>
      </c>
      <c r="C654" s="1">
        <v>45971.585277777784</v>
      </c>
      <c r="D654" t="s">
        <v>28</v>
      </c>
      <c r="E654" t="s">
        <v>29</v>
      </c>
      <c r="F654" t="s">
        <v>30</v>
      </c>
      <c r="G654">
        <v>2156</v>
      </c>
      <c r="H654">
        <v>3</v>
      </c>
      <c r="I654">
        <v>1870.26</v>
      </c>
      <c r="J654">
        <v>3031.28</v>
      </c>
      <c r="K654" t="s">
        <v>46</v>
      </c>
      <c r="L654">
        <v>0.1</v>
      </c>
    </row>
    <row r="655" spans="1:12" x14ac:dyDescent="0.25">
      <c r="A655" t="s">
        <v>796</v>
      </c>
      <c r="B655">
        <v>86</v>
      </c>
      <c r="C655" s="1">
        <v>45971.604259259257</v>
      </c>
      <c r="D655" t="s">
        <v>95</v>
      </c>
      <c r="E655" t="s">
        <v>96</v>
      </c>
      <c r="F655" t="s">
        <v>52</v>
      </c>
      <c r="G655">
        <v>542</v>
      </c>
      <c r="H655">
        <v>3</v>
      </c>
      <c r="I655">
        <v>18.37</v>
      </c>
      <c r="J655">
        <v>87.29</v>
      </c>
      <c r="K655" t="s">
        <v>46</v>
      </c>
      <c r="L655">
        <v>0.1</v>
      </c>
    </row>
    <row r="656" spans="1:12" x14ac:dyDescent="0.25">
      <c r="A656" t="s">
        <v>797</v>
      </c>
      <c r="B656">
        <v>24</v>
      </c>
      <c r="C656" s="1">
        <v>45971.606412037043</v>
      </c>
      <c r="D656" t="s">
        <v>89</v>
      </c>
      <c r="E656" t="s">
        <v>90</v>
      </c>
      <c r="F656" t="s">
        <v>52</v>
      </c>
      <c r="G656">
        <v>333</v>
      </c>
      <c r="H656">
        <v>2</v>
      </c>
      <c r="I656">
        <v>55.58</v>
      </c>
      <c r="J656">
        <v>72.05</v>
      </c>
      <c r="L656">
        <v>0</v>
      </c>
    </row>
    <row r="657" spans="1:12" x14ac:dyDescent="0.25">
      <c r="A657" t="s">
        <v>798</v>
      </c>
      <c r="B657">
        <v>1</v>
      </c>
      <c r="C657" s="1">
        <v>45971.626805555563</v>
      </c>
      <c r="D657" t="s">
        <v>137</v>
      </c>
      <c r="E657" t="s">
        <v>138</v>
      </c>
      <c r="F657" t="s">
        <v>52</v>
      </c>
      <c r="G657">
        <v>464</v>
      </c>
      <c r="H657">
        <v>2</v>
      </c>
      <c r="I657">
        <v>104.39</v>
      </c>
      <c r="J657">
        <v>162.85</v>
      </c>
      <c r="K657" t="s">
        <v>60</v>
      </c>
      <c r="L657">
        <v>0.2</v>
      </c>
    </row>
    <row r="658" spans="1:12" x14ac:dyDescent="0.25">
      <c r="A658" t="s">
        <v>799</v>
      </c>
      <c r="B658">
        <v>169</v>
      </c>
      <c r="C658" s="1">
        <v>45971.86377314815</v>
      </c>
      <c r="D658" t="s">
        <v>71</v>
      </c>
      <c r="E658" t="s">
        <v>72</v>
      </c>
      <c r="F658" t="s">
        <v>52</v>
      </c>
      <c r="G658">
        <v>216</v>
      </c>
      <c r="H658">
        <v>2</v>
      </c>
      <c r="I658">
        <v>52</v>
      </c>
      <c r="J658">
        <v>83.72</v>
      </c>
      <c r="L658">
        <v>0</v>
      </c>
    </row>
    <row r="659" spans="1:12" x14ac:dyDescent="0.25">
      <c r="A659" t="s">
        <v>800</v>
      </c>
      <c r="B659">
        <v>2</v>
      </c>
      <c r="C659" s="1">
        <v>45972.958275462966</v>
      </c>
      <c r="D659" t="s">
        <v>86</v>
      </c>
      <c r="E659" t="s">
        <v>87</v>
      </c>
      <c r="F659" t="s">
        <v>45</v>
      </c>
      <c r="G659">
        <v>0</v>
      </c>
      <c r="H659">
        <v>1</v>
      </c>
      <c r="I659">
        <v>56.25</v>
      </c>
      <c r="J659">
        <v>131.66999999999999</v>
      </c>
      <c r="L659">
        <v>0</v>
      </c>
    </row>
    <row r="660" spans="1:12" x14ac:dyDescent="0.25">
      <c r="A660" t="s">
        <v>801</v>
      </c>
      <c r="B660">
        <v>122</v>
      </c>
      <c r="C660" s="1">
        <v>45973.2575462963</v>
      </c>
      <c r="D660" t="s">
        <v>58</v>
      </c>
      <c r="E660" t="s">
        <v>59</v>
      </c>
      <c r="F660" t="s">
        <v>30</v>
      </c>
      <c r="G660">
        <v>4828</v>
      </c>
      <c r="H660">
        <v>3</v>
      </c>
      <c r="I660">
        <v>230.92</v>
      </c>
      <c r="J660">
        <v>379.87</v>
      </c>
      <c r="K660" t="s">
        <v>60</v>
      </c>
      <c r="L660">
        <v>0.2</v>
      </c>
    </row>
    <row r="661" spans="1:12" x14ac:dyDescent="0.25">
      <c r="A661" t="s">
        <v>802</v>
      </c>
      <c r="B661">
        <v>155</v>
      </c>
      <c r="C661" s="1">
        <v>45974.337407407409</v>
      </c>
      <c r="D661" t="s">
        <v>66</v>
      </c>
      <c r="E661" t="s">
        <v>67</v>
      </c>
      <c r="F661" t="s">
        <v>52</v>
      </c>
      <c r="G661">
        <v>298</v>
      </c>
      <c r="H661">
        <v>1</v>
      </c>
      <c r="I661">
        <v>67.150000000000006</v>
      </c>
      <c r="J661">
        <v>84.89</v>
      </c>
      <c r="L661">
        <v>0</v>
      </c>
    </row>
    <row r="662" spans="1:12" x14ac:dyDescent="0.25">
      <c r="A662" t="s">
        <v>803</v>
      </c>
      <c r="B662">
        <v>142</v>
      </c>
      <c r="C662" s="1">
        <v>45975.809664351851</v>
      </c>
      <c r="D662" t="s">
        <v>137</v>
      </c>
      <c r="E662" t="s">
        <v>138</v>
      </c>
      <c r="F662" t="s">
        <v>52</v>
      </c>
      <c r="G662">
        <v>489</v>
      </c>
      <c r="H662">
        <v>3</v>
      </c>
      <c r="I662">
        <v>127.19</v>
      </c>
      <c r="J662">
        <v>222.43</v>
      </c>
      <c r="L662">
        <v>0</v>
      </c>
    </row>
    <row r="663" spans="1:12" x14ac:dyDescent="0.25">
      <c r="A663" t="s">
        <v>804</v>
      </c>
      <c r="B663">
        <v>108</v>
      </c>
      <c r="C663" s="1">
        <v>45976.346863425933</v>
      </c>
      <c r="D663" t="s">
        <v>148</v>
      </c>
      <c r="E663" t="s">
        <v>149</v>
      </c>
      <c r="F663" t="s">
        <v>30</v>
      </c>
      <c r="G663">
        <v>2872</v>
      </c>
      <c r="H663">
        <v>2</v>
      </c>
      <c r="I663">
        <v>503.69</v>
      </c>
      <c r="J663">
        <v>954.43</v>
      </c>
      <c r="K663" t="s">
        <v>46</v>
      </c>
      <c r="L663">
        <v>0.1</v>
      </c>
    </row>
    <row r="664" spans="1:12" x14ac:dyDescent="0.25">
      <c r="A664" t="s">
        <v>805</v>
      </c>
      <c r="B664">
        <v>106</v>
      </c>
      <c r="C664" s="1">
        <v>45976.382245370369</v>
      </c>
      <c r="D664" t="s">
        <v>58</v>
      </c>
      <c r="E664" t="s">
        <v>59</v>
      </c>
      <c r="F664" t="s">
        <v>30</v>
      </c>
      <c r="G664">
        <v>4091</v>
      </c>
      <c r="H664">
        <v>2</v>
      </c>
      <c r="I664">
        <v>457.22</v>
      </c>
      <c r="J664">
        <v>563.64</v>
      </c>
      <c r="K664" t="s">
        <v>60</v>
      </c>
      <c r="L664">
        <v>0.2</v>
      </c>
    </row>
    <row r="665" spans="1:12" x14ac:dyDescent="0.25">
      <c r="A665" t="s">
        <v>806</v>
      </c>
      <c r="B665">
        <v>128</v>
      </c>
      <c r="C665" s="1">
        <v>45976.462465277778</v>
      </c>
      <c r="D665" t="s">
        <v>74</v>
      </c>
      <c r="E665" t="s">
        <v>75</v>
      </c>
      <c r="F665" t="s">
        <v>30</v>
      </c>
      <c r="G665">
        <v>2227</v>
      </c>
      <c r="H665">
        <v>1</v>
      </c>
      <c r="I665">
        <v>2554.94</v>
      </c>
      <c r="J665">
        <v>4562.58</v>
      </c>
      <c r="L665">
        <v>0</v>
      </c>
    </row>
    <row r="666" spans="1:12" x14ac:dyDescent="0.25">
      <c r="A666" t="s">
        <v>807</v>
      </c>
      <c r="B666">
        <v>135</v>
      </c>
      <c r="C666" s="1">
        <v>45976.565335648149</v>
      </c>
      <c r="D666" t="s">
        <v>123</v>
      </c>
      <c r="E666" t="s">
        <v>124</v>
      </c>
      <c r="F666" t="s">
        <v>45</v>
      </c>
      <c r="G666">
        <v>0</v>
      </c>
      <c r="H666">
        <v>1</v>
      </c>
      <c r="I666">
        <v>71.849999999999994</v>
      </c>
      <c r="J666">
        <v>138.99</v>
      </c>
      <c r="K666" t="s">
        <v>60</v>
      </c>
      <c r="L666">
        <v>0.2</v>
      </c>
    </row>
    <row r="667" spans="1:12" x14ac:dyDescent="0.25">
      <c r="A667" t="s">
        <v>808</v>
      </c>
      <c r="B667">
        <v>116</v>
      </c>
      <c r="C667" s="1">
        <v>45976.995694444442</v>
      </c>
      <c r="D667" t="s">
        <v>148</v>
      </c>
      <c r="E667" t="s">
        <v>149</v>
      </c>
      <c r="F667" t="s">
        <v>30</v>
      </c>
      <c r="G667">
        <v>3332</v>
      </c>
      <c r="H667">
        <v>3</v>
      </c>
      <c r="I667">
        <v>486.94</v>
      </c>
      <c r="J667">
        <v>895.33</v>
      </c>
      <c r="L667">
        <v>0</v>
      </c>
    </row>
    <row r="668" spans="1:12" x14ac:dyDescent="0.25">
      <c r="A668" t="s">
        <v>809</v>
      </c>
      <c r="B668">
        <v>140</v>
      </c>
      <c r="C668" s="1">
        <v>45978.26599537037</v>
      </c>
      <c r="D668" t="s">
        <v>66</v>
      </c>
      <c r="E668" t="s">
        <v>67</v>
      </c>
      <c r="F668" t="s">
        <v>52</v>
      </c>
      <c r="G668">
        <v>272</v>
      </c>
      <c r="H668">
        <v>3</v>
      </c>
      <c r="I668">
        <v>47.67</v>
      </c>
      <c r="J668">
        <v>115.52</v>
      </c>
      <c r="L668">
        <v>0</v>
      </c>
    </row>
    <row r="669" spans="1:12" x14ac:dyDescent="0.25">
      <c r="A669" t="s">
        <v>810</v>
      </c>
      <c r="B669">
        <v>151</v>
      </c>
      <c r="C669" s="1">
        <v>45978.346226851849</v>
      </c>
      <c r="D669" t="s">
        <v>43</v>
      </c>
      <c r="E669" t="s">
        <v>44</v>
      </c>
      <c r="F669" t="s">
        <v>45</v>
      </c>
      <c r="G669">
        <v>0</v>
      </c>
      <c r="H669">
        <v>2</v>
      </c>
      <c r="I669">
        <v>68.23</v>
      </c>
      <c r="J669">
        <v>122.57</v>
      </c>
      <c r="K669" t="s">
        <v>60</v>
      </c>
      <c r="L669">
        <v>0.2</v>
      </c>
    </row>
    <row r="670" spans="1:12" x14ac:dyDescent="0.25">
      <c r="A670" t="s">
        <v>811</v>
      </c>
      <c r="B670">
        <v>134</v>
      </c>
      <c r="C670" s="1">
        <v>45978.465960648151</v>
      </c>
      <c r="D670" t="s">
        <v>50</v>
      </c>
      <c r="E670" t="s">
        <v>51</v>
      </c>
      <c r="F670" t="s">
        <v>52</v>
      </c>
      <c r="G670">
        <v>685</v>
      </c>
      <c r="H670">
        <v>1</v>
      </c>
      <c r="I670">
        <v>168.61</v>
      </c>
      <c r="J670">
        <v>293.83</v>
      </c>
      <c r="L670">
        <v>0</v>
      </c>
    </row>
    <row r="671" spans="1:12" x14ac:dyDescent="0.25">
      <c r="A671" t="s">
        <v>812</v>
      </c>
      <c r="B671">
        <v>40</v>
      </c>
      <c r="C671" s="1">
        <v>45978.657523148147</v>
      </c>
      <c r="D671" t="s">
        <v>43</v>
      </c>
      <c r="E671" t="s">
        <v>44</v>
      </c>
      <c r="F671" t="s">
        <v>45</v>
      </c>
      <c r="G671">
        <v>0</v>
      </c>
      <c r="H671">
        <v>3</v>
      </c>
      <c r="I671">
        <v>29.63</v>
      </c>
      <c r="J671">
        <v>141.36000000000001</v>
      </c>
      <c r="L671">
        <v>0</v>
      </c>
    </row>
    <row r="672" spans="1:12" x14ac:dyDescent="0.25">
      <c r="A672" t="s">
        <v>813</v>
      </c>
      <c r="B672">
        <v>145</v>
      </c>
      <c r="C672" s="1">
        <v>45978.975578703707</v>
      </c>
      <c r="D672" t="s">
        <v>71</v>
      </c>
      <c r="E672" t="s">
        <v>72</v>
      </c>
      <c r="F672" t="s">
        <v>52</v>
      </c>
      <c r="G672">
        <v>269</v>
      </c>
      <c r="H672">
        <v>3</v>
      </c>
      <c r="I672">
        <v>46.59</v>
      </c>
      <c r="J672">
        <v>131.66</v>
      </c>
      <c r="L672">
        <v>0</v>
      </c>
    </row>
    <row r="673" spans="1:12" x14ac:dyDescent="0.25">
      <c r="A673" t="s">
        <v>814</v>
      </c>
      <c r="B673">
        <v>8</v>
      </c>
      <c r="C673" s="1">
        <v>45979.892245370371</v>
      </c>
      <c r="D673" t="s">
        <v>155</v>
      </c>
      <c r="E673" t="s">
        <v>156</v>
      </c>
      <c r="F673" t="s">
        <v>30</v>
      </c>
      <c r="G673">
        <v>3703</v>
      </c>
      <c r="H673">
        <v>2</v>
      </c>
      <c r="I673">
        <v>839.26</v>
      </c>
      <c r="J673">
        <v>1591.35</v>
      </c>
      <c r="L673">
        <v>0</v>
      </c>
    </row>
    <row r="674" spans="1:12" x14ac:dyDescent="0.25">
      <c r="A674" t="s">
        <v>815</v>
      </c>
      <c r="B674">
        <v>154</v>
      </c>
      <c r="C674" s="1">
        <v>45980.06722222222</v>
      </c>
      <c r="D674" t="s">
        <v>155</v>
      </c>
      <c r="E674" t="s">
        <v>156</v>
      </c>
      <c r="F674" t="s">
        <v>30</v>
      </c>
      <c r="G674">
        <v>4130</v>
      </c>
      <c r="H674">
        <v>2</v>
      </c>
      <c r="I674">
        <v>899.21</v>
      </c>
      <c r="J674">
        <v>1813.51</v>
      </c>
      <c r="K674" t="s">
        <v>60</v>
      </c>
      <c r="L674">
        <v>0.2</v>
      </c>
    </row>
    <row r="675" spans="1:12" x14ac:dyDescent="0.25">
      <c r="A675" t="s">
        <v>816</v>
      </c>
      <c r="B675">
        <v>61</v>
      </c>
      <c r="C675" s="1">
        <v>45980.7184375</v>
      </c>
      <c r="D675" t="s">
        <v>89</v>
      </c>
      <c r="E675" t="s">
        <v>90</v>
      </c>
      <c r="F675" t="s">
        <v>52</v>
      </c>
      <c r="G675">
        <v>300</v>
      </c>
      <c r="H675">
        <v>2</v>
      </c>
      <c r="I675">
        <v>58.22</v>
      </c>
      <c r="J675">
        <v>202.93</v>
      </c>
      <c r="L675">
        <v>0</v>
      </c>
    </row>
    <row r="676" spans="1:12" x14ac:dyDescent="0.25">
      <c r="A676" t="s">
        <v>817</v>
      </c>
      <c r="B676">
        <v>104</v>
      </c>
      <c r="C676" s="1">
        <v>45981.034166666657</v>
      </c>
      <c r="D676" t="s">
        <v>37</v>
      </c>
      <c r="E676" t="s">
        <v>38</v>
      </c>
      <c r="F676" t="s">
        <v>30</v>
      </c>
      <c r="G676">
        <v>2222</v>
      </c>
      <c r="H676">
        <v>1</v>
      </c>
      <c r="I676">
        <v>589.20000000000005</v>
      </c>
      <c r="J676">
        <v>934.61</v>
      </c>
      <c r="L676">
        <v>0</v>
      </c>
    </row>
    <row r="677" spans="1:12" x14ac:dyDescent="0.25">
      <c r="A677" t="s">
        <v>818</v>
      </c>
      <c r="B677">
        <v>9</v>
      </c>
      <c r="C677" s="1">
        <v>45981.673078703701</v>
      </c>
      <c r="D677" t="s">
        <v>110</v>
      </c>
      <c r="E677" t="s">
        <v>111</v>
      </c>
      <c r="F677" t="s">
        <v>30</v>
      </c>
      <c r="G677">
        <v>2123</v>
      </c>
      <c r="H677">
        <v>1</v>
      </c>
      <c r="I677">
        <v>1196.26</v>
      </c>
      <c r="J677">
        <v>2077.3000000000002</v>
      </c>
      <c r="L677">
        <v>0</v>
      </c>
    </row>
    <row r="678" spans="1:12" x14ac:dyDescent="0.25">
      <c r="A678" t="s">
        <v>819</v>
      </c>
      <c r="B678">
        <v>195</v>
      </c>
      <c r="C678" s="1">
        <v>45982.120983796303</v>
      </c>
      <c r="D678" t="s">
        <v>137</v>
      </c>
      <c r="E678" t="s">
        <v>138</v>
      </c>
      <c r="F678" t="s">
        <v>52</v>
      </c>
      <c r="G678">
        <v>468</v>
      </c>
      <c r="H678">
        <v>2</v>
      </c>
      <c r="I678">
        <v>92.03</v>
      </c>
      <c r="J678">
        <v>147.26</v>
      </c>
      <c r="K678" t="s">
        <v>46</v>
      </c>
      <c r="L678">
        <v>0.1</v>
      </c>
    </row>
    <row r="679" spans="1:12" x14ac:dyDescent="0.25">
      <c r="A679" t="s">
        <v>820</v>
      </c>
      <c r="B679">
        <v>95</v>
      </c>
      <c r="C679" s="1">
        <v>45983.400092592587</v>
      </c>
      <c r="D679" t="s">
        <v>66</v>
      </c>
      <c r="E679" t="s">
        <v>67</v>
      </c>
      <c r="F679" t="s">
        <v>52</v>
      </c>
      <c r="G679">
        <v>286</v>
      </c>
      <c r="H679">
        <v>1</v>
      </c>
      <c r="I679">
        <v>65.3</v>
      </c>
      <c r="J679">
        <v>111.35</v>
      </c>
      <c r="K679" t="s">
        <v>46</v>
      </c>
      <c r="L679">
        <v>0.1</v>
      </c>
    </row>
    <row r="680" spans="1:12" x14ac:dyDescent="0.25">
      <c r="A680" t="s">
        <v>821</v>
      </c>
      <c r="B680">
        <v>125</v>
      </c>
      <c r="C680" s="1">
        <v>45983.590787037043</v>
      </c>
      <c r="D680" t="s">
        <v>81</v>
      </c>
      <c r="E680" t="s">
        <v>82</v>
      </c>
      <c r="F680" t="s">
        <v>45</v>
      </c>
      <c r="G680">
        <v>0</v>
      </c>
      <c r="H680">
        <v>2</v>
      </c>
      <c r="I680">
        <v>72.34</v>
      </c>
      <c r="J680">
        <v>240.85</v>
      </c>
      <c r="L680">
        <v>0</v>
      </c>
    </row>
    <row r="681" spans="1:12" x14ac:dyDescent="0.25">
      <c r="A681" t="s">
        <v>822</v>
      </c>
      <c r="B681">
        <v>18</v>
      </c>
      <c r="C681" s="1">
        <v>45983.810208333343</v>
      </c>
      <c r="D681" t="s">
        <v>50</v>
      </c>
      <c r="E681" t="s">
        <v>51</v>
      </c>
      <c r="F681" t="s">
        <v>52</v>
      </c>
      <c r="G681">
        <v>632</v>
      </c>
      <c r="H681">
        <v>1</v>
      </c>
      <c r="I681">
        <v>91.3</v>
      </c>
      <c r="J681">
        <v>275.31</v>
      </c>
      <c r="L681">
        <v>0</v>
      </c>
    </row>
    <row r="682" spans="1:12" x14ac:dyDescent="0.25">
      <c r="A682" t="s">
        <v>823</v>
      </c>
      <c r="B682">
        <v>41</v>
      </c>
      <c r="C682" s="1">
        <v>45984.416145833333</v>
      </c>
      <c r="D682" t="s">
        <v>71</v>
      </c>
      <c r="E682" t="s">
        <v>72</v>
      </c>
      <c r="F682" t="s">
        <v>52</v>
      </c>
      <c r="G682">
        <v>219</v>
      </c>
      <c r="H682">
        <v>2</v>
      </c>
      <c r="I682">
        <v>64.69</v>
      </c>
      <c r="J682">
        <v>80.930000000000007</v>
      </c>
      <c r="L682">
        <v>0</v>
      </c>
    </row>
    <row r="683" spans="1:12" x14ac:dyDescent="0.25">
      <c r="A683" t="s">
        <v>824</v>
      </c>
      <c r="B683">
        <v>90</v>
      </c>
      <c r="C683" s="1">
        <v>45985.13585648148</v>
      </c>
      <c r="D683" t="s">
        <v>123</v>
      </c>
      <c r="E683" t="s">
        <v>124</v>
      </c>
      <c r="F683" t="s">
        <v>45</v>
      </c>
      <c r="G683">
        <v>0</v>
      </c>
      <c r="H683">
        <v>3</v>
      </c>
      <c r="I683">
        <v>268.43</v>
      </c>
      <c r="J683">
        <v>327.52</v>
      </c>
      <c r="L683">
        <v>0</v>
      </c>
    </row>
    <row r="684" spans="1:12" x14ac:dyDescent="0.25">
      <c r="A684" t="s">
        <v>825</v>
      </c>
      <c r="B684">
        <v>148</v>
      </c>
      <c r="C684" s="1">
        <v>45985.2497337963</v>
      </c>
      <c r="D684" t="s">
        <v>28</v>
      </c>
      <c r="E684" t="s">
        <v>29</v>
      </c>
      <c r="F684" t="s">
        <v>30</v>
      </c>
      <c r="G684">
        <v>2260</v>
      </c>
      <c r="H684">
        <v>2</v>
      </c>
      <c r="I684">
        <v>1878.86</v>
      </c>
      <c r="J684">
        <v>3975.53</v>
      </c>
      <c r="L684">
        <v>0</v>
      </c>
    </row>
    <row r="685" spans="1:12" x14ac:dyDescent="0.25">
      <c r="A685" t="s">
        <v>826</v>
      </c>
      <c r="B685">
        <v>11</v>
      </c>
      <c r="C685" s="1">
        <v>45985.665173611109</v>
      </c>
      <c r="D685" t="s">
        <v>66</v>
      </c>
      <c r="E685" t="s">
        <v>67</v>
      </c>
      <c r="F685" t="s">
        <v>52</v>
      </c>
      <c r="G685">
        <v>265</v>
      </c>
      <c r="H685">
        <v>1</v>
      </c>
      <c r="I685">
        <v>57.34</v>
      </c>
      <c r="J685">
        <v>70.34</v>
      </c>
      <c r="L685">
        <v>0</v>
      </c>
    </row>
    <row r="686" spans="1:12" x14ac:dyDescent="0.25">
      <c r="A686" t="s">
        <v>827</v>
      </c>
      <c r="B686">
        <v>10</v>
      </c>
      <c r="C686" s="1">
        <v>45985.719583333332</v>
      </c>
      <c r="D686" t="s">
        <v>155</v>
      </c>
      <c r="E686" t="s">
        <v>156</v>
      </c>
      <c r="F686" t="s">
        <v>30</v>
      </c>
      <c r="G686">
        <v>4965</v>
      </c>
      <c r="H686">
        <v>2</v>
      </c>
      <c r="I686">
        <v>936.36</v>
      </c>
      <c r="J686">
        <v>1379.55</v>
      </c>
      <c r="L686">
        <v>0</v>
      </c>
    </row>
    <row r="687" spans="1:12" x14ac:dyDescent="0.25">
      <c r="A687" t="s">
        <v>828</v>
      </c>
      <c r="B687">
        <v>54</v>
      </c>
      <c r="C687" s="1">
        <v>45986.424432870372</v>
      </c>
      <c r="D687" t="s">
        <v>110</v>
      </c>
      <c r="E687" t="s">
        <v>111</v>
      </c>
      <c r="F687" t="s">
        <v>30</v>
      </c>
      <c r="G687">
        <v>2075</v>
      </c>
      <c r="H687">
        <v>1</v>
      </c>
      <c r="I687">
        <v>1165.06</v>
      </c>
      <c r="J687">
        <v>2067.44</v>
      </c>
      <c r="L687">
        <v>0</v>
      </c>
    </row>
    <row r="688" spans="1:12" x14ac:dyDescent="0.25">
      <c r="A688" t="s">
        <v>829</v>
      </c>
      <c r="B688">
        <v>29</v>
      </c>
      <c r="C688" s="1">
        <v>45986.471817129634</v>
      </c>
      <c r="D688" t="s">
        <v>198</v>
      </c>
      <c r="E688" t="s">
        <v>199</v>
      </c>
      <c r="F688" t="s">
        <v>116</v>
      </c>
      <c r="G688">
        <v>0</v>
      </c>
      <c r="H688">
        <v>2</v>
      </c>
      <c r="I688">
        <v>442.51</v>
      </c>
      <c r="J688">
        <v>662.02</v>
      </c>
      <c r="L688">
        <v>0</v>
      </c>
    </row>
    <row r="689" spans="1:12" x14ac:dyDescent="0.25">
      <c r="A689" t="s">
        <v>830</v>
      </c>
      <c r="B689">
        <v>173</v>
      </c>
      <c r="C689" s="1">
        <v>45987.941331018519</v>
      </c>
      <c r="D689" t="s">
        <v>123</v>
      </c>
      <c r="E689" t="s">
        <v>124</v>
      </c>
      <c r="F689" t="s">
        <v>45</v>
      </c>
      <c r="G689">
        <v>0</v>
      </c>
      <c r="H689">
        <v>3</v>
      </c>
      <c r="I689">
        <v>111.89</v>
      </c>
      <c r="J689">
        <v>322.04000000000002</v>
      </c>
      <c r="K689" t="s">
        <v>60</v>
      </c>
      <c r="L689">
        <v>0.2</v>
      </c>
    </row>
    <row r="690" spans="1:12" x14ac:dyDescent="0.25">
      <c r="A690" t="s">
        <v>831</v>
      </c>
      <c r="B690">
        <v>157</v>
      </c>
      <c r="C690" s="1">
        <v>45988.425451388888</v>
      </c>
      <c r="D690" t="s">
        <v>155</v>
      </c>
      <c r="E690" t="s">
        <v>156</v>
      </c>
      <c r="F690" t="s">
        <v>30</v>
      </c>
      <c r="G690">
        <v>4689</v>
      </c>
      <c r="H690">
        <v>3</v>
      </c>
      <c r="I690">
        <v>802.61</v>
      </c>
      <c r="J690">
        <v>1586.23</v>
      </c>
      <c r="L690">
        <v>0</v>
      </c>
    </row>
    <row r="691" spans="1:12" x14ac:dyDescent="0.25">
      <c r="A691" t="s">
        <v>832</v>
      </c>
      <c r="B691">
        <v>135</v>
      </c>
      <c r="C691" s="1">
        <v>45988.467800925922</v>
      </c>
      <c r="D691" t="s">
        <v>86</v>
      </c>
      <c r="E691" t="s">
        <v>87</v>
      </c>
      <c r="F691" t="s">
        <v>45</v>
      </c>
      <c r="G691">
        <v>0</v>
      </c>
      <c r="H691">
        <v>3</v>
      </c>
      <c r="I691">
        <v>52.25</v>
      </c>
      <c r="J691">
        <v>192.92</v>
      </c>
      <c r="L691">
        <v>0</v>
      </c>
    </row>
    <row r="692" spans="1:12" x14ac:dyDescent="0.25">
      <c r="A692" t="s">
        <v>833</v>
      </c>
      <c r="B692">
        <v>179</v>
      </c>
      <c r="C692" s="1">
        <v>45988.995879629627</v>
      </c>
      <c r="D692" t="s">
        <v>148</v>
      </c>
      <c r="E692" t="s">
        <v>149</v>
      </c>
      <c r="F692" t="s">
        <v>30</v>
      </c>
      <c r="G692">
        <v>2567</v>
      </c>
      <c r="H692">
        <v>1</v>
      </c>
      <c r="I692">
        <v>572.79</v>
      </c>
      <c r="J692">
        <v>762.61</v>
      </c>
      <c r="L692">
        <v>0</v>
      </c>
    </row>
    <row r="693" spans="1:12" x14ac:dyDescent="0.25">
      <c r="A693" t="s">
        <v>834</v>
      </c>
      <c r="B693">
        <v>139</v>
      </c>
      <c r="C693" s="1">
        <v>45989.213449074072</v>
      </c>
      <c r="D693" t="s">
        <v>74</v>
      </c>
      <c r="E693" t="s">
        <v>75</v>
      </c>
      <c r="F693" t="s">
        <v>30</v>
      </c>
      <c r="G693">
        <v>2634</v>
      </c>
      <c r="H693">
        <v>1</v>
      </c>
      <c r="I693">
        <v>2316.11</v>
      </c>
      <c r="J693">
        <v>3592.29</v>
      </c>
      <c r="L693">
        <v>0</v>
      </c>
    </row>
    <row r="694" spans="1:12" x14ac:dyDescent="0.25">
      <c r="A694" t="s">
        <v>835</v>
      </c>
      <c r="B694">
        <v>199</v>
      </c>
      <c r="C694" s="1">
        <v>45989.237557870372</v>
      </c>
      <c r="D694" t="s">
        <v>148</v>
      </c>
      <c r="E694" t="s">
        <v>149</v>
      </c>
      <c r="F694" t="s">
        <v>30</v>
      </c>
      <c r="G694">
        <v>3362</v>
      </c>
      <c r="H694">
        <v>2</v>
      </c>
      <c r="I694">
        <v>403.35</v>
      </c>
      <c r="J694">
        <v>603.41999999999996</v>
      </c>
      <c r="L694">
        <v>0</v>
      </c>
    </row>
    <row r="695" spans="1:12" x14ac:dyDescent="0.25">
      <c r="A695" t="s">
        <v>836</v>
      </c>
      <c r="B695">
        <v>98</v>
      </c>
      <c r="C695" s="1">
        <v>45989.720706018517</v>
      </c>
      <c r="D695" t="s">
        <v>123</v>
      </c>
      <c r="E695" t="s">
        <v>124</v>
      </c>
      <c r="F695" t="s">
        <v>45</v>
      </c>
      <c r="G695">
        <v>0</v>
      </c>
      <c r="H695">
        <v>1</v>
      </c>
      <c r="I695">
        <v>250.23</v>
      </c>
      <c r="J695">
        <v>394.97</v>
      </c>
      <c r="L695">
        <v>0</v>
      </c>
    </row>
    <row r="696" spans="1:12" x14ac:dyDescent="0.25">
      <c r="A696" t="s">
        <v>837</v>
      </c>
      <c r="B696">
        <v>80</v>
      </c>
      <c r="C696" s="1">
        <v>45990.669305555559</v>
      </c>
      <c r="D696" t="s">
        <v>37</v>
      </c>
      <c r="E696" t="s">
        <v>38</v>
      </c>
      <c r="F696" t="s">
        <v>30</v>
      </c>
      <c r="G696">
        <v>2585</v>
      </c>
      <c r="H696">
        <v>2</v>
      </c>
      <c r="I696">
        <v>890.35</v>
      </c>
      <c r="J696">
        <v>1120.44</v>
      </c>
      <c r="K696" t="s">
        <v>46</v>
      </c>
      <c r="L696">
        <v>0.1</v>
      </c>
    </row>
    <row r="697" spans="1:12" x14ac:dyDescent="0.25">
      <c r="A697" t="s">
        <v>838</v>
      </c>
      <c r="B697">
        <v>31</v>
      </c>
      <c r="C697" s="1">
        <v>45990.819328703707</v>
      </c>
      <c r="D697" t="s">
        <v>148</v>
      </c>
      <c r="E697" t="s">
        <v>149</v>
      </c>
      <c r="F697" t="s">
        <v>30</v>
      </c>
      <c r="G697">
        <v>2670</v>
      </c>
      <c r="H697">
        <v>1</v>
      </c>
      <c r="I697">
        <v>510.9</v>
      </c>
      <c r="J697">
        <v>915.29</v>
      </c>
      <c r="K697" t="s">
        <v>46</v>
      </c>
      <c r="L697">
        <v>0.1</v>
      </c>
    </row>
    <row r="698" spans="1:12" x14ac:dyDescent="0.25">
      <c r="A698" t="s">
        <v>839</v>
      </c>
      <c r="B698">
        <v>68</v>
      </c>
      <c r="C698" s="1">
        <v>45991.273587962962</v>
      </c>
      <c r="D698" t="s">
        <v>95</v>
      </c>
      <c r="E698" t="s">
        <v>96</v>
      </c>
      <c r="F698" t="s">
        <v>52</v>
      </c>
      <c r="G698">
        <v>301</v>
      </c>
      <c r="H698">
        <v>1</v>
      </c>
      <c r="I698">
        <v>26.81</v>
      </c>
      <c r="J698">
        <v>33.19</v>
      </c>
      <c r="L698">
        <v>0</v>
      </c>
    </row>
    <row r="699" spans="1:12" x14ac:dyDescent="0.25">
      <c r="A699" t="s">
        <v>840</v>
      </c>
      <c r="B699">
        <v>55</v>
      </c>
      <c r="C699" s="1">
        <v>45991.785752314812</v>
      </c>
      <c r="D699" t="s">
        <v>123</v>
      </c>
      <c r="E699" t="s">
        <v>124</v>
      </c>
      <c r="F699" t="s">
        <v>45</v>
      </c>
      <c r="G699">
        <v>0</v>
      </c>
      <c r="H699">
        <v>1</v>
      </c>
      <c r="I699">
        <v>88.5</v>
      </c>
      <c r="J699">
        <v>178.54</v>
      </c>
      <c r="L699">
        <v>0</v>
      </c>
    </row>
    <row r="700" spans="1:12" x14ac:dyDescent="0.25">
      <c r="A700" t="s">
        <v>841</v>
      </c>
      <c r="B700">
        <v>176</v>
      </c>
      <c r="C700" s="1">
        <v>45991.802141203712</v>
      </c>
      <c r="D700" t="s">
        <v>37</v>
      </c>
      <c r="E700" t="s">
        <v>38</v>
      </c>
      <c r="F700" t="s">
        <v>30</v>
      </c>
      <c r="G700">
        <v>2703</v>
      </c>
      <c r="H700">
        <v>3</v>
      </c>
      <c r="I700">
        <v>825.54</v>
      </c>
      <c r="J700">
        <v>1408.93</v>
      </c>
      <c r="K700" t="s">
        <v>60</v>
      </c>
      <c r="L700">
        <v>0.2</v>
      </c>
    </row>
    <row r="701" spans="1:12" x14ac:dyDescent="0.25">
      <c r="A701" t="s">
        <v>842</v>
      </c>
      <c r="B701">
        <v>130</v>
      </c>
      <c r="C701" s="1">
        <v>45991.941921296297</v>
      </c>
      <c r="D701" t="s">
        <v>155</v>
      </c>
      <c r="E701" t="s">
        <v>156</v>
      </c>
      <c r="F701" t="s">
        <v>30</v>
      </c>
      <c r="G701">
        <v>3947</v>
      </c>
      <c r="H701">
        <v>1</v>
      </c>
      <c r="I701">
        <v>756.67</v>
      </c>
      <c r="J701">
        <v>1875.62</v>
      </c>
      <c r="L701">
        <v>0</v>
      </c>
    </row>
    <row r="702" spans="1:12" x14ac:dyDescent="0.25">
      <c r="A702" t="s">
        <v>843</v>
      </c>
      <c r="B702">
        <v>67</v>
      </c>
      <c r="C702" s="1">
        <v>45992.029004629629</v>
      </c>
      <c r="D702" t="s">
        <v>28</v>
      </c>
      <c r="E702" t="s">
        <v>29</v>
      </c>
      <c r="F702" t="s">
        <v>30</v>
      </c>
      <c r="G702">
        <v>2616</v>
      </c>
      <c r="H702">
        <v>1</v>
      </c>
      <c r="I702">
        <v>1756.48</v>
      </c>
      <c r="J702">
        <v>2316.87</v>
      </c>
      <c r="L702">
        <v>0</v>
      </c>
    </row>
    <row r="703" spans="1:12" x14ac:dyDescent="0.25">
      <c r="A703" t="s">
        <v>844</v>
      </c>
      <c r="B703">
        <v>116</v>
      </c>
      <c r="C703" s="1">
        <v>45992.233749999999</v>
      </c>
      <c r="D703" t="s">
        <v>81</v>
      </c>
      <c r="E703" t="s">
        <v>82</v>
      </c>
      <c r="F703" t="s">
        <v>45</v>
      </c>
      <c r="G703">
        <v>0</v>
      </c>
      <c r="H703">
        <v>3</v>
      </c>
      <c r="I703">
        <v>53.57</v>
      </c>
      <c r="J703">
        <v>230.86</v>
      </c>
      <c r="K703" t="s">
        <v>46</v>
      </c>
      <c r="L703">
        <v>0.1</v>
      </c>
    </row>
    <row r="704" spans="1:12" x14ac:dyDescent="0.25">
      <c r="A704" t="s">
        <v>845</v>
      </c>
      <c r="B704">
        <v>116</v>
      </c>
      <c r="C704" s="1">
        <v>45992.774212962962</v>
      </c>
      <c r="D704" t="s">
        <v>198</v>
      </c>
      <c r="E704" t="s">
        <v>199</v>
      </c>
      <c r="F704" t="s">
        <v>116</v>
      </c>
      <c r="G704">
        <v>0</v>
      </c>
      <c r="H704">
        <v>2</v>
      </c>
      <c r="I704">
        <v>456</v>
      </c>
      <c r="J704">
        <v>592.04</v>
      </c>
      <c r="K704" t="s">
        <v>60</v>
      </c>
      <c r="L704">
        <v>0.2</v>
      </c>
    </row>
    <row r="705" spans="1:12" x14ac:dyDescent="0.25">
      <c r="A705" t="s">
        <v>846</v>
      </c>
      <c r="B705">
        <v>10</v>
      </c>
      <c r="C705" s="1">
        <v>45993.363912037043</v>
      </c>
      <c r="D705" t="s">
        <v>89</v>
      </c>
      <c r="E705" t="s">
        <v>90</v>
      </c>
      <c r="F705" t="s">
        <v>52</v>
      </c>
      <c r="G705">
        <v>323</v>
      </c>
      <c r="H705">
        <v>2</v>
      </c>
      <c r="I705">
        <v>93.74</v>
      </c>
      <c r="J705">
        <v>160.47999999999999</v>
      </c>
      <c r="K705" t="s">
        <v>60</v>
      </c>
      <c r="L705">
        <v>0.2</v>
      </c>
    </row>
    <row r="706" spans="1:12" x14ac:dyDescent="0.25">
      <c r="A706" t="s">
        <v>847</v>
      </c>
      <c r="B706">
        <v>6</v>
      </c>
      <c r="C706" s="1">
        <v>45993.720636574071</v>
      </c>
      <c r="D706" t="s">
        <v>110</v>
      </c>
      <c r="E706" t="s">
        <v>111</v>
      </c>
      <c r="F706" t="s">
        <v>30</v>
      </c>
      <c r="G706">
        <v>2162</v>
      </c>
      <c r="H706">
        <v>3</v>
      </c>
      <c r="I706">
        <v>1486.06</v>
      </c>
      <c r="J706">
        <v>2184.65</v>
      </c>
      <c r="L706">
        <v>0</v>
      </c>
    </row>
    <row r="707" spans="1:12" x14ac:dyDescent="0.25">
      <c r="A707" t="s">
        <v>848</v>
      </c>
      <c r="B707">
        <v>17</v>
      </c>
      <c r="C707" s="1">
        <v>45993.764062499999</v>
      </c>
      <c r="D707" t="s">
        <v>74</v>
      </c>
      <c r="E707" t="s">
        <v>75</v>
      </c>
      <c r="F707" t="s">
        <v>30</v>
      </c>
      <c r="G707">
        <v>2243</v>
      </c>
      <c r="H707">
        <v>1</v>
      </c>
      <c r="I707">
        <v>2095.29</v>
      </c>
      <c r="J707">
        <v>3402.33</v>
      </c>
      <c r="L707">
        <v>0</v>
      </c>
    </row>
    <row r="708" spans="1:12" x14ac:dyDescent="0.25">
      <c r="A708" t="s">
        <v>849</v>
      </c>
      <c r="B708">
        <v>23</v>
      </c>
      <c r="C708" s="1">
        <v>45993.869884259257</v>
      </c>
      <c r="D708" t="s">
        <v>81</v>
      </c>
      <c r="E708" t="s">
        <v>82</v>
      </c>
      <c r="F708" t="s">
        <v>45</v>
      </c>
      <c r="G708">
        <v>0</v>
      </c>
      <c r="H708">
        <v>3</v>
      </c>
      <c r="I708">
        <v>50.33</v>
      </c>
      <c r="J708">
        <v>66.540000000000006</v>
      </c>
      <c r="L708">
        <v>0</v>
      </c>
    </row>
    <row r="709" spans="1:12" x14ac:dyDescent="0.25">
      <c r="A709" t="s">
        <v>850</v>
      </c>
      <c r="B709">
        <v>137</v>
      </c>
      <c r="C709" s="1">
        <v>45994.143125000002</v>
      </c>
      <c r="D709" t="s">
        <v>37</v>
      </c>
      <c r="E709" t="s">
        <v>38</v>
      </c>
      <c r="F709" t="s">
        <v>30</v>
      </c>
      <c r="G709">
        <v>2339</v>
      </c>
      <c r="H709">
        <v>1</v>
      </c>
      <c r="I709">
        <v>829.19</v>
      </c>
      <c r="J709">
        <v>1232.8</v>
      </c>
      <c r="L709">
        <v>0</v>
      </c>
    </row>
    <row r="710" spans="1:12" x14ac:dyDescent="0.25">
      <c r="A710" t="s">
        <v>851</v>
      </c>
      <c r="B710">
        <v>81</v>
      </c>
      <c r="C710" s="1">
        <v>45994.201620370368</v>
      </c>
      <c r="D710" t="s">
        <v>37</v>
      </c>
      <c r="E710" t="s">
        <v>38</v>
      </c>
      <c r="F710" t="s">
        <v>30</v>
      </c>
      <c r="G710">
        <v>2529</v>
      </c>
      <c r="H710">
        <v>1</v>
      </c>
      <c r="I710">
        <v>878.91</v>
      </c>
      <c r="J710">
        <v>1472.79</v>
      </c>
      <c r="L710">
        <v>0</v>
      </c>
    </row>
    <row r="711" spans="1:12" x14ac:dyDescent="0.25">
      <c r="A711" t="s">
        <v>852</v>
      </c>
      <c r="B711">
        <v>109</v>
      </c>
      <c r="C711" s="1">
        <v>45994.901354166657</v>
      </c>
      <c r="D711" t="s">
        <v>92</v>
      </c>
      <c r="E711" t="s">
        <v>93</v>
      </c>
      <c r="F711" t="s">
        <v>52</v>
      </c>
      <c r="G711">
        <v>245</v>
      </c>
      <c r="H711">
        <v>2</v>
      </c>
      <c r="I711">
        <v>57.02</v>
      </c>
      <c r="J711">
        <v>84.02</v>
      </c>
      <c r="L711">
        <v>0</v>
      </c>
    </row>
    <row r="712" spans="1:12" x14ac:dyDescent="0.25">
      <c r="A712" t="s">
        <v>853</v>
      </c>
      <c r="B712">
        <v>65</v>
      </c>
      <c r="C712" s="1">
        <v>45995.802060185182</v>
      </c>
      <c r="D712" t="s">
        <v>50</v>
      </c>
      <c r="E712" t="s">
        <v>51</v>
      </c>
      <c r="F712" t="s">
        <v>52</v>
      </c>
      <c r="G712">
        <v>703</v>
      </c>
      <c r="H712">
        <v>3</v>
      </c>
      <c r="I712">
        <v>186.98</v>
      </c>
      <c r="J712">
        <v>225.97</v>
      </c>
      <c r="L712">
        <v>0</v>
      </c>
    </row>
    <row r="713" spans="1:12" x14ac:dyDescent="0.25">
      <c r="A713" t="s">
        <v>854</v>
      </c>
      <c r="B713">
        <v>26</v>
      </c>
      <c r="C713" s="1">
        <v>45996.243935185194</v>
      </c>
      <c r="D713" t="s">
        <v>114</v>
      </c>
      <c r="E713" t="s">
        <v>115</v>
      </c>
      <c r="F713" t="s">
        <v>116</v>
      </c>
      <c r="G713">
        <v>0</v>
      </c>
      <c r="H713">
        <v>2</v>
      </c>
      <c r="I713">
        <v>391.62</v>
      </c>
      <c r="J713">
        <v>732.05</v>
      </c>
      <c r="L713">
        <v>0</v>
      </c>
    </row>
    <row r="714" spans="1:12" x14ac:dyDescent="0.25">
      <c r="A714" t="s">
        <v>855</v>
      </c>
      <c r="B714">
        <v>10</v>
      </c>
      <c r="C714" s="1">
        <v>45996.291134259263</v>
      </c>
      <c r="D714" t="s">
        <v>114</v>
      </c>
      <c r="E714" t="s">
        <v>115</v>
      </c>
      <c r="F714" t="s">
        <v>116</v>
      </c>
      <c r="G714">
        <v>0</v>
      </c>
      <c r="H714">
        <v>3</v>
      </c>
      <c r="I714">
        <v>346.4</v>
      </c>
      <c r="J714">
        <v>675.15</v>
      </c>
      <c r="K714" t="s">
        <v>46</v>
      </c>
      <c r="L714">
        <v>0.1</v>
      </c>
    </row>
    <row r="715" spans="1:12" x14ac:dyDescent="0.25">
      <c r="A715" t="s">
        <v>856</v>
      </c>
      <c r="B715">
        <v>162</v>
      </c>
      <c r="C715" s="1">
        <v>45998.080428240741</v>
      </c>
      <c r="D715" t="s">
        <v>105</v>
      </c>
      <c r="E715" t="s">
        <v>106</v>
      </c>
      <c r="F715" t="s">
        <v>30</v>
      </c>
      <c r="G715">
        <v>2061</v>
      </c>
      <c r="H715">
        <v>1</v>
      </c>
      <c r="I715">
        <v>358.04</v>
      </c>
      <c r="J715">
        <v>637.87</v>
      </c>
      <c r="L715">
        <v>0</v>
      </c>
    </row>
    <row r="716" spans="1:12" x14ac:dyDescent="0.25">
      <c r="A716" t="s">
        <v>857</v>
      </c>
      <c r="B716">
        <v>94</v>
      </c>
      <c r="C716" s="1">
        <v>45998.558599537027</v>
      </c>
      <c r="D716" t="s">
        <v>164</v>
      </c>
      <c r="E716" t="s">
        <v>165</v>
      </c>
      <c r="F716" t="s">
        <v>116</v>
      </c>
      <c r="G716">
        <v>0</v>
      </c>
      <c r="H716">
        <v>3</v>
      </c>
      <c r="I716">
        <v>354.35</v>
      </c>
      <c r="J716">
        <v>586.91</v>
      </c>
      <c r="K716" t="s">
        <v>46</v>
      </c>
      <c r="L716">
        <v>0.1</v>
      </c>
    </row>
    <row r="717" spans="1:12" x14ac:dyDescent="0.25">
      <c r="A717" t="s">
        <v>858</v>
      </c>
      <c r="B717">
        <v>90</v>
      </c>
      <c r="C717" s="1">
        <v>45998.585243055553</v>
      </c>
      <c r="D717" t="s">
        <v>74</v>
      </c>
      <c r="E717" t="s">
        <v>75</v>
      </c>
      <c r="F717" t="s">
        <v>30</v>
      </c>
      <c r="G717">
        <v>2988</v>
      </c>
      <c r="H717">
        <v>2</v>
      </c>
      <c r="I717">
        <v>2669.18</v>
      </c>
      <c r="J717">
        <v>3530.79</v>
      </c>
      <c r="K717" t="s">
        <v>60</v>
      </c>
      <c r="L717">
        <v>0.2</v>
      </c>
    </row>
    <row r="718" spans="1:12" x14ac:dyDescent="0.25">
      <c r="A718" t="s">
        <v>859</v>
      </c>
      <c r="B718">
        <v>78</v>
      </c>
      <c r="C718" s="1">
        <v>45999.602013888893</v>
      </c>
      <c r="D718" t="s">
        <v>92</v>
      </c>
      <c r="E718" t="s">
        <v>93</v>
      </c>
      <c r="F718" t="s">
        <v>52</v>
      </c>
      <c r="G718">
        <v>217</v>
      </c>
      <c r="H718">
        <v>2</v>
      </c>
      <c r="I718">
        <v>20.18</v>
      </c>
      <c r="J718">
        <v>82.89</v>
      </c>
      <c r="K718" t="s">
        <v>46</v>
      </c>
      <c r="L718">
        <v>0.1</v>
      </c>
    </row>
    <row r="719" spans="1:12" x14ac:dyDescent="0.25">
      <c r="A719" t="s">
        <v>860</v>
      </c>
      <c r="B719">
        <v>62</v>
      </c>
      <c r="C719" s="1">
        <v>45999.933437500003</v>
      </c>
      <c r="D719" t="s">
        <v>123</v>
      </c>
      <c r="E719" t="s">
        <v>124</v>
      </c>
      <c r="F719" t="s">
        <v>45</v>
      </c>
      <c r="G719">
        <v>0</v>
      </c>
      <c r="H719">
        <v>3</v>
      </c>
      <c r="I719">
        <v>74.5</v>
      </c>
      <c r="J719">
        <v>98.7</v>
      </c>
      <c r="L719">
        <v>0</v>
      </c>
    </row>
    <row r="720" spans="1:12" x14ac:dyDescent="0.25">
      <c r="A720" t="s">
        <v>861</v>
      </c>
      <c r="B720">
        <v>129</v>
      </c>
      <c r="C720" s="1">
        <v>46000.091539351852</v>
      </c>
      <c r="D720" t="s">
        <v>198</v>
      </c>
      <c r="E720" t="s">
        <v>199</v>
      </c>
      <c r="F720" t="s">
        <v>116</v>
      </c>
      <c r="G720">
        <v>0</v>
      </c>
      <c r="H720">
        <v>2</v>
      </c>
      <c r="I720">
        <v>336.61</v>
      </c>
      <c r="J720">
        <v>704.78</v>
      </c>
      <c r="K720" t="s">
        <v>60</v>
      </c>
      <c r="L720">
        <v>0.2</v>
      </c>
    </row>
    <row r="721" spans="1:12" x14ac:dyDescent="0.25">
      <c r="A721" t="s">
        <v>862</v>
      </c>
      <c r="B721">
        <v>127</v>
      </c>
      <c r="C721" s="1">
        <v>46000.986979166657</v>
      </c>
      <c r="D721" t="s">
        <v>114</v>
      </c>
      <c r="E721" t="s">
        <v>115</v>
      </c>
      <c r="F721" t="s">
        <v>116</v>
      </c>
      <c r="G721">
        <v>0</v>
      </c>
      <c r="H721">
        <v>1</v>
      </c>
      <c r="I721">
        <v>395.46</v>
      </c>
      <c r="J721">
        <v>633.38</v>
      </c>
      <c r="L721">
        <v>0</v>
      </c>
    </row>
    <row r="722" spans="1:12" x14ac:dyDescent="0.25">
      <c r="A722" t="s">
        <v>863</v>
      </c>
      <c r="B722">
        <v>116</v>
      </c>
      <c r="C722" s="1">
        <v>46001.292870370373</v>
      </c>
      <c r="D722" t="s">
        <v>66</v>
      </c>
      <c r="E722" t="s">
        <v>67</v>
      </c>
      <c r="F722" t="s">
        <v>52</v>
      </c>
      <c r="G722">
        <v>300</v>
      </c>
      <c r="H722">
        <v>1</v>
      </c>
      <c r="I722">
        <v>47.23</v>
      </c>
      <c r="J722">
        <v>125.91</v>
      </c>
      <c r="L722">
        <v>0</v>
      </c>
    </row>
    <row r="723" spans="1:12" x14ac:dyDescent="0.25">
      <c r="A723" t="s">
        <v>864</v>
      </c>
      <c r="B723">
        <v>149</v>
      </c>
      <c r="C723" s="1">
        <v>46001.388275462959</v>
      </c>
      <c r="D723" t="s">
        <v>50</v>
      </c>
      <c r="E723" t="s">
        <v>51</v>
      </c>
      <c r="F723" t="s">
        <v>52</v>
      </c>
      <c r="G723">
        <v>602</v>
      </c>
      <c r="H723">
        <v>1</v>
      </c>
      <c r="I723">
        <v>148.59</v>
      </c>
      <c r="J723">
        <v>335.7</v>
      </c>
      <c r="K723" t="s">
        <v>60</v>
      </c>
      <c r="L723">
        <v>0.2</v>
      </c>
    </row>
    <row r="724" spans="1:12" x14ac:dyDescent="0.25">
      <c r="A724" t="s">
        <v>865</v>
      </c>
      <c r="B724">
        <v>44</v>
      </c>
      <c r="C724" s="1">
        <v>46001.985138888893</v>
      </c>
      <c r="D724" t="s">
        <v>74</v>
      </c>
      <c r="E724" t="s">
        <v>75</v>
      </c>
      <c r="F724" t="s">
        <v>30</v>
      </c>
      <c r="G724">
        <v>2229</v>
      </c>
      <c r="H724">
        <v>1</v>
      </c>
      <c r="I724">
        <v>2789.38</v>
      </c>
      <c r="J724">
        <v>4607.99</v>
      </c>
      <c r="L724">
        <v>0</v>
      </c>
    </row>
    <row r="725" spans="1:12" x14ac:dyDescent="0.25">
      <c r="A725" t="s">
        <v>866</v>
      </c>
      <c r="B725">
        <v>36</v>
      </c>
      <c r="C725" s="1">
        <v>46002.200057870366</v>
      </c>
      <c r="D725" t="s">
        <v>66</v>
      </c>
      <c r="E725" t="s">
        <v>67</v>
      </c>
      <c r="F725" t="s">
        <v>52</v>
      </c>
      <c r="G725">
        <v>298</v>
      </c>
      <c r="H725">
        <v>3</v>
      </c>
      <c r="I725">
        <v>44.91</v>
      </c>
      <c r="J725">
        <v>144.18</v>
      </c>
      <c r="L725">
        <v>0</v>
      </c>
    </row>
    <row r="726" spans="1:12" x14ac:dyDescent="0.25">
      <c r="A726" t="s">
        <v>867</v>
      </c>
      <c r="B726">
        <v>138</v>
      </c>
      <c r="C726" s="1">
        <v>46003.277986111112</v>
      </c>
      <c r="D726" t="s">
        <v>198</v>
      </c>
      <c r="E726" t="s">
        <v>199</v>
      </c>
      <c r="F726" t="s">
        <v>116</v>
      </c>
      <c r="G726">
        <v>0</v>
      </c>
      <c r="H726">
        <v>2</v>
      </c>
      <c r="I726">
        <v>342.71</v>
      </c>
      <c r="J726">
        <v>634.16</v>
      </c>
      <c r="L726">
        <v>0</v>
      </c>
    </row>
    <row r="727" spans="1:12" x14ac:dyDescent="0.25">
      <c r="A727" t="s">
        <v>868</v>
      </c>
      <c r="B727">
        <v>26</v>
      </c>
      <c r="C727" s="1">
        <v>46004.44159722222</v>
      </c>
      <c r="D727" t="s">
        <v>155</v>
      </c>
      <c r="E727" t="s">
        <v>156</v>
      </c>
      <c r="F727" t="s">
        <v>30</v>
      </c>
      <c r="G727">
        <v>4926</v>
      </c>
      <c r="H727">
        <v>2</v>
      </c>
      <c r="I727">
        <v>912.97</v>
      </c>
      <c r="J727">
        <v>1967.56</v>
      </c>
      <c r="L727">
        <v>0</v>
      </c>
    </row>
    <row r="728" spans="1:12" x14ac:dyDescent="0.25">
      <c r="A728" t="s">
        <v>869</v>
      </c>
      <c r="B728">
        <v>111</v>
      </c>
      <c r="C728" s="1">
        <v>46004.812245370369</v>
      </c>
      <c r="D728" t="s">
        <v>95</v>
      </c>
      <c r="E728" t="s">
        <v>96</v>
      </c>
      <c r="F728" t="s">
        <v>52</v>
      </c>
      <c r="G728">
        <v>351</v>
      </c>
      <c r="H728">
        <v>2</v>
      </c>
      <c r="I728">
        <v>15.11</v>
      </c>
      <c r="J728">
        <v>63.66</v>
      </c>
      <c r="L728">
        <v>0</v>
      </c>
    </row>
    <row r="729" spans="1:12" x14ac:dyDescent="0.25">
      <c r="A729" t="s">
        <v>870</v>
      </c>
      <c r="B729">
        <v>153</v>
      </c>
      <c r="C729" s="1">
        <v>46004.925462962958</v>
      </c>
      <c r="D729" t="s">
        <v>58</v>
      </c>
      <c r="E729" t="s">
        <v>59</v>
      </c>
      <c r="F729" t="s">
        <v>30</v>
      </c>
      <c r="G729">
        <v>4717</v>
      </c>
      <c r="H729">
        <v>3</v>
      </c>
      <c r="I729">
        <v>265.45</v>
      </c>
      <c r="J729">
        <v>690.26</v>
      </c>
      <c r="K729" t="s">
        <v>60</v>
      </c>
      <c r="L729">
        <v>0.2</v>
      </c>
    </row>
    <row r="730" spans="1:12" x14ac:dyDescent="0.25">
      <c r="A730" t="s">
        <v>871</v>
      </c>
      <c r="B730">
        <v>61</v>
      </c>
      <c r="C730" s="1">
        <v>46005.176458333342</v>
      </c>
      <c r="D730" t="s">
        <v>123</v>
      </c>
      <c r="E730" t="s">
        <v>124</v>
      </c>
      <c r="F730" t="s">
        <v>45</v>
      </c>
      <c r="G730">
        <v>0</v>
      </c>
      <c r="H730">
        <v>1</v>
      </c>
      <c r="I730">
        <v>52.25</v>
      </c>
      <c r="J730">
        <v>200.4</v>
      </c>
      <c r="L730">
        <v>0</v>
      </c>
    </row>
    <row r="731" spans="1:12" x14ac:dyDescent="0.25">
      <c r="A731" t="s">
        <v>872</v>
      </c>
      <c r="B731">
        <v>168</v>
      </c>
      <c r="C731" s="1">
        <v>46005.368784722217</v>
      </c>
      <c r="D731" t="s">
        <v>95</v>
      </c>
      <c r="E731" t="s">
        <v>96</v>
      </c>
      <c r="F731" t="s">
        <v>52</v>
      </c>
      <c r="G731">
        <v>593</v>
      </c>
      <c r="H731">
        <v>3</v>
      </c>
      <c r="I731">
        <v>29.02</v>
      </c>
      <c r="J731">
        <v>75.72</v>
      </c>
      <c r="L731">
        <v>0</v>
      </c>
    </row>
    <row r="732" spans="1:12" x14ac:dyDescent="0.25">
      <c r="A732" t="s">
        <v>873</v>
      </c>
      <c r="B732">
        <v>188</v>
      </c>
      <c r="C732" s="1">
        <v>46005.37222222222</v>
      </c>
      <c r="D732" t="s">
        <v>95</v>
      </c>
      <c r="E732" t="s">
        <v>96</v>
      </c>
      <c r="F732" t="s">
        <v>52</v>
      </c>
      <c r="G732">
        <v>582</v>
      </c>
      <c r="H732">
        <v>2</v>
      </c>
      <c r="I732">
        <v>23.08</v>
      </c>
      <c r="J732">
        <v>91.7</v>
      </c>
      <c r="K732" t="s">
        <v>60</v>
      </c>
      <c r="L732">
        <v>0.2</v>
      </c>
    </row>
    <row r="733" spans="1:12" x14ac:dyDescent="0.25">
      <c r="A733" t="s">
        <v>874</v>
      </c>
      <c r="B733">
        <v>42</v>
      </c>
      <c r="C733" s="1">
        <v>46005.401875000003</v>
      </c>
      <c r="D733" t="s">
        <v>137</v>
      </c>
      <c r="E733" t="s">
        <v>138</v>
      </c>
      <c r="F733" t="s">
        <v>52</v>
      </c>
      <c r="G733">
        <v>484</v>
      </c>
      <c r="H733">
        <v>3</v>
      </c>
      <c r="I733">
        <v>149.69999999999999</v>
      </c>
      <c r="J733">
        <v>182.62</v>
      </c>
      <c r="K733" t="s">
        <v>60</v>
      </c>
      <c r="L733">
        <v>0.2</v>
      </c>
    </row>
    <row r="734" spans="1:12" x14ac:dyDescent="0.25">
      <c r="A734" t="s">
        <v>875</v>
      </c>
      <c r="B734">
        <v>17</v>
      </c>
      <c r="C734" s="1">
        <v>46006.348067129627</v>
      </c>
      <c r="D734" t="s">
        <v>137</v>
      </c>
      <c r="E734" t="s">
        <v>138</v>
      </c>
      <c r="F734" t="s">
        <v>52</v>
      </c>
      <c r="G734">
        <v>383</v>
      </c>
      <c r="H734">
        <v>2</v>
      </c>
      <c r="I734">
        <v>132.41999999999999</v>
      </c>
      <c r="J734">
        <v>158.1</v>
      </c>
      <c r="L734">
        <v>0</v>
      </c>
    </row>
    <row r="735" spans="1:12" x14ac:dyDescent="0.25">
      <c r="A735" t="s">
        <v>876</v>
      </c>
      <c r="B735">
        <v>106</v>
      </c>
      <c r="C735" s="1">
        <v>46007.015428240738</v>
      </c>
      <c r="D735" t="s">
        <v>58</v>
      </c>
      <c r="E735" t="s">
        <v>59</v>
      </c>
      <c r="F735" t="s">
        <v>30</v>
      </c>
      <c r="G735">
        <v>4903</v>
      </c>
      <c r="H735">
        <v>3</v>
      </c>
      <c r="I735">
        <v>346.57</v>
      </c>
      <c r="J735">
        <v>475.45</v>
      </c>
      <c r="L735">
        <v>0</v>
      </c>
    </row>
    <row r="736" spans="1:12" x14ac:dyDescent="0.25">
      <c r="A736" t="s">
        <v>877</v>
      </c>
      <c r="B736">
        <v>78</v>
      </c>
      <c r="C736" s="1">
        <v>46007.246354166673</v>
      </c>
      <c r="D736" t="s">
        <v>66</v>
      </c>
      <c r="E736" t="s">
        <v>67</v>
      </c>
      <c r="F736" t="s">
        <v>52</v>
      </c>
      <c r="G736">
        <v>279</v>
      </c>
      <c r="H736">
        <v>1</v>
      </c>
      <c r="I736">
        <v>46.1</v>
      </c>
      <c r="J736">
        <v>70.84</v>
      </c>
      <c r="L736">
        <v>0</v>
      </c>
    </row>
    <row r="737" spans="1:12" x14ac:dyDescent="0.25">
      <c r="A737" t="s">
        <v>878</v>
      </c>
      <c r="B737">
        <v>9</v>
      </c>
      <c r="C737" s="1">
        <v>46007.364074074067</v>
      </c>
      <c r="D737" t="s">
        <v>86</v>
      </c>
      <c r="E737" t="s">
        <v>87</v>
      </c>
      <c r="F737" t="s">
        <v>45</v>
      </c>
      <c r="G737">
        <v>0</v>
      </c>
      <c r="H737">
        <v>1</v>
      </c>
      <c r="I737">
        <v>53.51</v>
      </c>
      <c r="J737">
        <v>152.15</v>
      </c>
      <c r="K737" t="s">
        <v>60</v>
      </c>
      <c r="L737">
        <v>0.2</v>
      </c>
    </row>
    <row r="738" spans="1:12" x14ac:dyDescent="0.25">
      <c r="A738" t="s">
        <v>879</v>
      </c>
      <c r="B738">
        <v>54</v>
      </c>
      <c r="C738" s="1">
        <v>46008.439641203702</v>
      </c>
      <c r="D738" t="s">
        <v>114</v>
      </c>
      <c r="E738" t="s">
        <v>115</v>
      </c>
      <c r="F738" t="s">
        <v>116</v>
      </c>
      <c r="G738">
        <v>0</v>
      </c>
      <c r="H738">
        <v>1</v>
      </c>
      <c r="I738">
        <v>449.3</v>
      </c>
      <c r="J738">
        <v>727.02</v>
      </c>
      <c r="L738">
        <v>0</v>
      </c>
    </row>
    <row r="739" spans="1:12" x14ac:dyDescent="0.25">
      <c r="A739" t="s">
        <v>880</v>
      </c>
      <c r="B739">
        <v>15</v>
      </c>
      <c r="C739" s="1">
        <v>46008.441099537027</v>
      </c>
      <c r="D739" t="s">
        <v>164</v>
      </c>
      <c r="E739" t="s">
        <v>165</v>
      </c>
      <c r="F739" t="s">
        <v>116</v>
      </c>
      <c r="G739">
        <v>0</v>
      </c>
      <c r="H739">
        <v>3</v>
      </c>
      <c r="I739">
        <v>443.17</v>
      </c>
      <c r="J739">
        <v>736.87</v>
      </c>
      <c r="L739">
        <v>0</v>
      </c>
    </row>
    <row r="740" spans="1:12" x14ac:dyDescent="0.25">
      <c r="A740" t="s">
        <v>881</v>
      </c>
      <c r="B740">
        <v>190</v>
      </c>
      <c r="C740" s="1">
        <v>46008.923368055563</v>
      </c>
      <c r="D740" t="s">
        <v>71</v>
      </c>
      <c r="E740" t="s">
        <v>72</v>
      </c>
      <c r="F740" t="s">
        <v>52</v>
      </c>
      <c r="G740">
        <v>333</v>
      </c>
      <c r="H740">
        <v>3</v>
      </c>
      <c r="I740">
        <v>52.66</v>
      </c>
      <c r="J740">
        <v>127.49</v>
      </c>
      <c r="L740">
        <v>0</v>
      </c>
    </row>
    <row r="741" spans="1:12" x14ac:dyDescent="0.25">
      <c r="A741" t="s">
        <v>882</v>
      </c>
      <c r="B741">
        <v>40</v>
      </c>
      <c r="C741" s="1">
        <v>46009.056770833333</v>
      </c>
      <c r="D741" t="s">
        <v>95</v>
      </c>
      <c r="E741" t="s">
        <v>96</v>
      </c>
      <c r="F741" t="s">
        <v>52</v>
      </c>
      <c r="G741">
        <v>337</v>
      </c>
      <c r="H741">
        <v>2</v>
      </c>
      <c r="I741">
        <v>30.88</v>
      </c>
      <c r="J741">
        <v>47.41</v>
      </c>
      <c r="K741" t="s">
        <v>46</v>
      </c>
      <c r="L741">
        <v>0.1</v>
      </c>
    </row>
    <row r="742" spans="1:12" x14ac:dyDescent="0.25">
      <c r="A742" t="s">
        <v>883</v>
      </c>
      <c r="B742">
        <v>114</v>
      </c>
      <c r="C742" s="1">
        <v>46009.254490740743</v>
      </c>
      <c r="D742" t="s">
        <v>28</v>
      </c>
      <c r="E742" t="s">
        <v>29</v>
      </c>
      <c r="F742" t="s">
        <v>30</v>
      </c>
      <c r="G742">
        <v>2160</v>
      </c>
      <c r="H742">
        <v>2</v>
      </c>
      <c r="I742">
        <v>1636.5</v>
      </c>
      <c r="J742">
        <v>3971.22</v>
      </c>
      <c r="L742">
        <v>0</v>
      </c>
    </row>
    <row r="743" spans="1:12" x14ac:dyDescent="0.25">
      <c r="A743" t="s">
        <v>884</v>
      </c>
      <c r="B743">
        <v>174</v>
      </c>
      <c r="C743" s="1">
        <v>46009.647534722222</v>
      </c>
      <c r="D743" t="s">
        <v>137</v>
      </c>
      <c r="E743" t="s">
        <v>138</v>
      </c>
      <c r="F743" t="s">
        <v>52</v>
      </c>
      <c r="G743">
        <v>364</v>
      </c>
      <c r="H743">
        <v>3</v>
      </c>
      <c r="I743">
        <v>69.25</v>
      </c>
      <c r="J743">
        <v>166.22</v>
      </c>
      <c r="L743">
        <v>0</v>
      </c>
    </row>
    <row r="744" spans="1:12" x14ac:dyDescent="0.25">
      <c r="A744" t="s">
        <v>885</v>
      </c>
      <c r="B744">
        <v>143</v>
      </c>
      <c r="C744" s="1">
        <v>46009.814467592587</v>
      </c>
      <c r="D744" t="s">
        <v>95</v>
      </c>
      <c r="E744" t="s">
        <v>96</v>
      </c>
      <c r="F744" t="s">
        <v>52</v>
      </c>
      <c r="G744">
        <v>306</v>
      </c>
      <c r="H744">
        <v>1</v>
      </c>
      <c r="I744">
        <v>39.25</v>
      </c>
      <c r="J744">
        <v>66.069999999999993</v>
      </c>
      <c r="L744">
        <v>0</v>
      </c>
    </row>
    <row r="745" spans="1:12" x14ac:dyDescent="0.25">
      <c r="A745" t="s">
        <v>886</v>
      </c>
      <c r="B745">
        <v>24</v>
      </c>
      <c r="C745" s="1">
        <v>46009.846620370372</v>
      </c>
      <c r="D745" t="s">
        <v>66</v>
      </c>
      <c r="E745" t="s">
        <v>67</v>
      </c>
      <c r="F745" t="s">
        <v>52</v>
      </c>
      <c r="G745">
        <v>292</v>
      </c>
      <c r="H745">
        <v>3</v>
      </c>
      <c r="I745">
        <v>56.12</v>
      </c>
      <c r="J745">
        <v>128.81</v>
      </c>
      <c r="L745">
        <v>0</v>
      </c>
    </row>
    <row r="746" spans="1:12" x14ac:dyDescent="0.25">
      <c r="A746" t="s">
        <v>887</v>
      </c>
      <c r="B746">
        <v>128</v>
      </c>
      <c r="C746" s="1">
        <v>46010.097303240742</v>
      </c>
      <c r="D746" t="s">
        <v>71</v>
      </c>
      <c r="E746" t="s">
        <v>72</v>
      </c>
      <c r="F746" t="s">
        <v>52</v>
      </c>
      <c r="G746">
        <v>200</v>
      </c>
      <c r="H746">
        <v>3</v>
      </c>
      <c r="I746">
        <v>70.62</v>
      </c>
      <c r="J746">
        <v>108.83</v>
      </c>
      <c r="L746">
        <v>0</v>
      </c>
    </row>
    <row r="747" spans="1:12" x14ac:dyDescent="0.25">
      <c r="A747" t="s">
        <v>888</v>
      </c>
      <c r="B747">
        <v>73</v>
      </c>
      <c r="C747" s="1">
        <v>46010.117094907408</v>
      </c>
      <c r="D747" t="s">
        <v>198</v>
      </c>
      <c r="E747" t="s">
        <v>199</v>
      </c>
      <c r="F747" t="s">
        <v>116</v>
      </c>
      <c r="G747">
        <v>0</v>
      </c>
      <c r="H747">
        <v>2</v>
      </c>
      <c r="I747">
        <v>432.67</v>
      </c>
      <c r="J747">
        <v>744.44</v>
      </c>
      <c r="L747">
        <v>0</v>
      </c>
    </row>
    <row r="748" spans="1:12" x14ac:dyDescent="0.25">
      <c r="A748" t="s">
        <v>889</v>
      </c>
      <c r="B748">
        <v>152</v>
      </c>
      <c r="C748" s="1">
        <v>46010.389004629629</v>
      </c>
      <c r="D748" t="s">
        <v>37</v>
      </c>
      <c r="E748" t="s">
        <v>38</v>
      </c>
      <c r="F748" t="s">
        <v>30</v>
      </c>
      <c r="G748">
        <v>2114</v>
      </c>
      <c r="H748">
        <v>1</v>
      </c>
      <c r="I748">
        <v>711.86</v>
      </c>
      <c r="J748">
        <v>891.34</v>
      </c>
      <c r="K748" t="s">
        <v>46</v>
      </c>
      <c r="L748">
        <v>0.1</v>
      </c>
    </row>
    <row r="749" spans="1:12" x14ac:dyDescent="0.25">
      <c r="A749" t="s">
        <v>890</v>
      </c>
      <c r="B749">
        <v>147</v>
      </c>
      <c r="C749" s="1">
        <v>46010.834594907406</v>
      </c>
      <c r="D749" t="s">
        <v>95</v>
      </c>
      <c r="E749" t="s">
        <v>96</v>
      </c>
      <c r="F749" t="s">
        <v>52</v>
      </c>
      <c r="G749">
        <v>336</v>
      </c>
      <c r="H749">
        <v>2</v>
      </c>
      <c r="I749">
        <v>17.190000000000001</v>
      </c>
      <c r="J749">
        <v>68.7</v>
      </c>
      <c r="L749">
        <v>0</v>
      </c>
    </row>
    <row r="750" spans="1:12" x14ac:dyDescent="0.25">
      <c r="A750" t="s">
        <v>891</v>
      </c>
      <c r="B750">
        <v>3</v>
      </c>
      <c r="C750" s="1">
        <v>46010.897592592592</v>
      </c>
      <c r="D750" t="s">
        <v>37</v>
      </c>
      <c r="E750" t="s">
        <v>38</v>
      </c>
      <c r="F750" t="s">
        <v>30</v>
      </c>
      <c r="G750">
        <v>2317</v>
      </c>
      <c r="H750">
        <v>2</v>
      </c>
      <c r="I750">
        <v>406.64</v>
      </c>
      <c r="J750">
        <v>1108.45</v>
      </c>
      <c r="L750">
        <v>0</v>
      </c>
    </row>
    <row r="751" spans="1:12" x14ac:dyDescent="0.25">
      <c r="A751" t="s">
        <v>892</v>
      </c>
      <c r="B751">
        <v>5</v>
      </c>
      <c r="C751" s="1">
        <v>46010.986562500002</v>
      </c>
      <c r="D751" t="s">
        <v>177</v>
      </c>
      <c r="E751" t="s">
        <v>178</v>
      </c>
      <c r="F751" t="s">
        <v>116</v>
      </c>
      <c r="G751">
        <v>0</v>
      </c>
      <c r="H751">
        <v>3</v>
      </c>
      <c r="I751">
        <v>182</v>
      </c>
      <c r="J751">
        <v>398.37</v>
      </c>
      <c r="L751">
        <v>0</v>
      </c>
    </row>
    <row r="752" spans="1:12" x14ac:dyDescent="0.25">
      <c r="A752" t="s">
        <v>893</v>
      </c>
      <c r="B752">
        <v>175</v>
      </c>
      <c r="C752" s="1">
        <v>46011.963101851848</v>
      </c>
      <c r="D752" t="s">
        <v>86</v>
      </c>
      <c r="E752" t="s">
        <v>87</v>
      </c>
      <c r="F752" t="s">
        <v>45</v>
      </c>
      <c r="G752">
        <v>0</v>
      </c>
      <c r="H752">
        <v>2</v>
      </c>
      <c r="I752">
        <v>99.59</v>
      </c>
      <c r="J752">
        <v>199.21</v>
      </c>
      <c r="L752">
        <v>0</v>
      </c>
    </row>
    <row r="753" spans="1:12" x14ac:dyDescent="0.25">
      <c r="A753" t="s">
        <v>894</v>
      </c>
      <c r="B753">
        <v>199</v>
      </c>
      <c r="C753" s="1">
        <v>46012.303784722222</v>
      </c>
      <c r="D753" t="s">
        <v>81</v>
      </c>
      <c r="E753" t="s">
        <v>82</v>
      </c>
      <c r="F753" t="s">
        <v>45</v>
      </c>
      <c r="G753">
        <v>0</v>
      </c>
      <c r="H753">
        <v>2</v>
      </c>
      <c r="I753">
        <v>33.18</v>
      </c>
      <c r="J753">
        <v>66.599999999999994</v>
      </c>
      <c r="L753">
        <v>0</v>
      </c>
    </row>
    <row r="754" spans="1:12" x14ac:dyDescent="0.25">
      <c r="A754" t="s">
        <v>895</v>
      </c>
      <c r="B754">
        <v>169</v>
      </c>
      <c r="C754" s="1">
        <v>46012.725266203714</v>
      </c>
      <c r="D754" t="s">
        <v>137</v>
      </c>
      <c r="E754" t="s">
        <v>138</v>
      </c>
      <c r="F754" t="s">
        <v>52</v>
      </c>
      <c r="G754">
        <v>318</v>
      </c>
      <c r="H754">
        <v>2</v>
      </c>
      <c r="I754">
        <v>68.819999999999993</v>
      </c>
      <c r="J754">
        <v>134.65</v>
      </c>
      <c r="L754">
        <v>0</v>
      </c>
    </row>
    <row r="755" spans="1:12" x14ac:dyDescent="0.25">
      <c r="A755" t="s">
        <v>896</v>
      </c>
      <c r="B755">
        <v>127</v>
      </c>
      <c r="C755" s="1">
        <v>46012.887476851851</v>
      </c>
      <c r="D755" t="s">
        <v>74</v>
      </c>
      <c r="E755" t="s">
        <v>75</v>
      </c>
      <c r="F755" t="s">
        <v>30</v>
      </c>
      <c r="G755">
        <v>2724</v>
      </c>
      <c r="H755">
        <v>2</v>
      </c>
      <c r="I755">
        <v>2375.88</v>
      </c>
      <c r="J755">
        <v>4658.83</v>
      </c>
      <c r="K755" t="s">
        <v>46</v>
      </c>
      <c r="L755">
        <v>0.1</v>
      </c>
    </row>
    <row r="756" spans="1:12" x14ac:dyDescent="0.25">
      <c r="A756" t="s">
        <v>897</v>
      </c>
      <c r="B756">
        <v>120</v>
      </c>
      <c r="C756" s="1">
        <v>46013.311736111107</v>
      </c>
      <c r="D756" t="s">
        <v>71</v>
      </c>
      <c r="E756" t="s">
        <v>72</v>
      </c>
      <c r="F756" t="s">
        <v>52</v>
      </c>
      <c r="G756">
        <v>229</v>
      </c>
      <c r="H756">
        <v>2</v>
      </c>
      <c r="I756">
        <v>75.650000000000006</v>
      </c>
      <c r="J756">
        <v>139.41</v>
      </c>
      <c r="K756" t="s">
        <v>46</v>
      </c>
      <c r="L756">
        <v>0.1</v>
      </c>
    </row>
    <row r="757" spans="1:12" x14ac:dyDescent="0.25">
      <c r="A757" t="s">
        <v>898</v>
      </c>
      <c r="B757">
        <v>16</v>
      </c>
      <c r="C757" s="1">
        <v>46013.635254629633</v>
      </c>
      <c r="D757" t="s">
        <v>92</v>
      </c>
      <c r="E757" t="s">
        <v>93</v>
      </c>
      <c r="F757" t="s">
        <v>52</v>
      </c>
      <c r="G757">
        <v>261</v>
      </c>
      <c r="H757">
        <v>2</v>
      </c>
      <c r="I757">
        <v>28.92</v>
      </c>
      <c r="J757">
        <v>85.85</v>
      </c>
      <c r="K757" t="s">
        <v>60</v>
      </c>
      <c r="L757">
        <v>0.2</v>
      </c>
    </row>
    <row r="758" spans="1:12" x14ac:dyDescent="0.25">
      <c r="A758" t="s">
        <v>899</v>
      </c>
      <c r="B758">
        <v>55</v>
      </c>
      <c r="C758" s="1">
        <v>46014.168564814812</v>
      </c>
      <c r="D758" t="s">
        <v>37</v>
      </c>
      <c r="E758" t="s">
        <v>38</v>
      </c>
      <c r="F758" t="s">
        <v>30</v>
      </c>
      <c r="G758">
        <v>2134</v>
      </c>
      <c r="H758">
        <v>3</v>
      </c>
      <c r="I758">
        <v>798.45</v>
      </c>
      <c r="J758">
        <v>1372.01</v>
      </c>
      <c r="K758" t="s">
        <v>60</v>
      </c>
      <c r="L758">
        <v>0.2</v>
      </c>
    </row>
    <row r="759" spans="1:12" x14ac:dyDescent="0.25">
      <c r="A759" t="s">
        <v>900</v>
      </c>
      <c r="B759">
        <v>2</v>
      </c>
      <c r="C759" s="1">
        <v>46014.325358796297</v>
      </c>
      <c r="D759" t="s">
        <v>177</v>
      </c>
      <c r="E759" t="s">
        <v>178</v>
      </c>
      <c r="F759" t="s">
        <v>116</v>
      </c>
      <c r="G759">
        <v>0</v>
      </c>
      <c r="H759">
        <v>1</v>
      </c>
      <c r="I759">
        <v>311.35000000000002</v>
      </c>
      <c r="J759">
        <v>528.82000000000005</v>
      </c>
      <c r="L759">
        <v>0</v>
      </c>
    </row>
    <row r="760" spans="1:12" x14ac:dyDescent="0.25">
      <c r="A760" t="s">
        <v>901</v>
      </c>
      <c r="B760">
        <v>56</v>
      </c>
      <c r="C760" s="1">
        <v>46014.449374999997</v>
      </c>
      <c r="D760" t="s">
        <v>123</v>
      </c>
      <c r="E760" t="s">
        <v>124</v>
      </c>
      <c r="F760" t="s">
        <v>45</v>
      </c>
      <c r="G760">
        <v>0</v>
      </c>
      <c r="H760">
        <v>2</v>
      </c>
      <c r="I760">
        <v>241.05</v>
      </c>
      <c r="J760">
        <v>330.82</v>
      </c>
      <c r="K760" t="s">
        <v>46</v>
      </c>
      <c r="L760">
        <v>0.1</v>
      </c>
    </row>
    <row r="761" spans="1:12" x14ac:dyDescent="0.25">
      <c r="A761" t="s">
        <v>902</v>
      </c>
      <c r="B761">
        <v>89</v>
      </c>
      <c r="C761" s="1">
        <v>46014.513437499998</v>
      </c>
      <c r="D761" t="s">
        <v>66</v>
      </c>
      <c r="E761" t="s">
        <v>67</v>
      </c>
      <c r="F761" t="s">
        <v>52</v>
      </c>
      <c r="G761">
        <v>295</v>
      </c>
      <c r="H761">
        <v>3</v>
      </c>
      <c r="I761">
        <v>78.44</v>
      </c>
      <c r="J761">
        <v>138.24</v>
      </c>
      <c r="L761">
        <v>0</v>
      </c>
    </row>
    <row r="762" spans="1:12" x14ac:dyDescent="0.25">
      <c r="A762" t="s">
        <v>903</v>
      </c>
      <c r="B762">
        <v>122</v>
      </c>
      <c r="C762" s="1">
        <v>46014.542951388888</v>
      </c>
      <c r="D762" t="s">
        <v>37</v>
      </c>
      <c r="E762" t="s">
        <v>38</v>
      </c>
      <c r="F762" t="s">
        <v>30</v>
      </c>
      <c r="G762">
        <v>2050</v>
      </c>
      <c r="H762">
        <v>3</v>
      </c>
      <c r="I762">
        <v>552.22</v>
      </c>
      <c r="J762">
        <v>1192.06</v>
      </c>
      <c r="K762" t="s">
        <v>60</v>
      </c>
      <c r="L762">
        <v>0.2</v>
      </c>
    </row>
    <row r="763" spans="1:12" x14ac:dyDescent="0.25">
      <c r="A763" t="s">
        <v>904</v>
      </c>
      <c r="B763">
        <v>200</v>
      </c>
      <c r="C763" s="1">
        <v>46014.658692129633</v>
      </c>
      <c r="D763" t="s">
        <v>177</v>
      </c>
      <c r="E763" t="s">
        <v>178</v>
      </c>
      <c r="F763" t="s">
        <v>116</v>
      </c>
      <c r="G763">
        <v>0</v>
      </c>
      <c r="H763">
        <v>3</v>
      </c>
      <c r="I763">
        <v>288.79000000000002</v>
      </c>
      <c r="J763">
        <v>553.47</v>
      </c>
      <c r="K763" t="s">
        <v>46</v>
      </c>
      <c r="L763">
        <v>0.1</v>
      </c>
    </row>
    <row r="764" spans="1:12" x14ac:dyDescent="0.25">
      <c r="A764" t="s">
        <v>905</v>
      </c>
      <c r="B764">
        <v>184</v>
      </c>
      <c r="C764" s="1">
        <v>46014.663842592592</v>
      </c>
      <c r="D764" t="s">
        <v>89</v>
      </c>
      <c r="E764" t="s">
        <v>90</v>
      </c>
      <c r="F764" t="s">
        <v>52</v>
      </c>
      <c r="G764">
        <v>299</v>
      </c>
      <c r="H764">
        <v>3</v>
      </c>
      <c r="I764">
        <v>74.650000000000006</v>
      </c>
      <c r="J764">
        <v>189.28</v>
      </c>
      <c r="L764">
        <v>0</v>
      </c>
    </row>
    <row r="765" spans="1:12" x14ac:dyDescent="0.25">
      <c r="A765" t="s">
        <v>906</v>
      </c>
      <c r="B765">
        <v>86</v>
      </c>
      <c r="C765" s="1">
        <v>46015.024224537039</v>
      </c>
      <c r="D765" t="s">
        <v>66</v>
      </c>
      <c r="E765" t="s">
        <v>67</v>
      </c>
      <c r="F765" t="s">
        <v>52</v>
      </c>
      <c r="G765">
        <v>256</v>
      </c>
      <c r="H765">
        <v>1</v>
      </c>
      <c r="I765">
        <v>59.88</v>
      </c>
      <c r="J765">
        <v>79.75</v>
      </c>
      <c r="L765">
        <v>0</v>
      </c>
    </row>
    <row r="766" spans="1:12" x14ac:dyDescent="0.25">
      <c r="A766" t="s">
        <v>907</v>
      </c>
      <c r="B766">
        <v>103</v>
      </c>
      <c r="C766" s="1">
        <v>46015.082407407397</v>
      </c>
      <c r="D766" t="s">
        <v>71</v>
      </c>
      <c r="E766" t="s">
        <v>72</v>
      </c>
      <c r="F766" t="s">
        <v>52</v>
      </c>
      <c r="G766">
        <v>204</v>
      </c>
      <c r="H766">
        <v>1</v>
      </c>
      <c r="I766">
        <v>58.81</v>
      </c>
      <c r="J766">
        <v>147.38</v>
      </c>
      <c r="K766" t="s">
        <v>46</v>
      </c>
      <c r="L766">
        <v>0.1</v>
      </c>
    </row>
    <row r="767" spans="1:12" x14ac:dyDescent="0.25">
      <c r="A767" t="s">
        <v>908</v>
      </c>
      <c r="B767">
        <v>69</v>
      </c>
      <c r="C767" s="1">
        <v>46015.510659722233</v>
      </c>
      <c r="D767" t="s">
        <v>58</v>
      </c>
      <c r="E767" t="s">
        <v>59</v>
      </c>
      <c r="F767" t="s">
        <v>30</v>
      </c>
      <c r="G767">
        <v>4075</v>
      </c>
      <c r="H767">
        <v>3</v>
      </c>
      <c r="I767">
        <v>493.53</v>
      </c>
      <c r="J767">
        <v>631.30999999999995</v>
      </c>
      <c r="L767">
        <v>0</v>
      </c>
    </row>
    <row r="768" spans="1:12" x14ac:dyDescent="0.25">
      <c r="A768" t="s">
        <v>909</v>
      </c>
      <c r="B768">
        <v>175</v>
      </c>
      <c r="C768" s="1">
        <v>46016.488113425927</v>
      </c>
      <c r="D768" t="s">
        <v>155</v>
      </c>
      <c r="E768" t="s">
        <v>156</v>
      </c>
      <c r="F768" t="s">
        <v>30</v>
      </c>
      <c r="G768">
        <v>4577</v>
      </c>
      <c r="H768">
        <v>1</v>
      </c>
      <c r="I768">
        <v>1188.3</v>
      </c>
      <c r="J768">
        <v>1485.23</v>
      </c>
      <c r="K768" t="s">
        <v>46</v>
      </c>
      <c r="L768">
        <v>0.1</v>
      </c>
    </row>
    <row r="769" spans="1:12" x14ac:dyDescent="0.25">
      <c r="A769" t="s">
        <v>910</v>
      </c>
      <c r="B769">
        <v>95</v>
      </c>
      <c r="C769" s="1">
        <v>46016.625763888893</v>
      </c>
      <c r="D769" t="s">
        <v>50</v>
      </c>
      <c r="E769" t="s">
        <v>51</v>
      </c>
      <c r="F769" t="s">
        <v>52</v>
      </c>
      <c r="G769">
        <v>796</v>
      </c>
      <c r="H769">
        <v>3</v>
      </c>
      <c r="I769">
        <v>126.09</v>
      </c>
      <c r="J769">
        <v>229.35</v>
      </c>
      <c r="K769" t="s">
        <v>46</v>
      </c>
      <c r="L769">
        <v>0.1</v>
      </c>
    </row>
    <row r="770" spans="1:12" x14ac:dyDescent="0.25">
      <c r="A770" t="s">
        <v>911</v>
      </c>
      <c r="B770">
        <v>53</v>
      </c>
      <c r="C770" s="1">
        <v>46017.064351851863</v>
      </c>
      <c r="D770" t="s">
        <v>123</v>
      </c>
      <c r="E770" t="s">
        <v>124</v>
      </c>
      <c r="F770" t="s">
        <v>45</v>
      </c>
      <c r="G770">
        <v>0</v>
      </c>
      <c r="H770">
        <v>3</v>
      </c>
      <c r="I770">
        <v>107.25</v>
      </c>
      <c r="J770">
        <v>471.32</v>
      </c>
      <c r="L770">
        <v>0</v>
      </c>
    </row>
    <row r="771" spans="1:12" x14ac:dyDescent="0.25">
      <c r="A771" t="s">
        <v>912</v>
      </c>
      <c r="B771">
        <v>23</v>
      </c>
      <c r="C771" s="1">
        <v>46017.229039351849</v>
      </c>
      <c r="D771" t="s">
        <v>123</v>
      </c>
      <c r="E771" t="s">
        <v>124</v>
      </c>
      <c r="F771" t="s">
        <v>45</v>
      </c>
      <c r="G771">
        <v>0</v>
      </c>
      <c r="H771">
        <v>1</v>
      </c>
      <c r="I771">
        <v>286.77999999999997</v>
      </c>
      <c r="J771">
        <v>441.02</v>
      </c>
      <c r="K771" t="s">
        <v>46</v>
      </c>
      <c r="L771">
        <v>0.1</v>
      </c>
    </row>
    <row r="772" spans="1:12" x14ac:dyDescent="0.25">
      <c r="A772" t="s">
        <v>913</v>
      </c>
      <c r="B772">
        <v>156</v>
      </c>
      <c r="C772" s="1">
        <v>46017.427152777767</v>
      </c>
      <c r="D772" t="s">
        <v>50</v>
      </c>
      <c r="E772" t="s">
        <v>51</v>
      </c>
      <c r="F772" t="s">
        <v>52</v>
      </c>
      <c r="G772">
        <v>722</v>
      </c>
      <c r="H772">
        <v>1</v>
      </c>
      <c r="I772">
        <v>90.04</v>
      </c>
      <c r="J772">
        <v>329.57</v>
      </c>
      <c r="K772" t="s">
        <v>46</v>
      </c>
      <c r="L772">
        <v>0.1</v>
      </c>
    </row>
    <row r="773" spans="1:12" x14ac:dyDescent="0.25">
      <c r="A773" t="s">
        <v>914</v>
      </c>
      <c r="B773">
        <v>145</v>
      </c>
      <c r="C773" s="1">
        <v>46018.195567129631</v>
      </c>
      <c r="D773" t="s">
        <v>50</v>
      </c>
      <c r="E773" t="s">
        <v>51</v>
      </c>
      <c r="F773" t="s">
        <v>52</v>
      </c>
      <c r="G773">
        <v>760</v>
      </c>
      <c r="H773">
        <v>1</v>
      </c>
      <c r="I773">
        <v>122.57</v>
      </c>
      <c r="J773">
        <v>279.14</v>
      </c>
      <c r="K773" t="s">
        <v>46</v>
      </c>
      <c r="L773">
        <v>0.1</v>
      </c>
    </row>
    <row r="774" spans="1:12" x14ac:dyDescent="0.25">
      <c r="A774" t="s">
        <v>915</v>
      </c>
      <c r="B774">
        <v>170</v>
      </c>
      <c r="C774" s="1">
        <v>46018.243530092594</v>
      </c>
      <c r="D774" t="s">
        <v>177</v>
      </c>
      <c r="E774" t="s">
        <v>178</v>
      </c>
      <c r="F774" t="s">
        <v>116</v>
      </c>
      <c r="G774">
        <v>0</v>
      </c>
      <c r="H774">
        <v>2</v>
      </c>
      <c r="I774">
        <v>254.61</v>
      </c>
      <c r="J774">
        <v>338.22</v>
      </c>
      <c r="K774" t="s">
        <v>46</v>
      </c>
      <c r="L774">
        <v>0.1</v>
      </c>
    </row>
    <row r="775" spans="1:12" x14ac:dyDescent="0.25">
      <c r="A775" t="s">
        <v>916</v>
      </c>
      <c r="B775">
        <v>97</v>
      </c>
      <c r="C775" s="1">
        <v>46019.45616898148</v>
      </c>
      <c r="D775" t="s">
        <v>43</v>
      </c>
      <c r="E775" t="s">
        <v>44</v>
      </c>
      <c r="F775" t="s">
        <v>45</v>
      </c>
      <c r="G775">
        <v>0</v>
      </c>
      <c r="H775">
        <v>3</v>
      </c>
      <c r="I775">
        <v>26.11</v>
      </c>
      <c r="J775">
        <v>130.13</v>
      </c>
      <c r="L775">
        <v>0</v>
      </c>
    </row>
    <row r="776" spans="1:12" x14ac:dyDescent="0.25">
      <c r="A776" t="s">
        <v>917</v>
      </c>
      <c r="B776">
        <v>61</v>
      </c>
      <c r="C776" s="1">
        <v>46019.457453703697</v>
      </c>
      <c r="D776" t="s">
        <v>58</v>
      </c>
      <c r="E776" t="s">
        <v>59</v>
      </c>
      <c r="F776" t="s">
        <v>30</v>
      </c>
      <c r="G776">
        <v>4023</v>
      </c>
      <c r="H776">
        <v>3</v>
      </c>
      <c r="I776">
        <v>325.57</v>
      </c>
      <c r="J776">
        <v>494.06</v>
      </c>
      <c r="L776">
        <v>0</v>
      </c>
    </row>
    <row r="777" spans="1:12" x14ac:dyDescent="0.25">
      <c r="A777" t="s">
        <v>918</v>
      </c>
      <c r="B777">
        <v>27</v>
      </c>
      <c r="C777" s="1">
        <v>46020.552499999998</v>
      </c>
      <c r="D777" t="s">
        <v>66</v>
      </c>
      <c r="E777" t="s">
        <v>67</v>
      </c>
      <c r="F777" t="s">
        <v>52</v>
      </c>
      <c r="G777">
        <v>235</v>
      </c>
      <c r="H777">
        <v>3</v>
      </c>
      <c r="I777">
        <v>33.549999999999997</v>
      </c>
      <c r="J777">
        <v>135.19</v>
      </c>
      <c r="K777" t="s">
        <v>46</v>
      </c>
      <c r="L777">
        <v>0.1</v>
      </c>
    </row>
    <row r="778" spans="1:12" x14ac:dyDescent="0.25">
      <c r="A778" t="s">
        <v>919</v>
      </c>
      <c r="B778">
        <v>194</v>
      </c>
      <c r="C778" s="1">
        <v>46020.800057870372</v>
      </c>
      <c r="D778" t="s">
        <v>177</v>
      </c>
      <c r="E778" t="s">
        <v>178</v>
      </c>
      <c r="F778" t="s">
        <v>116</v>
      </c>
      <c r="G778">
        <v>0</v>
      </c>
      <c r="H778">
        <v>1</v>
      </c>
      <c r="I778">
        <v>306.14</v>
      </c>
      <c r="J778">
        <v>454.04</v>
      </c>
      <c r="L778">
        <v>0</v>
      </c>
    </row>
    <row r="779" spans="1:12" x14ac:dyDescent="0.25">
      <c r="A779" t="s">
        <v>920</v>
      </c>
      <c r="B779">
        <v>114</v>
      </c>
      <c r="C779" s="1">
        <v>46020.808020833327</v>
      </c>
      <c r="D779" t="s">
        <v>110</v>
      </c>
      <c r="E779" t="s">
        <v>111</v>
      </c>
      <c r="F779" t="s">
        <v>30</v>
      </c>
      <c r="G779">
        <v>2138</v>
      </c>
      <c r="H779">
        <v>2</v>
      </c>
      <c r="I779">
        <v>1292.82</v>
      </c>
      <c r="J779">
        <v>1683.04</v>
      </c>
      <c r="K779" t="s">
        <v>46</v>
      </c>
      <c r="L779">
        <v>0.1</v>
      </c>
    </row>
    <row r="780" spans="1:12" x14ac:dyDescent="0.25">
      <c r="A780" t="s">
        <v>921</v>
      </c>
      <c r="B780">
        <v>145</v>
      </c>
      <c r="C780" s="1">
        <v>46021.086481481478</v>
      </c>
      <c r="D780" t="s">
        <v>123</v>
      </c>
      <c r="E780" t="s">
        <v>124</v>
      </c>
      <c r="F780" t="s">
        <v>45</v>
      </c>
      <c r="G780">
        <v>0</v>
      </c>
      <c r="H780">
        <v>3</v>
      </c>
      <c r="I780">
        <v>170.38</v>
      </c>
      <c r="J780">
        <v>236.81</v>
      </c>
      <c r="K780" t="s">
        <v>60</v>
      </c>
      <c r="L780">
        <v>0.2</v>
      </c>
    </row>
    <row r="781" spans="1:12" x14ac:dyDescent="0.25">
      <c r="A781" t="s">
        <v>922</v>
      </c>
      <c r="B781">
        <v>88</v>
      </c>
      <c r="C781" s="1">
        <v>46021.228402777779</v>
      </c>
      <c r="D781" t="s">
        <v>137</v>
      </c>
      <c r="E781" t="s">
        <v>138</v>
      </c>
      <c r="F781" t="s">
        <v>52</v>
      </c>
      <c r="G781">
        <v>338</v>
      </c>
      <c r="H781">
        <v>3</v>
      </c>
      <c r="I781">
        <v>79.98</v>
      </c>
      <c r="J781">
        <v>121.9</v>
      </c>
      <c r="K781" t="s">
        <v>46</v>
      </c>
      <c r="L781">
        <v>0.1</v>
      </c>
    </row>
    <row r="782" spans="1:12" x14ac:dyDescent="0.25">
      <c r="A782" t="s">
        <v>923</v>
      </c>
      <c r="B782">
        <v>105</v>
      </c>
      <c r="C782" s="1">
        <v>46021.312083333331</v>
      </c>
      <c r="D782" t="s">
        <v>137</v>
      </c>
      <c r="E782" t="s">
        <v>138</v>
      </c>
      <c r="F782" t="s">
        <v>52</v>
      </c>
      <c r="G782">
        <v>433</v>
      </c>
      <c r="H782">
        <v>3</v>
      </c>
      <c r="I782">
        <v>97.3</v>
      </c>
      <c r="J782">
        <v>189.25</v>
      </c>
      <c r="K782" t="s">
        <v>46</v>
      </c>
      <c r="L782">
        <v>0.1</v>
      </c>
    </row>
    <row r="783" spans="1:12" x14ac:dyDescent="0.25">
      <c r="A783" t="s">
        <v>924</v>
      </c>
      <c r="B783">
        <v>168</v>
      </c>
      <c r="C783" s="1">
        <v>46021.730891203697</v>
      </c>
      <c r="D783" t="s">
        <v>155</v>
      </c>
      <c r="E783" t="s">
        <v>156</v>
      </c>
      <c r="F783" t="s">
        <v>30</v>
      </c>
      <c r="G783">
        <v>3921</v>
      </c>
      <c r="H783">
        <v>2</v>
      </c>
      <c r="I783">
        <v>694.13</v>
      </c>
      <c r="J783">
        <v>872.51</v>
      </c>
      <c r="L783">
        <v>0</v>
      </c>
    </row>
    <row r="784" spans="1:12" x14ac:dyDescent="0.25">
      <c r="A784" t="s">
        <v>925</v>
      </c>
      <c r="B784">
        <v>132</v>
      </c>
      <c r="C784" s="1">
        <v>46021.958541666667</v>
      </c>
      <c r="D784" t="s">
        <v>110</v>
      </c>
      <c r="E784" t="s">
        <v>111</v>
      </c>
      <c r="F784" t="s">
        <v>30</v>
      </c>
      <c r="G784">
        <v>2174</v>
      </c>
      <c r="H784">
        <v>1</v>
      </c>
      <c r="I784">
        <v>991.12</v>
      </c>
      <c r="J784">
        <v>2077.4699999999998</v>
      </c>
      <c r="K784" t="s">
        <v>60</v>
      </c>
      <c r="L784">
        <v>0.2</v>
      </c>
    </row>
    <row r="785" spans="1:12" x14ac:dyDescent="0.25">
      <c r="A785" t="s">
        <v>926</v>
      </c>
      <c r="B785">
        <v>117</v>
      </c>
      <c r="C785" s="1">
        <v>46022.104317129633</v>
      </c>
      <c r="D785" t="s">
        <v>81</v>
      </c>
      <c r="E785" t="s">
        <v>82</v>
      </c>
      <c r="F785" t="s">
        <v>45</v>
      </c>
      <c r="G785">
        <v>0</v>
      </c>
      <c r="H785">
        <v>2</v>
      </c>
      <c r="I785">
        <v>25.84</v>
      </c>
      <c r="J785">
        <v>58</v>
      </c>
      <c r="L785">
        <v>0</v>
      </c>
    </row>
    <row r="786" spans="1:12" x14ac:dyDescent="0.25">
      <c r="A786" t="s">
        <v>927</v>
      </c>
      <c r="B786">
        <v>58</v>
      </c>
      <c r="C786" s="1">
        <v>46022.177002314813</v>
      </c>
      <c r="D786" t="s">
        <v>58</v>
      </c>
      <c r="E786" t="s">
        <v>59</v>
      </c>
      <c r="F786" t="s">
        <v>30</v>
      </c>
      <c r="G786">
        <v>4289</v>
      </c>
      <c r="H786">
        <v>1</v>
      </c>
      <c r="I786">
        <v>427.89</v>
      </c>
      <c r="J786">
        <v>606.23</v>
      </c>
      <c r="K786" t="s">
        <v>46</v>
      </c>
      <c r="L786">
        <v>0.1</v>
      </c>
    </row>
    <row r="787" spans="1:12" x14ac:dyDescent="0.25">
      <c r="A787" t="s">
        <v>928</v>
      </c>
      <c r="B787">
        <v>185</v>
      </c>
      <c r="C787" s="1">
        <v>46022.276620370372</v>
      </c>
      <c r="D787" t="s">
        <v>81</v>
      </c>
      <c r="E787" t="s">
        <v>82</v>
      </c>
      <c r="F787" t="s">
        <v>45</v>
      </c>
      <c r="G787">
        <v>0</v>
      </c>
      <c r="H787">
        <v>1</v>
      </c>
      <c r="I787">
        <v>45.19</v>
      </c>
      <c r="J787">
        <v>221.43</v>
      </c>
      <c r="K787" t="s">
        <v>60</v>
      </c>
      <c r="L787">
        <v>0.2</v>
      </c>
    </row>
    <row r="788" spans="1:12" x14ac:dyDescent="0.25">
      <c r="A788" t="s">
        <v>929</v>
      </c>
      <c r="B788">
        <v>24</v>
      </c>
      <c r="C788" s="1">
        <v>46022.332743055558</v>
      </c>
      <c r="D788" t="s">
        <v>110</v>
      </c>
      <c r="E788" t="s">
        <v>111</v>
      </c>
      <c r="F788" t="s">
        <v>30</v>
      </c>
      <c r="G788">
        <v>2046</v>
      </c>
      <c r="H788">
        <v>3</v>
      </c>
      <c r="I788">
        <v>977.14</v>
      </c>
      <c r="J788">
        <v>1930.07</v>
      </c>
      <c r="L788">
        <v>0</v>
      </c>
    </row>
    <row r="789" spans="1:12" x14ac:dyDescent="0.25">
      <c r="A789" t="s">
        <v>930</v>
      </c>
      <c r="B789">
        <v>74</v>
      </c>
      <c r="C789" s="1">
        <v>46022.465821759259</v>
      </c>
      <c r="D789" t="s">
        <v>37</v>
      </c>
      <c r="E789" t="s">
        <v>38</v>
      </c>
      <c r="F789" t="s">
        <v>30</v>
      </c>
      <c r="G789">
        <v>2574</v>
      </c>
      <c r="H789">
        <v>1</v>
      </c>
      <c r="I789">
        <v>598.66999999999996</v>
      </c>
      <c r="J789">
        <v>1200.6600000000001</v>
      </c>
      <c r="L789">
        <v>0</v>
      </c>
    </row>
    <row r="790" spans="1:12" x14ac:dyDescent="0.25">
      <c r="A790" t="s">
        <v>931</v>
      </c>
      <c r="B790">
        <v>163</v>
      </c>
      <c r="C790" s="1">
        <v>46022.615937499999</v>
      </c>
      <c r="D790" t="s">
        <v>89</v>
      </c>
      <c r="E790" t="s">
        <v>90</v>
      </c>
      <c r="F790" t="s">
        <v>52</v>
      </c>
      <c r="G790">
        <v>339</v>
      </c>
      <c r="H790">
        <v>2</v>
      </c>
      <c r="I790">
        <v>114.54</v>
      </c>
      <c r="J790">
        <v>202.39</v>
      </c>
      <c r="K790" t="s">
        <v>46</v>
      </c>
      <c r="L790">
        <v>0.1</v>
      </c>
    </row>
    <row r="791" spans="1:12" x14ac:dyDescent="0.25">
      <c r="A791" t="s">
        <v>932</v>
      </c>
      <c r="B791">
        <v>104</v>
      </c>
      <c r="C791" s="1">
        <v>46022.656597222223</v>
      </c>
      <c r="D791" t="s">
        <v>123</v>
      </c>
      <c r="E791" t="s">
        <v>124</v>
      </c>
      <c r="F791" t="s">
        <v>45</v>
      </c>
      <c r="G791">
        <v>0</v>
      </c>
      <c r="H791">
        <v>1</v>
      </c>
      <c r="I791">
        <v>96.39</v>
      </c>
      <c r="J791">
        <v>479.59</v>
      </c>
      <c r="K791" t="s">
        <v>46</v>
      </c>
      <c r="L791">
        <v>0.1</v>
      </c>
    </row>
    <row r="792" spans="1:12" x14ac:dyDescent="0.25">
      <c r="A792" t="s">
        <v>933</v>
      </c>
      <c r="B792">
        <v>60</v>
      </c>
      <c r="C792" s="1">
        <v>46023.543356481481</v>
      </c>
      <c r="D792" t="s">
        <v>81</v>
      </c>
      <c r="E792" t="s">
        <v>82</v>
      </c>
      <c r="F792" t="s">
        <v>45</v>
      </c>
      <c r="G792">
        <v>0</v>
      </c>
      <c r="H792">
        <v>1</v>
      </c>
      <c r="I792">
        <v>84.85</v>
      </c>
      <c r="J792">
        <v>104.3</v>
      </c>
      <c r="L792">
        <v>0</v>
      </c>
    </row>
    <row r="793" spans="1:12" x14ac:dyDescent="0.25">
      <c r="A793" t="s">
        <v>934</v>
      </c>
      <c r="B793">
        <v>189</v>
      </c>
      <c r="C793" s="1">
        <v>46023.646990740737</v>
      </c>
      <c r="D793" t="s">
        <v>28</v>
      </c>
      <c r="E793" t="s">
        <v>29</v>
      </c>
      <c r="F793" t="s">
        <v>30</v>
      </c>
      <c r="G793">
        <v>2623</v>
      </c>
      <c r="H793">
        <v>3</v>
      </c>
      <c r="I793">
        <v>1949.37</v>
      </c>
      <c r="J793">
        <v>2385.4</v>
      </c>
      <c r="L793">
        <v>0</v>
      </c>
    </row>
    <row r="794" spans="1:12" x14ac:dyDescent="0.25">
      <c r="A794" t="s">
        <v>935</v>
      </c>
      <c r="B794">
        <v>148</v>
      </c>
      <c r="C794" s="1">
        <v>46023.929166666669</v>
      </c>
      <c r="D794" t="s">
        <v>164</v>
      </c>
      <c r="E794" t="s">
        <v>165</v>
      </c>
      <c r="F794" t="s">
        <v>116</v>
      </c>
      <c r="G794">
        <v>0</v>
      </c>
      <c r="H794">
        <v>3</v>
      </c>
      <c r="I794">
        <v>345.7</v>
      </c>
      <c r="J794">
        <v>573.6</v>
      </c>
      <c r="K794" t="s">
        <v>46</v>
      </c>
      <c r="L794">
        <v>0.1</v>
      </c>
    </row>
    <row r="795" spans="1:12" x14ac:dyDescent="0.25">
      <c r="A795" t="s">
        <v>936</v>
      </c>
      <c r="B795">
        <v>149</v>
      </c>
      <c r="C795" s="1">
        <v>46024.450729166667</v>
      </c>
      <c r="D795" t="s">
        <v>50</v>
      </c>
      <c r="E795" t="s">
        <v>51</v>
      </c>
      <c r="F795" t="s">
        <v>52</v>
      </c>
      <c r="G795">
        <v>763</v>
      </c>
      <c r="H795">
        <v>2</v>
      </c>
      <c r="I795">
        <v>169.65</v>
      </c>
      <c r="J795">
        <v>309.99</v>
      </c>
      <c r="L795">
        <v>0</v>
      </c>
    </row>
    <row r="796" spans="1:12" x14ac:dyDescent="0.25">
      <c r="A796" t="s">
        <v>937</v>
      </c>
      <c r="B796">
        <v>185</v>
      </c>
      <c r="C796" s="1">
        <v>46024.491493055553</v>
      </c>
      <c r="D796" t="s">
        <v>74</v>
      </c>
      <c r="E796" t="s">
        <v>75</v>
      </c>
      <c r="F796" t="s">
        <v>30</v>
      </c>
      <c r="G796">
        <v>2976</v>
      </c>
      <c r="H796">
        <v>1</v>
      </c>
      <c r="I796">
        <v>2002.08</v>
      </c>
      <c r="J796">
        <v>3751.56</v>
      </c>
      <c r="L796">
        <v>0</v>
      </c>
    </row>
    <row r="797" spans="1:12" x14ac:dyDescent="0.25">
      <c r="A797" t="s">
        <v>938</v>
      </c>
      <c r="B797">
        <v>130</v>
      </c>
      <c r="C797" s="1">
        <v>46024.619293981479</v>
      </c>
      <c r="D797" t="s">
        <v>71</v>
      </c>
      <c r="E797" t="s">
        <v>72</v>
      </c>
      <c r="F797" t="s">
        <v>52</v>
      </c>
      <c r="G797">
        <v>265</v>
      </c>
      <c r="H797">
        <v>1</v>
      </c>
      <c r="I797">
        <v>68.92</v>
      </c>
      <c r="J797">
        <v>126.63</v>
      </c>
      <c r="K797" t="s">
        <v>46</v>
      </c>
      <c r="L797">
        <v>0.1</v>
      </c>
    </row>
    <row r="798" spans="1:12" x14ac:dyDescent="0.25">
      <c r="A798" t="s">
        <v>939</v>
      </c>
      <c r="B798">
        <v>43</v>
      </c>
      <c r="C798" s="1">
        <v>46024.914895833332</v>
      </c>
      <c r="D798" t="s">
        <v>89</v>
      </c>
      <c r="E798" t="s">
        <v>90</v>
      </c>
      <c r="F798" t="s">
        <v>52</v>
      </c>
      <c r="G798">
        <v>282</v>
      </c>
      <c r="H798">
        <v>3</v>
      </c>
      <c r="I798">
        <v>43.92</v>
      </c>
      <c r="J798">
        <v>206.44</v>
      </c>
      <c r="L798">
        <v>0</v>
      </c>
    </row>
    <row r="799" spans="1:12" x14ac:dyDescent="0.25">
      <c r="A799" t="s">
        <v>940</v>
      </c>
      <c r="B799">
        <v>68</v>
      </c>
      <c r="C799" s="1">
        <v>46025.000416666669</v>
      </c>
      <c r="D799" t="s">
        <v>37</v>
      </c>
      <c r="E799" t="s">
        <v>38</v>
      </c>
      <c r="F799" t="s">
        <v>30</v>
      </c>
      <c r="G799">
        <v>2428</v>
      </c>
      <c r="H799">
        <v>2</v>
      </c>
      <c r="I799">
        <v>505.14</v>
      </c>
      <c r="J799">
        <v>756.16</v>
      </c>
      <c r="L799">
        <v>0</v>
      </c>
    </row>
    <row r="800" spans="1:12" x14ac:dyDescent="0.25">
      <c r="A800" t="s">
        <v>941</v>
      </c>
      <c r="B800">
        <v>74</v>
      </c>
      <c r="C800" s="1">
        <v>46025.522638888891</v>
      </c>
      <c r="D800" t="s">
        <v>58</v>
      </c>
      <c r="E800" t="s">
        <v>59</v>
      </c>
      <c r="F800" t="s">
        <v>30</v>
      </c>
      <c r="G800">
        <v>4656</v>
      </c>
      <c r="H800">
        <v>2</v>
      </c>
      <c r="I800">
        <v>379.69</v>
      </c>
      <c r="J800">
        <v>585.28</v>
      </c>
      <c r="L800">
        <v>0</v>
      </c>
    </row>
    <row r="801" spans="1:12" x14ac:dyDescent="0.25">
      <c r="A801" t="s">
        <v>942</v>
      </c>
      <c r="B801">
        <v>39</v>
      </c>
      <c r="C801" s="1">
        <v>46025.834756944438</v>
      </c>
      <c r="D801" t="s">
        <v>50</v>
      </c>
      <c r="E801" t="s">
        <v>51</v>
      </c>
      <c r="F801" t="s">
        <v>52</v>
      </c>
      <c r="G801">
        <v>792</v>
      </c>
      <c r="H801">
        <v>1</v>
      </c>
      <c r="I801">
        <v>81.2</v>
      </c>
      <c r="J801">
        <v>151.44999999999999</v>
      </c>
      <c r="K801" t="s">
        <v>60</v>
      </c>
      <c r="L801">
        <v>0.2</v>
      </c>
    </row>
    <row r="802" spans="1:12" x14ac:dyDescent="0.25">
      <c r="A802" t="s">
        <v>943</v>
      </c>
      <c r="B802">
        <v>181</v>
      </c>
      <c r="C802" s="1">
        <v>46025.927025462966</v>
      </c>
      <c r="D802" t="s">
        <v>95</v>
      </c>
      <c r="E802" t="s">
        <v>96</v>
      </c>
      <c r="F802" t="s">
        <v>52</v>
      </c>
      <c r="G802">
        <v>489</v>
      </c>
      <c r="H802">
        <v>3</v>
      </c>
      <c r="I802">
        <v>26.87</v>
      </c>
      <c r="J802">
        <v>67.11</v>
      </c>
      <c r="K802" t="s">
        <v>46</v>
      </c>
      <c r="L802">
        <v>0.1</v>
      </c>
    </row>
    <row r="803" spans="1:12" x14ac:dyDescent="0.25">
      <c r="A803" t="s">
        <v>944</v>
      </c>
      <c r="B803">
        <v>198</v>
      </c>
      <c r="C803" s="1">
        <v>46025.967835648153</v>
      </c>
      <c r="D803" t="s">
        <v>71</v>
      </c>
      <c r="E803" t="s">
        <v>72</v>
      </c>
      <c r="F803" t="s">
        <v>52</v>
      </c>
      <c r="G803">
        <v>223</v>
      </c>
      <c r="H803">
        <v>2</v>
      </c>
      <c r="I803">
        <v>58.59</v>
      </c>
      <c r="J803">
        <v>101.63</v>
      </c>
      <c r="K803" t="s">
        <v>46</v>
      </c>
      <c r="L803">
        <v>0.1</v>
      </c>
    </row>
    <row r="804" spans="1:12" x14ac:dyDescent="0.25">
      <c r="A804" t="s">
        <v>945</v>
      </c>
      <c r="B804">
        <v>86</v>
      </c>
      <c r="C804" s="1">
        <v>46026.004513888889</v>
      </c>
      <c r="D804" t="s">
        <v>28</v>
      </c>
      <c r="E804" t="s">
        <v>29</v>
      </c>
      <c r="F804" t="s">
        <v>30</v>
      </c>
      <c r="G804">
        <v>2219</v>
      </c>
      <c r="H804">
        <v>3</v>
      </c>
      <c r="I804">
        <v>1531.27</v>
      </c>
      <c r="J804">
        <v>3434.66</v>
      </c>
      <c r="L804">
        <v>0</v>
      </c>
    </row>
    <row r="805" spans="1:12" x14ac:dyDescent="0.25">
      <c r="A805" t="s">
        <v>946</v>
      </c>
      <c r="B805">
        <v>186</v>
      </c>
      <c r="C805" s="1">
        <v>46027.303599537037</v>
      </c>
      <c r="D805" t="s">
        <v>50</v>
      </c>
      <c r="E805" t="s">
        <v>51</v>
      </c>
      <c r="F805" t="s">
        <v>52</v>
      </c>
      <c r="G805">
        <v>645</v>
      </c>
      <c r="H805">
        <v>2</v>
      </c>
      <c r="I805">
        <v>140.41</v>
      </c>
      <c r="J805">
        <v>220.22</v>
      </c>
      <c r="K805" t="s">
        <v>46</v>
      </c>
      <c r="L805">
        <v>0.1</v>
      </c>
    </row>
    <row r="806" spans="1:12" x14ac:dyDescent="0.25">
      <c r="A806" t="s">
        <v>947</v>
      </c>
      <c r="B806">
        <v>133</v>
      </c>
      <c r="C806" s="1">
        <v>46028.126655092587</v>
      </c>
      <c r="D806" t="s">
        <v>28</v>
      </c>
      <c r="E806" t="s">
        <v>29</v>
      </c>
      <c r="F806" t="s">
        <v>30</v>
      </c>
      <c r="G806">
        <v>2126</v>
      </c>
      <c r="H806">
        <v>2</v>
      </c>
      <c r="I806">
        <v>2406.92</v>
      </c>
      <c r="J806">
        <v>3513.48</v>
      </c>
      <c r="L806">
        <v>0</v>
      </c>
    </row>
    <row r="807" spans="1:12" x14ac:dyDescent="0.25">
      <c r="A807" t="s">
        <v>948</v>
      </c>
      <c r="B807">
        <v>60</v>
      </c>
      <c r="C807" s="1">
        <v>46029.610532407409</v>
      </c>
      <c r="D807" t="s">
        <v>81</v>
      </c>
      <c r="E807" t="s">
        <v>82</v>
      </c>
      <c r="F807" t="s">
        <v>45</v>
      </c>
      <c r="G807">
        <v>0</v>
      </c>
      <c r="H807">
        <v>3</v>
      </c>
      <c r="I807">
        <v>107.46</v>
      </c>
      <c r="J807">
        <v>236.2</v>
      </c>
      <c r="L807">
        <v>0</v>
      </c>
    </row>
    <row r="808" spans="1:12" x14ac:dyDescent="0.25">
      <c r="A808" t="s">
        <v>949</v>
      </c>
      <c r="B808">
        <v>100</v>
      </c>
      <c r="C808" s="1">
        <v>46029.644756944443</v>
      </c>
      <c r="D808" t="s">
        <v>28</v>
      </c>
      <c r="E808" t="s">
        <v>29</v>
      </c>
      <c r="F808" t="s">
        <v>30</v>
      </c>
      <c r="G808">
        <v>2531</v>
      </c>
      <c r="H808">
        <v>2</v>
      </c>
      <c r="I808">
        <v>1965.98</v>
      </c>
      <c r="J808">
        <v>3274.62</v>
      </c>
      <c r="K808" t="s">
        <v>60</v>
      </c>
      <c r="L808">
        <v>0.2</v>
      </c>
    </row>
    <row r="809" spans="1:12" x14ac:dyDescent="0.25">
      <c r="A809" t="s">
        <v>950</v>
      </c>
      <c r="B809">
        <v>102</v>
      </c>
      <c r="C809" s="1">
        <v>46030.717789351853</v>
      </c>
      <c r="D809" t="s">
        <v>81</v>
      </c>
      <c r="E809" t="s">
        <v>82</v>
      </c>
      <c r="F809" t="s">
        <v>45</v>
      </c>
      <c r="G809">
        <v>0</v>
      </c>
      <c r="H809">
        <v>2</v>
      </c>
      <c r="I809">
        <v>106.72</v>
      </c>
      <c r="J809">
        <v>158.94999999999999</v>
      </c>
      <c r="L809">
        <v>0</v>
      </c>
    </row>
    <row r="810" spans="1:12" x14ac:dyDescent="0.25">
      <c r="A810" t="s">
        <v>951</v>
      </c>
      <c r="B810">
        <v>43</v>
      </c>
      <c r="C810" s="1">
        <v>46030.749895833331</v>
      </c>
      <c r="D810" t="s">
        <v>92</v>
      </c>
      <c r="E810" t="s">
        <v>93</v>
      </c>
      <c r="F810" t="s">
        <v>52</v>
      </c>
      <c r="G810">
        <v>250</v>
      </c>
      <c r="H810">
        <v>2</v>
      </c>
      <c r="I810">
        <v>30.43</v>
      </c>
      <c r="J810">
        <v>41.11</v>
      </c>
      <c r="L810">
        <v>0</v>
      </c>
    </row>
    <row r="811" spans="1:12" x14ac:dyDescent="0.25">
      <c r="A811" t="s">
        <v>952</v>
      </c>
      <c r="B811">
        <v>172</v>
      </c>
      <c r="C811" s="1">
        <v>46030.879618055558</v>
      </c>
      <c r="D811" t="s">
        <v>28</v>
      </c>
      <c r="E811" t="s">
        <v>29</v>
      </c>
      <c r="F811" t="s">
        <v>30</v>
      </c>
      <c r="G811">
        <v>2681</v>
      </c>
      <c r="H811">
        <v>3</v>
      </c>
      <c r="I811">
        <v>2264.9299999999998</v>
      </c>
      <c r="J811">
        <v>3172.73</v>
      </c>
      <c r="L811">
        <v>0</v>
      </c>
    </row>
    <row r="812" spans="1:12" x14ac:dyDescent="0.25">
      <c r="A812" t="s">
        <v>953</v>
      </c>
      <c r="B812">
        <v>44</v>
      </c>
      <c r="C812" s="1">
        <v>46031.209456018521</v>
      </c>
      <c r="D812" t="s">
        <v>137</v>
      </c>
      <c r="E812" t="s">
        <v>138</v>
      </c>
      <c r="F812" t="s">
        <v>52</v>
      </c>
      <c r="G812">
        <v>451</v>
      </c>
      <c r="H812">
        <v>3</v>
      </c>
      <c r="I812">
        <v>100.03</v>
      </c>
      <c r="J812">
        <v>134.57</v>
      </c>
      <c r="L812">
        <v>0</v>
      </c>
    </row>
    <row r="813" spans="1:12" x14ac:dyDescent="0.25">
      <c r="A813" t="s">
        <v>954</v>
      </c>
      <c r="B813">
        <v>90</v>
      </c>
      <c r="C813" s="1">
        <v>46031.855763888889</v>
      </c>
      <c r="D813" t="s">
        <v>50</v>
      </c>
      <c r="E813" t="s">
        <v>51</v>
      </c>
      <c r="F813" t="s">
        <v>52</v>
      </c>
      <c r="G813">
        <v>655</v>
      </c>
      <c r="H813">
        <v>3</v>
      </c>
      <c r="I813">
        <v>135.04</v>
      </c>
      <c r="J813">
        <v>307.62</v>
      </c>
      <c r="L813">
        <v>0</v>
      </c>
    </row>
    <row r="814" spans="1:12" x14ac:dyDescent="0.25">
      <c r="A814" t="s">
        <v>955</v>
      </c>
      <c r="B814">
        <v>95</v>
      </c>
      <c r="C814" s="1">
        <v>46031.952615740738</v>
      </c>
      <c r="D814" t="s">
        <v>105</v>
      </c>
      <c r="E814" t="s">
        <v>106</v>
      </c>
      <c r="F814" t="s">
        <v>30</v>
      </c>
      <c r="G814">
        <v>2042</v>
      </c>
      <c r="H814">
        <v>3</v>
      </c>
      <c r="I814">
        <v>314.10000000000002</v>
      </c>
      <c r="J814">
        <v>389.43</v>
      </c>
      <c r="L814">
        <v>0</v>
      </c>
    </row>
    <row r="815" spans="1:12" x14ac:dyDescent="0.25">
      <c r="A815" t="s">
        <v>956</v>
      </c>
      <c r="B815">
        <v>155</v>
      </c>
      <c r="C815" s="1">
        <v>46033.216099537043</v>
      </c>
      <c r="D815" t="s">
        <v>137</v>
      </c>
      <c r="E815" t="s">
        <v>138</v>
      </c>
      <c r="F815" t="s">
        <v>52</v>
      </c>
      <c r="G815">
        <v>326</v>
      </c>
      <c r="H815">
        <v>1</v>
      </c>
      <c r="I815">
        <v>126.84</v>
      </c>
      <c r="J815">
        <v>257.66000000000003</v>
      </c>
      <c r="L815">
        <v>0</v>
      </c>
    </row>
    <row r="816" spans="1:12" x14ac:dyDescent="0.25">
      <c r="A816" t="s">
        <v>957</v>
      </c>
      <c r="B816">
        <v>154</v>
      </c>
      <c r="C816" s="1">
        <v>46034.175798611112</v>
      </c>
      <c r="D816" t="s">
        <v>198</v>
      </c>
      <c r="E816" t="s">
        <v>199</v>
      </c>
      <c r="F816" t="s">
        <v>116</v>
      </c>
      <c r="G816">
        <v>0</v>
      </c>
      <c r="H816">
        <v>2</v>
      </c>
      <c r="I816">
        <v>328.03</v>
      </c>
      <c r="J816">
        <v>685.16</v>
      </c>
      <c r="L816">
        <v>0</v>
      </c>
    </row>
    <row r="817" spans="1:12" x14ac:dyDescent="0.25">
      <c r="A817" t="s">
        <v>958</v>
      </c>
      <c r="B817">
        <v>30</v>
      </c>
      <c r="C817" s="1">
        <v>46034.368738425917</v>
      </c>
      <c r="D817" t="s">
        <v>28</v>
      </c>
      <c r="E817" t="s">
        <v>29</v>
      </c>
      <c r="F817" t="s">
        <v>30</v>
      </c>
      <c r="G817">
        <v>2499</v>
      </c>
      <c r="H817">
        <v>1</v>
      </c>
      <c r="I817">
        <v>2474.11</v>
      </c>
      <c r="J817">
        <v>3101.02</v>
      </c>
      <c r="K817" t="s">
        <v>46</v>
      </c>
      <c r="L817">
        <v>0.1</v>
      </c>
    </row>
    <row r="818" spans="1:12" x14ac:dyDescent="0.25">
      <c r="A818" t="s">
        <v>959</v>
      </c>
      <c r="B818">
        <v>111</v>
      </c>
      <c r="C818" s="1">
        <v>46034.892222222217</v>
      </c>
      <c r="D818" t="s">
        <v>74</v>
      </c>
      <c r="E818" t="s">
        <v>75</v>
      </c>
      <c r="F818" t="s">
        <v>30</v>
      </c>
      <c r="G818">
        <v>2808</v>
      </c>
      <c r="H818">
        <v>2</v>
      </c>
      <c r="I818">
        <v>2736.11</v>
      </c>
      <c r="J818">
        <v>3784.6</v>
      </c>
      <c r="L818">
        <v>0</v>
      </c>
    </row>
    <row r="819" spans="1:12" x14ac:dyDescent="0.25">
      <c r="A819" t="s">
        <v>960</v>
      </c>
      <c r="B819">
        <v>128</v>
      </c>
      <c r="C819" s="1">
        <v>46034.993657407409</v>
      </c>
      <c r="D819" t="s">
        <v>198</v>
      </c>
      <c r="E819" t="s">
        <v>199</v>
      </c>
      <c r="F819" t="s">
        <v>116</v>
      </c>
      <c r="G819">
        <v>0</v>
      </c>
      <c r="H819">
        <v>2</v>
      </c>
      <c r="I819">
        <v>368.98</v>
      </c>
      <c r="J819">
        <v>637.24</v>
      </c>
      <c r="L819">
        <v>0</v>
      </c>
    </row>
    <row r="820" spans="1:12" x14ac:dyDescent="0.25">
      <c r="A820" t="s">
        <v>961</v>
      </c>
      <c r="B820">
        <v>91</v>
      </c>
      <c r="C820" s="1">
        <v>46035.10083333333</v>
      </c>
      <c r="D820" t="s">
        <v>37</v>
      </c>
      <c r="E820" t="s">
        <v>38</v>
      </c>
      <c r="F820" t="s">
        <v>30</v>
      </c>
      <c r="G820">
        <v>2494</v>
      </c>
      <c r="H820">
        <v>3</v>
      </c>
      <c r="I820">
        <v>602.37</v>
      </c>
      <c r="J820">
        <v>1254.26</v>
      </c>
      <c r="K820" t="s">
        <v>46</v>
      </c>
      <c r="L820">
        <v>0.1</v>
      </c>
    </row>
    <row r="821" spans="1:12" x14ac:dyDescent="0.25">
      <c r="A821" t="s">
        <v>962</v>
      </c>
      <c r="B821">
        <v>67</v>
      </c>
      <c r="C821" s="1">
        <v>46036.240844907406</v>
      </c>
      <c r="D821" t="s">
        <v>50</v>
      </c>
      <c r="E821" t="s">
        <v>51</v>
      </c>
      <c r="F821" t="s">
        <v>52</v>
      </c>
      <c r="G821">
        <v>706</v>
      </c>
      <c r="H821">
        <v>1</v>
      </c>
      <c r="I821">
        <v>147.80000000000001</v>
      </c>
      <c r="J821">
        <v>234.98</v>
      </c>
      <c r="L821">
        <v>0</v>
      </c>
    </row>
    <row r="822" spans="1:12" x14ac:dyDescent="0.25">
      <c r="A822" t="s">
        <v>963</v>
      </c>
      <c r="B822">
        <v>28</v>
      </c>
      <c r="C822" s="1">
        <v>46036.462430555563</v>
      </c>
      <c r="D822" t="s">
        <v>198</v>
      </c>
      <c r="E822" t="s">
        <v>199</v>
      </c>
      <c r="F822" t="s">
        <v>116</v>
      </c>
      <c r="G822">
        <v>0</v>
      </c>
      <c r="H822">
        <v>2</v>
      </c>
      <c r="I822">
        <v>320.54000000000002</v>
      </c>
      <c r="J822">
        <v>704.15</v>
      </c>
      <c r="L822">
        <v>0</v>
      </c>
    </row>
    <row r="823" spans="1:12" x14ac:dyDescent="0.25">
      <c r="A823" t="s">
        <v>964</v>
      </c>
      <c r="B823">
        <v>53</v>
      </c>
      <c r="C823" s="1">
        <v>46036.669722222221</v>
      </c>
      <c r="D823" t="s">
        <v>155</v>
      </c>
      <c r="E823" t="s">
        <v>156</v>
      </c>
      <c r="F823" t="s">
        <v>30</v>
      </c>
      <c r="G823">
        <v>3527</v>
      </c>
      <c r="H823">
        <v>3</v>
      </c>
      <c r="I823">
        <v>732.95</v>
      </c>
      <c r="J823">
        <v>1468.45</v>
      </c>
      <c r="L823">
        <v>0</v>
      </c>
    </row>
    <row r="824" spans="1:12" x14ac:dyDescent="0.25">
      <c r="A824" t="s">
        <v>965</v>
      </c>
      <c r="B824">
        <v>8</v>
      </c>
      <c r="C824" s="1">
        <v>46037.054652777777</v>
      </c>
      <c r="D824" t="s">
        <v>177</v>
      </c>
      <c r="E824" t="s">
        <v>178</v>
      </c>
      <c r="F824" t="s">
        <v>116</v>
      </c>
      <c r="G824">
        <v>0</v>
      </c>
      <c r="H824">
        <v>1</v>
      </c>
      <c r="I824">
        <v>217.12</v>
      </c>
      <c r="J824">
        <v>491.72</v>
      </c>
      <c r="L824">
        <v>0</v>
      </c>
    </row>
    <row r="825" spans="1:12" x14ac:dyDescent="0.25">
      <c r="A825" t="s">
        <v>966</v>
      </c>
      <c r="B825">
        <v>158</v>
      </c>
      <c r="C825" s="1">
        <v>46037.075937499998</v>
      </c>
      <c r="D825" t="s">
        <v>105</v>
      </c>
      <c r="E825" t="s">
        <v>106</v>
      </c>
      <c r="F825" t="s">
        <v>30</v>
      </c>
      <c r="G825">
        <v>2068</v>
      </c>
      <c r="H825">
        <v>2</v>
      </c>
      <c r="I825">
        <v>369.14</v>
      </c>
      <c r="J825">
        <v>448.18</v>
      </c>
      <c r="L825">
        <v>0</v>
      </c>
    </row>
    <row r="826" spans="1:12" x14ac:dyDescent="0.25">
      <c r="A826" t="s">
        <v>967</v>
      </c>
      <c r="B826">
        <v>90</v>
      </c>
      <c r="C826" s="1">
        <v>46037.079641203702</v>
      </c>
      <c r="D826" t="s">
        <v>155</v>
      </c>
      <c r="E826" t="s">
        <v>156</v>
      </c>
      <c r="F826" t="s">
        <v>30</v>
      </c>
      <c r="G826">
        <v>4074</v>
      </c>
      <c r="H826">
        <v>2</v>
      </c>
      <c r="I826">
        <v>446.87</v>
      </c>
      <c r="J826">
        <v>1731.99</v>
      </c>
      <c r="L826">
        <v>0</v>
      </c>
    </row>
    <row r="827" spans="1:12" x14ac:dyDescent="0.25">
      <c r="A827" t="s">
        <v>968</v>
      </c>
      <c r="B827">
        <v>112</v>
      </c>
      <c r="C827" s="1">
        <v>46038.284988425927</v>
      </c>
      <c r="D827" t="s">
        <v>105</v>
      </c>
      <c r="E827" t="s">
        <v>106</v>
      </c>
      <c r="F827" t="s">
        <v>30</v>
      </c>
      <c r="G827">
        <v>2019</v>
      </c>
      <c r="H827">
        <v>3</v>
      </c>
      <c r="I827">
        <v>361.98</v>
      </c>
      <c r="J827">
        <v>477.33</v>
      </c>
      <c r="L827">
        <v>0</v>
      </c>
    </row>
    <row r="828" spans="1:12" x14ac:dyDescent="0.25">
      <c r="A828" t="s">
        <v>969</v>
      </c>
      <c r="B828">
        <v>126</v>
      </c>
      <c r="C828" s="1">
        <v>46038.724699074082</v>
      </c>
      <c r="D828" t="s">
        <v>137</v>
      </c>
      <c r="E828" t="s">
        <v>138</v>
      </c>
      <c r="F828" t="s">
        <v>52</v>
      </c>
      <c r="G828">
        <v>363</v>
      </c>
      <c r="H828">
        <v>1</v>
      </c>
      <c r="I828">
        <v>109.91</v>
      </c>
      <c r="J828">
        <v>205.08</v>
      </c>
      <c r="L828">
        <v>0</v>
      </c>
    </row>
    <row r="829" spans="1:12" x14ac:dyDescent="0.25">
      <c r="A829" t="s">
        <v>970</v>
      </c>
      <c r="B829">
        <v>22</v>
      </c>
      <c r="C829" s="1">
        <v>46038.769803240742</v>
      </c>
      <c r="D829" t="s">
        <v>148</v>
      </c>
      <c r="E829" t="s">
        <v>149</v>
      </c>
      <c r="F829" t="s">
        <v>30</v>
      </c>
      <c r="G829">
        <v>2824</v>
      </c>
      <c r="H829">
        <v>2</v>
      </c>
      <c r="I829">
        <v>512.73</v>
      </c>
      <c r="J829">
        <v>736.28</v>
      </c>
      <c r="K829" t="s">
        <v>60</v>
      </c>
      <c r="L829">
        <v>0.2</v>
      </c>
    </row>
    <row r="830" spans="1:12" x14ac:dyDescent="0.25">
      <c r="A830" t="s">
        <v>971</v>
      </c>
      <c r="B830">
        <v>199</v>
      </c>
      <c r="C830" s="1">
        <v>46039.23814814815</v>
      </c>
      <c r="D830" t="s">
        <v>89</v>
      </c>
      <c r="E830" t="s">
        <v>90</v>
      </c>
      <c r="F830" t="s">
        <v>52</v>
      </c>
      <c r="G830">
        <v>332</v>
      </c>
      <c r="H830">
        <v>2</v>
      </c>
      <c r="I830">
        <v>71.73</v>
      </c>
      <c r="J830">
        <v>187.01</v>
      </c>
      <c r="L830">
        <v>0</v>
      </c>
    </row>
    <row r="831" spans="1:12" x14ac:dyDescent="0.25">
      <c r="A831" t="s">
        <v>972</v>
      </c>
      <c r="B831">
        <v>77</v>
      </c>
      <c r="C831" s="1">
        <v>46039.281643518523</v>
      </c>
      <c r="D831" t="s">
        <v>92</v>
      </c>
      <c r="E831" t="s">
        <v>93</v>
      </c>
      <c r="F831" t="s">
        <v>52</v>
      </c>
      <c r="G831">
        <v>226</v>
      </c>
      <c r="H831">
        <v>3</v>
      </c>
      <c r="I831">
        <v>49.24</v>
      </c>
      <c r="J831">
        <v>100.18</v>
      </c>
      <c r="L831">
        <v>0</v>
      </c>
    </row>
    <row r="832" spans="1:12" x14ac:dyDescent="0.25">
      <c r="A832" t="s">
        <v>973</v>
      </c>
      <c r="B832">
        <v>194</v>
      </c>
      <c r="C832" s="1">
        <v>46039.411064814813</v>
      </c>
      <c r="D832" t="s">
        <v>71</v>
      </c>
      <c r="E832" t="s">
        <v>72</v>
      </c>
      <c r="F832" t="s">
        <v>52</v>
      </c>
      <c r="G832">
        <v>243</v>
      </c>
      <c r="H832">
        <v>3</v>
      </c>
      <c r="I832">
        <v>45.81</v>
      </c>
      <c r="J832">
        <v>73.400000000000006</v>
      </c>
      <c r="K832" t="s">
        <v>46</v>
      </c>
      <c r="L832">
        <v>0.1</v>
      </c>
    </row>
    <row r="833" spans="1:12" x14ac:dyDescent="0.25">
      <c r="A833" t="s">
        <v>974</v>
      </c>
      <c r="B833">
        <v>28</v>
      </c>
      <c r="C833" s="1">
        <v>46041.168171296304</v>
      </c>
      <c r="D833" t="s">
        <v>92</v>
      </c>
      <c r="E833" t="s">
        <v>93</v>
      </c>
      <c r="F833" t="s">
        <v>52</v>
      </c>
      <c r="G833">
        <v>260</v>
      </c>
      <c r="H833">
        <v>1</v>
      </c>
      <c r="I833">
        <v>26.14</v>
      </c>
      <c r="J833">
        <v>115.38</v>
      </c>
      <c r="L833">
        <v>0</v>
      </c>
    </row>
    <row r="834" spans="1:12" x14ac:dyDescent="0.25">
      <c r="A834" t="s">
        <v>975</v>
      </c>
      <c r="B834">
        <v>52</v>
      </c>
      <c r="C834" s="1">
        <v>46041.718078703707</v>
      </c>
      <c r="D834" t="s">
        <v>164</v>
      </c>
      <c r="E834" t="s">
        <v>165</v>
      </c>
      <c r="F834" t="s">
        <v>116</v>
      </c>
      <c r="G834">
        <v>0</v>
      </c>
      <c r="H834">
        <v>1</v>
      </c>
      <c r="I834">
        <v>347.7</v>
      </c>
      <c r="J834">
        <v>431.67</v>
      </c>
      <c r="L834">
        <v>0</v>
      </c>
    </row>
    <row r="835" spans="1:12" x14ac:dyDescent="0.25">
      <c r="A835" t="s">
        <v>976</v>
      </c>
      <c r="B835">
        <v>170</v>
      </c>
      <c r="C835" s="1">
        <v>46041.859236111108</v>
      </c>
      <c r="D835" t="s">
        <v>50</v>
      </c>
      <c r="E835" t="s">
        <v>51</v>
      </c>
      <c r="F835" t="s">
        <v>52</v>
      </c>
      <c r="G835">
        <v>616</v>
      </c>
      <c r="H835">
        <v>3</v>
      </c>
      <c r="I835">
        <v>132.9</v>
      </c>
      <c r="J835">
        <v>298.3</v>
      </c>
      <c r="L835">
        <v>0</v>
      </c>
    </row>
    <row r="836" spans="1:12" x14ac:dyDescent="0.25">
      <c r="A836" t="s">
        <v>977</v>
      </c>
      <c r="B836">
        <v>108</v>
      </c>
      <c r="C836" s="1">
        <v>46042.059513888889</v>
      </c>
      <c r="D836" t="s">
        <v>92</v>
      </c>
      <c r="E836" t="s">
        <v>93</v>
      </c>
      <c r="F836" t="s">
        <v>52</v>
      </c>
      <c r="G836">
        <v>300</v>
      </c>
      <c r="H836">
        <v>1</v>
      </c>
      <c r="I836">
        <v>24.27</v>
      </c>
      <c r="J836">
        <v>57.58</v>
      </c>
      <c r="L836">
        <v>0</v>
      </c>
    </row>
    <row r="837" spans="1:12" x14ac:dyDescent="0.25">
      <c r="A837" t="s">
        <v>978</v>
      </c>
      <c r="B837">
        <v>50</v>
      </c>
      <c r="C837" s="1">
        <v>46042.327615740738</v>
      </c>
      <c r="D837" t="s">
        <v>148</v>
      </c>
      <c r="E837" t="s">
        <v>149</v>
      </c>
      <c r="F837" t="s">
        <v>30</v>
      </c>
      <c r="G837">
        <v>2707</v>
      </c>
      <c r="H837">
        <v>1</v>
      </c>
      <c r="I837">
        <v>331.84</v>
      </c>
      <c r="J837">
        <v>714.7</v>
      </c>
      <c r="L837">
        <v>0</v>
      </c>
    </row>
    <row r="838" spans="1:12" x14ac:dyDescent="0.25">
      <c r="A838" t="s">
        <v>979</v>
      </c>
      <c r="B838">
        <v>22</v>
      </c>
      <c r="C838" s="1">
        <v>46042.979016203702</v>
      </c>
      <c r="D838" t="s">
        <v>28</v>
      </c>
      <c r="E838" t="s">
        <v>29</v>
      </c>
      <c r="F838" t="s">
        <v>30</v>
      </c>
      <c r="G838">
        <v>2290</v>
      </c>
      <c r="H838">
        <v>1</v>
      </c>
      <c r="I838">
        <v>1656.55</v>
      </c>
      <c r="J838">
        <v>3880.9</v>
      </c>
      <c r="L838">
        <v>0</v>
      </c>
    </row>
    <row r="839" spans="1:12" x14ac:dyDescent="0.25">
      <c r="A839" t="s">
        <v>980</v>
      </c>
      <c r="B839">
        <v>171</v>
      </c>
      <c r="C839" s="1">
        <v>46043.75677083333</v>
      </c>
      <c r="D839" t="s">
        <v>58</v>
      </c>
      <c r="E839" t="s">
        <v>59</v>
      </c>
      <c r="F839" t="s">
        <v>30</v>
      </c>
      <c r="G839">
        <v>4355</v>
      </c>
      <c r="H839">
        <v>2</v>
      </c>
      <c r="I839">
        <v>420.51</v>
      </c>
      <c r="J839">
        <v>658.94</v>
      </c>
      <c r="L839">
        <v>0</v>
      </c>
    </row>
    <row r="840" spans="1:12" x14ac:dyDescent="0.25">
      <c r="A840" t="s">
        <v>981</v>
      </c>
      <c r="B840">
        <v>175</v>
      </c>
      <c r="C840" s="1">
        <v>46043.97320601852</v>
      </c>
      <c r="D840" t="s">
        <v>123</v>
      </c>
      <c r="E840" t="s">
        <v>124</v>
      </c>
      <c r="F840" t="s">
        <v>45</v>
      </c>
      <c r="G840">
        <v>0</v>
      </c>
      <c r="H840">
        <v>3</v>
      </c>
      <c r="I840">
        <v>269.29000000000002</v>
      </c>
      <c r="J840">
        <v>346.09</v>
      </c>
      <c r="L840">
        <v>0</v>
      </c>
    </row>
    <row r="841" spans="1:12" x14ac:dyDescent="0.25">
      <c r="A841" t="s">
        <v>982</v>
      </c>
      <c r="B841">
        <v>33</v>
      </c>
      <c r="C841" s="1">
        <v>46044.071550925917</v>
      </c>
      <c r="D841" t="s">
        <v>58</v>
      </c>
      <c r="E841" t="s">
        <v>59</v>
      </c>
      <c r="F841" t="s">
        <v>30</v>
      </c>
      <c r="G841">
        <v>4717</v>
      </c>
      <c r="H841">
        <v>3</v>
      </c>
      <c r="I841">
        <v>262.33999999999997</v>
      </c>
      <c r="J841">
        <v>384.84</v>
      </c>
      <c r="L841">
        <v>0</v>
      </c>
    </row>
    <row r="842" spans="1:12" x14ac:dyDescent="0.25">
      <c r="A842" t="s">
        <v>983</v>
      </c>
      <c r="B842">
        <v>143</v>
      </c>
      <c r="C842" s="1">
        <v>46044.271006944437</v>
      </c>
      <c r="D842" t="s">
        <v>37</v>
      </c>
      <c r="E842" t="s">
        <v>38</v>
      </c>
      <c r="F842" t="s">
        <v>30</v>
      </c>
      <c r="G842">
        <v>2379</v>
      </c>
      <c r="H842">
        <v>3</v>
      </c>
      <c r="I842">
        <v>460.2</v>
      </c>
      <c r="J842">
        <v>724.18</v>
      </c>
      <c r="L842">
        <v>0</v>
      </c>
    </row>
    <row r="843" spans="1:12" x14ac:dyDescent="0.25">
      <c r="A843" t="s">
        <v>984</v>
      </c>
      <c r="B843">
        <v>78</v>
      </c>
      <c r="C843" s="1">
        <v>46044.610682870371</v>
      </c>
      <c r="D843" t="s">
        <v>92</v>
      </c>
      <c r="E843" t="s">
        <v>93</v>
      </c>
      <c r="F843" t="s">
        <v>52</v>
      </c>
      <c r="G843">
        <v>222</v>
      </c>
      <c r="H843">
        <v>3</v>
      </c>
      <c r="I843">
        <v>46.35</v>
      </c>
      <c r="J843">
        <v>94.96</v>
      </c>
      <c r="L843">
        <v>0</v>
      </c>
    </row>
    <row r="844" spans="1:12" x14ac:dyDescent="0.25">
      <c r="A844" t="s">
        <v>985</v>
      </c>
      <c r="B844">
        <v>30</v>
      </c>
      <c r="C844" s="1">
        <v>46044.922384259262</v>
      </c>
      <c r="D844" t="s">
        <v>74</v>
      </c>
      <c r="E844" t="s">
        <v>75</v>
      </c>
      <c r="F844" t="s">
        <v>30</v>
      </c>
      <c r="G844">
        <v>2379</v>
      </c>
      <c r="H844">
        <v>3</v>
      </c>
      <c r="I844">
        <v>2609.8200000000002</v>
      </c>
      <c r="J844">
        <v>4263.25</v>
      </c>
      <c r="L844">
        <v>0</v>
      </c>
    </row>
    <row r="845" spans="1:12" x14ac:dyDescent="0.25">
      <c r="A845" t="s">
        <v>986</v>
      </c>
      <c r="B845">
        <v>61</v>
      </c>
      <c r="C845" s="1">
        <v>46045.054224537038</v>
      </c>
      <c r="D845" t="s">
        <v>92</v>
      </c>
      <c r="E845" t="s">
        <v>93</v>
      </c>
      <c r="F845" t="s">
        <v>52</v>
      </c>
      <c r="G845">
        <v>288</v>
      </c>
      <c r="H845">
        <v>1</v>
      </c>
      <c r="I845">
        <v>34.54</v>
      </c>
      <c r="J845">
        <v>110.59</v>
      </c>
      <c r="L845">
        <v>0</v>
      </c>
    </row>
    <row r="846" spans="1:12" x14ac:dyDescent="0.25">
      <c r="A846" t="s">
        <v>987</v>
      </c>
      <c r="B846">
        <v>12</v>
      </c>
      <c r="C846" s="1">
        <v>46045.373287037037</v>
      </c>
      <c r="D846" t="s">
        <v>43</v>
      </c>
      <c r="E846" t="s">
        <v>44</v>
      </c>
      <c r="F846" t="s">
        <v>45</v>
      </c>
      <c r="G846">
        <v>0</v>
      </c>
      <c r="H846">
        <v>1</v>
      </c>
      <c r="I846">
        <v>40.64</v>
      </c>
      <c r="J846">
        <v>54.2</v>
      </c>
      <c r="L846">
        <v>0</v>
      </c>
    </row>
    <row r="847" spans="1:12" x14ac:dyDescent="0.25">
      <c r="A847" t="s">
        <v>988</v>
      </c>
      <c r="B847">
        <v>114</v>
      </c>
      <c r="C847" s="1">
        <v>46045.617662037039</v>
      </c>
      <c r="D847" t="s">
        <v>177</v>
      </c>
      <c r="E847" t="s">
        <v>178</v>
      </c>
      <c r="F847" t="s">
        <v>116</v>
      </c>
      <c r="G847">
        <v>0</v>
      </c>
      <c r="H847">
        <v>2</v>
      </c>
      <c r="I847">
        <v>164.53</v>
      </c>
      <c r="J847">
        <v>464.64</v>
      </c>
      <c r="K847" t="s">
        <v>60</v>
      </c>
      <c r="L847">
        <v>0.2</v>
      </c>
    </row>
    <row r="848" spans="1:12" x14ac:dyDescent="0.25">
      <c r="A848" t="s">
        <v>989</v>
      </c>
      <c r="B848">
        <v>182</v>
      </c>
      <c r="C848" s="1">
        <v>46045.777013888888</v>
      </c>
      <c r="D848" t="s">
        <v>95</v>
      </c>
      <c r="E848" t="s">
        <v>96</v>
      </c>
      <c r="F848" t="s">
        <v>52</v>
      </c>
      <c r="G848">
        <v>394</v>
      </c>
      <c r="H848">
        <v>2</v>
      </c>
      <c r="I848">
        <v>33.76</v>
      </c>
      <c r="J848">
        <v>69.55</v>
      </c>
      <c r="K848" t="s">
        <v>46</v>
      </c>
      <c r="L848">
        <v>0.1</v>
      </c>
    </row>
    <row r="849" spans="1:12" x14ac:dyDescent="0.25">
      <c r="A849" t="s">
        <v>990</v>
      </c>
      <c r="B849">
        <v>156</v>
      </c>
      <c r="C849" s="1">
        <v>46046.015914351847</v>
      </c>
      <c r="D849" t="s">
        <v>198</v>
      </c>
      <c r="E849" t="s">
        <v>199</v>
      </c>
      <c r="F849" t="s">
        <v>116</v>
      </c>
      <c r="G849">
        <v>0</v>
      </c>
      <c r="H849">
        <v>1</v>
      </c>
      <c r="I849">
        <v>341.83</v>
      </c>
      <c r="J849">
        <v>616.11</v>
      </c>
      <c r="L849">
        <v>0</v>
      </c>
    </row>
    <row r="850" spans="1:12" x14ac:dyDescent="0.25">
      <c r="A850" t="s">
        <v>991</v>
      </c>
      <c r="B850">
        <v>137</v>
      </c>
      <c r="C850" s="1">
        <v>46046.185474537036</v>
      </c>
      <c r="D850" t="s">
        <v>155</v>
      </c>
      <c r="E850" t="s">
        <v>156</v>
      </c>
      <c r="F850" t="s">
        <v>30</v>
      </c>
      <c r="G850">
        <v>3834</v>
      </c>
      <c r="H850">
        <v>3</v>
      </c>
      <c r="I850">
        <v>671.71</v>
      </c>
      <c r="J850">
        <v>1533.2</v>
      </c>
      <c r="L850">
        <v>0</v>
      </c>
    </row>
    <row r="851" spans="1:12" x14ac:dyDescent="0.25">
      <c r="A851" t="s">
        <v>992</v>
      </c>
      <c r="B851">
        <v>154</v>
      </c>
      <c r="C851" s="1">
        <v>46047.35864583333</v>
      </c>
      <c r="D851" t="s">
        <v>198</v>
      </c>
      <c r="E851" t="s">
        <v>199</v>
      </c>
      <c r="F851" t="s">
        <v>116</v>
      </c>
      <c r="G851">
        <v>0</v>
      </c>
      <c r="H851">
        <v>1</v>
      </c>
      <c r="I851">
        <v>399.68</v>
      </c>
      <c r="J851">
        <v>641.16999999999996</v>
      </c>
      <c r="K851" t="s">
        <v>46</v>
      </c>
      <c r="L851">
        <v>0.1</v>
      </c>
    </row>
    <row r="852" spans="1:12" x14ac:dyDescent="0.25">
      <c r="A852" t="s">
        <v>993</v>
      </c>
      <c r="B852">
        <v>58</v>
      </c>
      <c r="C852" s="1">
        <v>46047.39199074074</v>
      </c>
      <c r="D852" t="s">
        <v>71</v>
      </c>
      <c r="E852" t="s">
        <v>72</v>
      </c>
      <c r="F852" t="s">
        <v>52</v>
      </c>
      <c r="G852">
        <v>285</v>
      </c>
      <c r="H852">
        <v>3</v>
      </c>
      <c r="I852">
        <v>49.77</v>
      </c>
      <c r="J852">
        <v>138.81</v>
      </c>
      <c r="L852">
        <v>0</v>
      </c>
    </row>
    <row r="853" spans="1:12" x14ac:dyDescent="0.25">
      <c r="A853" t="s">
        <v>994</v>
      </c>
      <c r="B853">
        <v>97</v>
      </c>
      <c r="C853" s="1">
        <v>46047.519375000003</v>
      </c>
      <c r="D853" t="s">
        <v>74</v>
      </c>
      <c r="E853" t="s">
        <v>75</v>
      </c>
      <c r="F853" t="s">
        <v>30</v>
      </c>
      <c r="G853">
        <v>2257</v>
      </c>
      <c r="H853">
        <v>1</v>
      </c>
      <c r="I853">
        <v>2329.63</v>
      </c>
      <c r="J853">
        <v>4137.8999999999996</v>
      </c>
      <c r="K853" t="s">
        <v>46</v>
      </c>
      <c r="L853">
        <v>0.1</v>
      </c>
    </row>
    <row r="854" spans="1:12" x14ac:dyDescent="0.25">
      <c r="A854" t="s">
        <v>995</v>
      </c>
      <c r="B854">
        <v>49</v>
      </c>
      <c r="C854" s="1">
        <v>46048.237384259257</v>
      </c>
      <c r="D854" t="s">
        <v>105</v>
      </c>
      <c r="E854" t="s">
        <v>106</v>
      </c>
      <c r="F854" t="s">
        <v>30</v>
      </c>
      <c r="G854">
        <v>2063</v>
      </c>
      <c r="H854">
        <v>2</v>
      </c>
      <c r="I854">
        <v>210.2</v>
      </c>
      <c r="J854">
        <v>378.81</v>
      </c>
      <c r="K854" t="s">
        <v>46</v>
      </c>
      <c r="L854">
        <v>0.1</v>
      </c>
    </row>
    <row r="855" spans="1:12" x14ac:dyDescent="0.25">
      <c r="A855" t="s">
        <v>996</v>
      </c>
      <c r="B855">
        <v>197</v>
      </c>
      <c r="C855" s="1">
        <v>46048.504872685182</v>
      </c>
      <c r="D855" t="s">
        <v>89</v>
      </c>
      <c r="E855" t="s">
        <v>90</v>
      </c>
      <c r="F855" t="s">
        <v>52</v>
      </c>
      <c r="G855">
        <v>329</v>
      </c>
      <c r="H855">
        <v>1</v>
      </c>
      <c r="I855">
        <v>114.63</v>
      </c>
      <c r="J855">
        <v>217.32</v>
      </c>
      <c r="L855">
        <v>0</v>
      </c>
    </row>
    <row r="856" spans="1:12" x14ac:dyDescent="0.25">
      <c r="A856" t="s">
        <v>997</v>
      </c>
      <c r="B856">
        <v>57</v>
      </c>
      <c r="C856" s="1">
        <v>46048.802870370368</v>
      </c>
      <c r="D856" t="s">
        <v>50</v>
      </c>
      <c r="E856" t="s">
        <v>51</v>
      </c>
      <c r="F856" t="s">
        <v>52</v>
      </c>
      <c r="G856">
        <v>747</v>
      </c>
      <c r="H856">
        <v>1</v>
      </c>
      <c r="I856">
        <v>120.85</v>
      </c>
      <c r="J856">
        <v>158.72999999999999</v>
      </c>
      <c r="L856">
        <v>0</v>
      </c>
    </row>
    <row r="857" spans="1:12" x14ac:dyDescent="0.25">
      <c r="A857" t="s">
        <v>998</v>
      </c>
      <c r="B857">
        <v>10</v>
      </c>
      <c r="C857" s="1">
        <v>46050.001261574071</v>
      </c>
      <c r="D857" t="s">
        <v>95</v>
      </c>
      <c r="E857" t="s">
        <v>96</v>
      </c>
      <c r="F857" t="s">
        <v>52</v>
      </c>
      <c r="G857">
        <v>598</v>
      </c>
      <c r="H857">
        <v>1</v>
      </c>
      <c r="I857">
        <v>41.51</v>
      </c>
      <c r="J857">
        <v>74.180000000000007</v>
      </c>
      <c r="L857">
        <v>0</v>
      </c>
    </row>
    <row r="858" spans="1:12" x14ac:dyDescent="0.25">
      <c r="A858" t="s">
        <v>999</v>
      </c>
      <c r="B858">
        <v>121</v>
      </c>
      <c r="C858" s="1">
        <v>46050.334537037037</v>
      </c>
      <c r="D858" t="s">
        <v>155</v>
      </c>
      <c r="E858" t="s">
        <v>156</v>
      </c>
      <c r="F858" t="s">
        <v>30</v>
      </c>
      <c r="G858">
        <v>4796</v>
      </c>
      <c r="H858">
        <v>1</v>
      </c>
      <c r="I858">
        <v>774.58</v>
      </c>
      <c r="J858">
        <v>1287.33</v>
      </c>
      <c r="K858" t="s">
        <v>60</v>
      </c>
      <c r="L858">
        <v>0.2</v>
      </c>
    </row>
    <row r="859" spans="1:12" x14ac:dyDescent="0.25">
      <c r="A859" t="s">
        <v>1000</v>
      </c>
      <c r="B859">
        <v>169</v>
      </c>
      <c r="C859" s="1">
        <v>46050.440752314818</v>
      </c>
      <c r="D859" t="s">
        <v>155</v>
      </c>
      <c r="E859" t="s">
        <v>156</v>
      </c>
      <c r="F859" t="s">
        <v>30</v>
      </c>
      <c r="G859">
        <v>4641</v>
      </c>
      <c r="H859">
        <v>1</v>
      </c>
      <c r="I859">
        <v>1039.18</v>
      </c>
      <c r="J859">
        <v>1817.6</v>
      </c>
      <c r="K859" t="s">
        <v>46</v>
      </c>
      <c r="L859">
        <v>0.1</v>
      </c>
    </row>
    <row r="860" spans="1:12" x14ac:dyDescent="0.25">
      <c r="A860" t="s">
        <v>1001</v>
      </c>
      <c r="B860">
        <v>62</v>
      </c>
      <c r="C860" s="1">
        <v>46050.566458333327</v>
      </c>
      <c r="D860" t="s">
        <v>148</v>
      </c>
      <c r="E860" t="s">
        <v>149</v>
      </c>
      <c r="F860" t="s">
        <v>30</v>
      </c>
      <c r="G860">
        <v>3222</v>
      </c>
      <c r="H860">
        <v>1</v>
      </c>
      <c r="I860">
        <v>372.84</v>
      </c>
      <c r="J860">
        <v>761.31</v>
      </c>
      <c r="K860" t="s">
        <v>60</v>
      </c>
      <c r="L860">
        <v>0.2</v>
      </c>
    </row>
    <row r="861" spans="1:12" x14ac:dyDescent="0.25">
      <c r="A861" t="s">
        <v>1002</v>
      </c>
      <c r="B861">
        <v>130</v>
      </c>
      <c r="C861" s="1">
        <v>46050.910115740742</v>
      </c>
      <c r="D861" t="s">
        <v>155</v>
      </c>
      <c r="E861" t="s">
        <v>156</v>
      </c>
      <c r="F861" t="s">
        <v>30</v>
      </c>
      <c r="G861">
        <v>3784</v>
      </c>
      <c r="H861">
        <v>2</v>
      </c>
      <c r="I861">
        <v>543.66</v>
      </c>
      <c r="J861">
        <v>1288.5</v>
      </c>
      <c r="L861">
        <v>0</v>
      </c>
    </row>
    <row r="862" spans="1:12" x14ac:dyDescent="0.25">
      <c r="A862" t="s">
        <v>1003</v>
      </c>
      <c r="B862">
        <v>139</v>
      </c>
      <c r="C862" s="1">
        <v>46051.254212962973</v>
      </c>
      <c r="D862" t="s">
        <v>86</v>
      </c>
      <c r="E862" t="s">
        <v>87</v>
      </c>
      <c r="F862" t="s">
        <v>45</v>
      </c>
      <c r="G862">
        <v>0</v>
      </c>
      <c r="H862">
        <v>3</v>
      </c>
      <c r="I862">
        <v>43.47</v>
      </c>
      <c r="J862">
        <v>195.32</v>
      </c>
      <c r="L862">
        <v>0</v>
      </c>
    </row>
    <row r="863" spans="1:12" x14ac:dyDescent="0.25">
      <c r="A863" t="s">
        <v>1004</v>
      </c>
      <c r="B863">
        <v>61</v>
      </c>
      <c r="C863" s="1">
        <v>46051.401990740742</v>
      </c>
      <c r="D863" t="s">
        <v>43</v>
      </c>
      <c r="E863" t="s">
        <v>44</v>
      </c>
      <c r="F863" t="s">
        <v>45</v>
      </c>
      <c r="G863">
        <v>0</v>
      </c>
      <c r="H863">
        <v>3</v>
      </c>
      <c r="I863">
        <v>68.010000000000005</v>
      </c>
      <c r="J863">
        <v>111.66</v>
      </c>
      <c r="L863">
        <v>0</v>
      </c>
    </row>
    <row r="864" spans="1:12" x14ac:dyDescent="0.25">
      <c r="A864" t="s">
        <v>1005</v>
      </c>
      <c r="B864">
        <v>185</v>
      </c>
      <c r="C864" s="1">
        <v>46051.696423611109</v>
      </c>
      <c r="D864" t="s">
        <v>105</v>
      </c>
      <c r="E864" t="s">
        <v>106</v>
      </c>
      <c r="F864" t="s">
        <v>30</v>
      </c>
      <c r="G864">
        <v>2049</v>
      </c>
      <c r="H864">
        <v>3</v>
      </c>
      <c r="I864">
        <v>390.34</v>
      </c>
      <c r="J864">
        <v>454.07</v>
      </c>
      <c r="L864">
        <v>0</v>
      </c>
    </row>
    <row r="865" spans="1:12" x14ac:dyDescent="0.25">
      <c r="A865" t="s">
        <v>1006</v>
      </c>
      <c r="B865">
        <v>40</v>
      </c>
      <c r="C865" s="1">
        <v>46051.898344907408</v>
      </c>
      <c r="D865" t="s">
        <v>105</v>
      </c>
      <c r="E865" t="s">
        <v>106</v>
      </c>
      <c r="F865" t="s">
        <v>30</v>
      </c>
      <c r="G865">
        <v>2051</v>
      </c>
      <c r="H865">
        <v>1</v>
      </c>
      <c r="I865">
        <v>365.17</v>
      </c>
      <c r="J865">
        <v>694.02</v>
      </c>
      <c r="L865">
        <v>0</v>
      </c>
    </row>
    <row r="866" spans="1:12" x14ac:dyDescent="0.25">
      <c r="A866" t="s">
        <v>1007</v>
      </c>
      <c r="B866">
        <v>65</v>
      </c>
      <c r="C866" s="1">
        <v>46052.176631944443</v>
      </c>
      <c r="D866" t="s">
        <v>58</v>
      </c>
      <c r="E866" t="s">
        <v>59</v>
      </c>
      <c r="F866" t="s">
        <v>30</v>
      </c>
      <c r="G866">
        <v>4385</v>
      </c>
      <c r="H866">
        <v>2</v>
      </c>
      <c r="I866">
        <v>442.5</v>
      </c>
      <c r="J866">
        <v>522.66999999999996</v>
      </c>
      <c r="L866">
        <v>0</v>
      </c>
    </row>
    <row r="867" spans="1:12" x14ac:dyDescent="0.25">
      <c r="A867" t="s">
        <v>1008</v>
      </c>
      <c r="B867">
        <v>60</v>
      </c>
      <c r="C867" s="1">
        <v>46052.640740740739</v>
      </c>
      <c r="D867" t="s">
        <v>37</v>
      </c>
      <c r="E867" t="s">
        <v>38</v>
      </c>
      <c r="F867" t="s">
        <v>30</v>
      </c>
      <c r="G867">
        <v>2384</v>
      </c>
      <c r="H867">
        <v>1</v>
      </c>
      <c r="I867">
        <v>553.36</v>
      </c>
      <c r="J867">
        <v>769.65</v>
      </c>
      <c r="K867" t="s">
        <v>60</v>
      </c>
      <c r="L867">
        <v>0.2</v>
      </c>
    </row>
    <row r="868" spans="1:12" x14ac:dyDescent="0.25">
      <c r="A868" t="s">
        <v>1009</v>
      </c>
      <c r="B868">
        <v>68</v>
      </c>
      <c r="C868" s="1">
        <v>46052.874120370368</v>
      </c>
      <c r="D868" t="s">
        <v>137</v>
      </c>
      <c r="E868" t="s">
        <v>138</v>
      </c>
      <c r="F868" t="s">
        <v>52</v>
      </c>
      <c r="G868">
        <v>358</v>
      </c>
      <c r="H868">
        <v>2</v>
      </c>
      <c r="I868">
        <v>110.97</v>
      </c>
      <c r="J868">
        <v>161.51</v>
      </c>
      <c r="L868">
        <v>0</v>
      </c>
    </row>
    <row r="869" spans="1:12" x14ac:dyDescent="0.25">
      <c r="A869" t="s">
        <v>1010</v>
      </c>
      <c r="B869">
        <v>48</v>
      </c>
      <c r="C869" s="1">
        <v>46052.937152777777</v>
      </c>
      <c r="D869" t="s">
        <v>43</v>
      </c>
      <c r="E869" t="s">
        <v>44</v>
      </c>
      <c r="F869" t="s">
        <v>45</v>
      </c>
      <c r="G869">
        <v>0</v>
      </c>
      <c r="H869">
        <v>2</v>
      </c>
      <c r="I869">
        <v>45.37</v>
      </c>
      <c r="J869">
        <v>71.83</v>
      </c>
      <c r="L869">
        <v>0</v>
      </c>
    </row>
    <row r="870" spans="1:12" x14ac:dyDescent="0.25">
      <c r="A870" t="s">
        <v>1011</v>
      </c>
      <c r="B870">
        <v>93</v>
      </c>
      <c r="C870" s="1">
        <v>46053.385833333326</v>
      </c>
      <c r="D870" t="s">
        <v>43</v>
      </c>
      <c r="E870" t="s">
        <v>44</v>
      </c>
      <c r="F870" t="s">
        <v>45</v>
      </c>
      <c r="G870">
        <v>0</v>
      </c>
      <c r="H870">
        <v>3</v>
      </c>
      <c r="I870">
        <v>75.45</v>
      </c>
      <c r="J870">
        <v>142.58000000000001</v>
      </c>
      <c r="L870">
        <v>0</v>
      </c>
    </row>
    <row r="871" spans="1:12" x14ac:dyDescent="0.25">
      <c r="A871" t="s">
        <v>1012</v>
      </c>
      <c r="B871">
        <v>28</v>
      </c>
      <c r="C871" s="1">
        <v>46053.900590277779</v>
      </c>
      <c r="D871" t="s">
        <v>81</v>
      </c>
      <c r="E871" t="s">
        <v>82</v>
      </c>
      <c r="F871" t="s">
        <v>45</v>
      </c>
      <c r="G871">
        <v>0</v>
      </c>
      <c r="H871">
        <v>2</v>
      </c>
      <c r="I871">
        <v>43.08</v>
      </c>
      <c r="J871">
        <v>160.97</v>
      </c>
      <c r="K871" t="s">
        <v>46</v>
      </c>
      <c r="L871">
        <v>0.1</v>
      </c>
    </row>
    <row r="872" spans="1:12" x14ac:dyDescent="0.25">
      <c r="A872" t="s">
        <v>1013</v>
      </c>
      <c r="B872">
        <v>73</v>
      </c>
      <c r="C872" s="1">
        <v>46053.908506944441</v>
      </c>
      <c r="D872" t="s">
        <v>81</v>
      </c>
      <c r="E872" t="s">
        <v>82</v>
      </c>
      <c r="F872" t="s">
        <v>45</v>
      </c>
      <c r="G872">
        <v>0</v>
      </c>
      <c r="H872">
        <v>3</v>
      </c>
      <c r="I872">
        <v>26.41</v>
      </c>
      <c r="J872">
        <v>221.07</v>
      </c>
      <c r="L872">
        <v>0</v>
      </c>
    </row>
    <row r="873" spans="1:12" x14ac:dyDescent="0.25">
      <c r="A873" t="s">
        <v>1014</v>
      </c>
      <c r="B873">
        <v>185</v>
      </c>
      <c r="C873" s="1">
        <v>46054.149131944447</v>
      </c>
      <c r="D873" t="s">
        <v>71</v>
      </c>
      <c r="E873" t="s">
        <v>72</v>
      </c>
      <c r="F873" t="s">
        <v>52</v>
      </c>
      <c r="G873">
        <v>282</v>
      </c>
      <c r="H873">
        <v>3</v>
      </c>
      <c r="I873">
        <v>59.97</v>
      </c>
      <c r="J873">
        <v>116.55</v>
      </c>
      <c r="L873">
        <v>0</v>
      </c>
    </row>
    <row r="874" spans="1:12" x14ac:dyDescent="0.25">
      <c r="A874" t="s">
        <v>1015</v>
      </c>
      <c r="B874">
        <v>190</v>
      </c>
      <c r="C874" s="1">
        <v>46054.182581018518</v>
      </c>
      <c r="D874" t="s">
        <v>105</v>
      </c>
      <c r="E874" t="s">
        <v>106</v>
      </c>
      <c r="F874" t="s">
        <v>30</v>
      </c>
      <c r="G874">
        <v>2046</v>
      </c>
      <c r="H874">
        <v>3</v>
      </c>
      <c r="I874">
        <v>362.13</v>
      </c>
      <c r="J874">
        <v>542.42999999999995</v>
      </c>
      <c r="L874">
        <v>0</v>
      </c>
    </row>
    <row r="875" spans="1:12" x14ac:dyDescent="0.25">
      <c r="A875" t="s">
        <v>1016</v>
      </c>
      <c r="B875">
        <v>143</v>
      </c>
      <c r="C875" s="1">
        <v>46055.067430555559</v>
      </c>
      <c r="D875" t="s">
        <v>66</v>
      </c>
      <c r="E875" t="s">
        <v>67</v>
      </c>
      <c r="F875" t="s">
        <v>52</v>
      </c>
      <c r="G875">
        <v>225</v>
      </c>
      <c r="H875">
        <v>3</v>
      </c>
      <c r="I875">
        <v>46.57</v>
      </c>
      <c r="J875">
        <v>74.5</v>
      </c>
      <c r="K875" t="s">
        <v>60</v>
      </c>
      <c r="L875">
        <v>0.2</v>
      </c>
    </row>
    <row r="876" spans="1:12" x14ac:dyDescent="0.25">
      <c r="A876" t="s">
        <v>1017</v>
      </c>
      <c r="B876">
        <v>72</v>
      </c>
      <c r="C876" s="1">
        <v>46055.188379629632</v>
      </c>
      <c r="D876" t="s">
        <v>37</v>
      </c>
      <c r="E876" t="s">
        <v>38</v>
      </c>
      <c r="F876" t="s">
        <v>30</v>
      </c>
      <c r="G876">
        <v>2483</v>
      </c>
      <c r="H876">
        <v>2</v>
      </c>
      <c r="I876">
        <v>896.43</v>
      </c>
      <c r="J876">
        <v>1295.96</v>
      </c>
      <c r="K876" t="s">
        <v>46</v>
      </c>
      <c r="L876">
        <v>0.1</v>
      </c>
    </row>
    <row r="877" spans="1:12" x14ac:dyDescent="0.25">
      <c r="A877" t="s">
        <v>1018</v>
      </c>
      <c r="B877">
        <v>23</v>
      </c>
      <c r="C877" s="1">
        <v>46055.694745370369</v>
      </c>
      <c r="D877" t="s">
        <v>105</v>
      </c>
      <c r="E877" t="s">
        <v>106</v>
      </c>
      <c r="F877" t="s">
        <v>30</v>
      </c>
      <c r="G877">
        <v>2070</v>
      </c>
      <c r="H877">
        <v>1</v>
      </c>
      <c r="I877">
        <v>311.39999999999998</v>
      </c>
      <c r="J877">
        <v>640.58000000000004</v>
      </c>
      <c r="L877">
        <v>0</v>
      </c>
    </row>
    <row r="878" spans="1:12" x14ac:dyDescent="0.25">
      <c r="A878" t="s">
        <v>1019</v>
      </c>
      <c r="B878">
        <v>156</v>
      </c>
      <c r="C878" s="1">
        <v>46055.712638888886</v>
      </c>
      <c r="D878" t="s">
        <v>137</v>
      </c>
      <c r="E878" t="s">
        <v>138</v>
      </c>
      <c r="F878" t="s">
        <v>52</v>
      </c>
      <c r="G878">
        <v>317</v>
      </c>
      <c r="H878">
        <v>2</v>
      </c>
      <c r="I878">
        <v>111.25</v>
      </c>
      <c r="J878">
        <v>204.15</v>
      </c>
      <c r="K878" t="s">
        <v>46</v>
      </c>
      <c r="L878">
        <v>0.1</v>
      </c>
    </row>
    <row r="879" spans="1:12" x14ac:dyDescent="0.25">
      <c r="A879" t="s">
        <v>1020</v>
      </c>
      <c r="B879">
        <v>171</v>
      </c>
      <c r="C879" s="1">
        <v>46055.772094907406</v>
      </c>
      <c r="D879" t="s">
        <v>58</v>
      </c>
      <c r="E879" t="s">
        <v>59</v>
      </c>
      <c r="F879" t="s">
        <v>30</v>
      </c>
      <c r="G879">
        <v>4320</v>
      </c>
      <c r="H879">
        <v>2</v>
      </c>
      <c r="I879">
        <v>377.96</v>
      </c>
      <c r="J879">
        <v>485.27</v>
      </c>
      <c r="K879" t="s">
        <v>60</v>
      </c>
      <c r="L879">
        <v>0.2</v>
      </c>
    </row>
    <row r="880" spans="1:12" x14ac:dyDescent="0.25">
      <c r="A880" t="s">
        <v>1021</v>
      </c>
      <c r="B880">
        <v>49</v>
      </c>
      <c r="C880" s="1">
        <v>46055.961319444446</v>
      </c>
      <c r="D880" t="s">
        <v>92</v>
      </c>
      <c r="E880" t="s">
        <v>93</v>
      </c>
      <c r="F880" t="s">
        <v>52</v>
      </c>
      <c r="G880">
        <v>232</v>
      </c>
      <c r="H880">
        <v>3</v>
      </c>
      <c r="I880">
        <v>45.38</v>
      </c>
      <c r="J880">
        <v>96.84</v>
      </c>
      <c r="L880">
        <v>0</v>
      </c>
    </row>
    <row r="881" spans="1:12" x14ac:dyDescent="0.25">
      <c r="A881" t="s">
        <v>1022</v>
      </c>
      <c r="B881">
        <v>91</v>
      </c>
      <c r="C881" s="1">
        <v>46056.078182870369</v>
      </c>
      <c r="D881" t="s">
        <v>105</v>
      </c>
      <c r="E881" t="s">
        <v>106</v>
      </c>
      <c r="F881" t="s">
        <v>30</v>
      </c>
      <c r="G881">
        <v>2058</v>
      </c>
      <c r="H881">
        <v>2</v>
      </c>
      <c r="I881">
        <v>334.03</v>
      </c>
      <c r="J881">
        <v>453.53</v>
      </c>
      <c r="L881">
        <v>0</v>
      </c>
    </row>
    <row r="882" spans="1:12" x14ac:dyDescent="0.25">
      <c r="A882" t="s">
        <v>1023</v>
      </c>
      <c r="B882">
        <v>20</v>
      </c>
      <c r="C882" s="1">
        <v>46056.526006944441</v>
      </c>
      <c r="D882" t="s">
        <v>89</v>
      </c>
      <c r="E882" t="s">
        <v>90</v>
      </c>
      <c r="F882" t="s">
        <v>52</v>
      </c>
      <c r="G882">
        <v>340</v>
      </c>
      <c r="H882">
        <v>2</v>
      </c>
      <c r="I882">
        <v>109.87</v>
      </c>
      <c r="J882">
        <v>215.49</v>
      </c>
      <c r="L882">
        <v>0</v>
      </c>
    </row>
    <row r="883" spans="1:12" x14ac:dyDescent="0.25">
      <c r="A883" t="s">
        <v>1024</v>
      </c>
      <c r="B883">
        <v>198</v>
      </c>
      <c r="C883" s="1">
        <v>46056.709178240737</v>
      </c>
      <c r="D883" t="s">
        <v>155</v>
      </c>
      <c r="E883" t="s">
        <v>156</v>
      </c>
      <c r="F883" t="s">
        <v>30</v>
      </c>
      <c r="G883">
        <v>3682</v>
      </c>
      <c r="H883">
        <v>3</v>
      </c>
      <c r="I883">
        <v>905.28</v>
      </c>
      <c r="J883">
        <v>1568.41</v>
      </c>
      <c r="L883">
        <v>0</v>
      </c>
    </row>
    <row r="884" spans="1:12" x14ac:dyDescent="0.25">
      <c r="A884" t="s">
        <v>1025</v>
      </c>
      <c r="B884">
        <v>141</v>
      </c>
      <c r="C884" s="1">
        <v>46056.990543981483</v>
      </c>
      <c r="D884" t="s">
        <v>28</v>
      </c>
      <c r="E884" t="s">
        <v>29</v>
      </c>
      <c r="F884" t="s">
        <v>30</v>
      </c>
      <c r="G884">
        <v>2186</v>
      </c>
      <c r="H884">
        <v>1</v>
      </c>
      <c r="I884">
        <v>2113.23</v>
      </c>
      <c r="J884">
        <v>2825.69</v>
      </c>
      <c r="L884">
        <v>0</v>
      </c>
    </row>
    <row r="885" spans="1:12" x14ac:dyDescent="0.25">
      <c r="A885" t="s">
        <v>1026</v>
      </c>
      <c r="B885">
        <v>200</v>
      </c>
      <c r="C885" s="1">
        <v>46057.060949074083</v>
      </c>
      <c r="D885" t="s">
        <v>105</v>
      </c>
      <c r="E885" t="s">
        <v>106</v>
      </c>
      <c r="F885" t="s">
        <v>30</v>
      </c>
      <c r="G885">
        <v>2060</v>
      </c>
      <c r="H885">
        <v>2</v>
      </c>
      <c r="I885">
        <v>357.57</v>
      </c>
      <c r="J885">
        <v>416.69</v>
      </c>
      <c r="K885" t="s">
        <v>60</v>
      </c>
      <c r="L885">
        <v>0.2</v>
      </c>
    </row>
    <row r="886" spans="1:12" x14ac:dyDescent="0.25">
      <c r="A886" t="s">
        <v>1027</v>
      </c>
      <c r="B886">
        <v>175</v>
      </c>
      <c r="C886" s="1">
        <v>46057.354224537034</v>
      </c>
      <c r="D886" t="s">
        <v>28</v>
      </c>
      <c r="E886" t="s">
        <v>29</v>
      </c>
      <c r="F886" t="s">
        <v>30</v>
      </c>
      <c r="G886">
        <v>2312</v>
      </c>
      <c r="H886">
        <v>1</v>
      </c>
      <c r="I886">
        <v>2076.1799999999998</v>
      </c>
      <c r="J886">
        <v>3879.46</v>
      </c>
      <c r="K886" t="s">
        <v>60</v>
      </c>
      <c r="L886">
        <v>0.2</v>
      </c>
    </row>
    <row r="887" spans="1:12" x14ac:dyDescent="0.25">
      <c r="A887" t="s">
        <v>1028</v>
      </c>
      <c r="B887">
        <v>130</v>
      </c>
      <c r="C887" s="1">
        <v>46058.218981481477</v>
      </c>
      <c r="D887" t="s">
        <v>58</v>
      </c>
      <c r="E887" t="s">
        <v>59</v>
      </c>
      <c r="F887" t="s">
        <v>30</v>
      </c>
      <c r="G887">
        <v>4516</v>
      </c>
      <c r="H887">
        <v>2</v>
      </c>
      <c r="I887">
        <v>239.13</v>
      </c>
      <c r="J887">
        <v>684.39</v>
      </c>
      <c r="L887">
        <v>0</v>
      </c>
    </row>
    <row r="888" spans="1:12" x14ac:dyDescent="0.25">
      <c r="A888" t="s">
        <v>1029</v>
      </c>
      <c r="B888">
        <v>12</v>
      </c>
      <c r="C888" s="1">
        <v>46058.237384259257</v>
      </c>
      <c r="D888" t="s">
        <v>74</v>
      </c>
      <c r="E888" t="s">
        <v>75</v>
      </c>
      <c r="F888" t="s">
        <v>30</v>
      </c>
      <c r="G888">
        <v>2925</v>
      </c>
      <c r="H888">
        <v>3</v>
      </c>
      <c r="I888">
        <v>2452.13</v>
      </c>
      <c r="J888">
        <v>4632.54</v>
      </c>
      <c r="K888" t="s">
        <v>60</v>
      </c>
      <c r="L888">
        <v>0.2</v>
      </c>
    </row>
    <row r="889" spans="1:12" x14ac:dyDescent="0.25">
      <c r="A889" t="s">
        <v>1030</v>
      </c>
      <c r="B889">
        <v>13</v>
      </c>
      <c r="C889" s="1">
        <v>46058.296377314808</v>
      </c>
      <c r="D889" t="s">
        <v>137</v>
      </c>
      <c r="E889" t="s">
        <v>138</v>
      </c>
      <c r="F889" t="s">
        <v>52</v>
      </c>
      <c r="G889">
        <v>396</v>
      </c>
      <c r="H889">
        <v>2</v>
      </c>
      <c r="I889">
        <v>79.459999999999994</v>
      </c>
      <c r="J889">
        <v>106.29</v>
      </c>
      <c r="K889" t="s">
        <v>60</v>
      </c>
      <c r="L889">
        <v>0.2</v>
      </c>
    </row>
    <row r="890" spans="1:12" x14ac:dyDescent="0.25">
      <c r="A890" t="s">
        <v>1031</v>
      </c>
      <c r="B890">
        <v>85</v>
      </c>
      <c r="C890" s="1">
        <v>46058.347939814812</v>
      </c>
      <c r="D890" t="s">
        <v>50</v>
      </c>
      <c r="E890" t="s">
        <v>51</v>
      </c>
      <c r="F890" t="s">
        <v>52</v>
      </c>
      <c r="G890">
        <v>757</v>
      </c>
      <c r="H890">
        <v>1</v>
      </c>
      <c r="I890">
        <v>80.3</v>
      </c>
      <c r="J890">
        <v>309.52999999999997</v>
      </c>
      <c r="L890">
        <v>0</v>
      </c>
    </row>
    <row r="891" spans="1:12" x14ac:dyDescent="0.25">
      <c r="A891" t="s">
        <v>1032</v>
      </c>
      <c r="B891">
        <v>26</v>
      </c>
      <c r="C891" s="1">
        <v>46059.132916666669</v>
      </c>
      <c r="D891" t="s">
        <v>92</v>
      </c>
      <c r="E891" t="s">
        <v>93</v>
      </c>
      <c r="F891" t="s">
        <v>52</v>
      </c>
      <c r="G891">
        <v>265</v>
      </c>
      <c r="H891">
        <v>3</v>
      </c>
      <c r="I891">
        <v>38.44</v>
      </c>
      <c r="J891">
        <v>55.9</v>
      </c>
      <c r="L891">
        <v>0</v>
      </c>
    </row>
    <row r="892" spans="1:12" x14ac:dyDescent="0.25">
      <c r="A892" t="s">
        <v>1033</v>
      </c>
      <c r="B892">
        <v>72</v>
      </c>
      <c r="C892" s="1">
        <v>46059.779629629629</v>
      </c>
      <c r="D892" t="s">
        <v>114</v>
      </c>
      <c r="E892" t="s">
        <v>115</v>
      </c>
      <c r="F892" t="s">
        <v>116</v>
      </c>
      <c r="G892">
        <v>0</v>
      </c>
      <c r="H892">
        <v>3</v>
      </c>
      <c r="I892">
        <v>441.11</v>
      </c>
      <c r="J892">
        <v>721.82</v>
      </c>
      <c r="K892" t="s">
        <v>46</v>
      </c>
      <c r="L892">
        <v>0.1</v>
      </c>
    </row>
    <row r="893" spans="1:12" x14ac:dyDescent="0.25">
      <c r="A893" t="s">
        <v>1034</v>
      </c>
      <c r="B893">
        <v>146</v>
      </c>
      <c r="C893" s="1">
        <v>46060.190254629633</v>
      </c>
      <c r="D893" t="s">
        <v>81</v>
      </c>
      <c r="E893" t="s">
        <v>82</v>
      </c>
      <c r="F893" t="s">
        <v>45</v>
      </c>
      <c r="G893">
        <v>0</v>
      </c>
      <c r="H893">
        <v>1</v>
      </c>
      <c r="I893">
        <v>61.73</v>
      </c>
      <c r="J893">
        <v>235.92</v>
      </c>
      <c r="K893" t="s">
        <v>46</v>
      </c>
      <c r="L893">
        <v>0.1</v>
      </c>
    </row>
    <row r="894" spans="1:12" x14ac:dyDescent="0.25">
      <c r="A894" t="s">
        <v>1035</v>
      </c>
      <c r="B894">
        <v>174</v>
      </c>
      <c r="C894" s="1">
        <v>46060.282835648148</v>
      </c>
      <c r="D894" t="s">
        <v>28</v>
      </c>
      <c r="E894" t="s">
        <v>29</v>
      </c>
      <c r="F894" t="s">
        <v>30</v>
      </c>
      <c r="G894">
        <v>2204</v>
      </c>
      <c r="H894">
        <v>3</v>
      </c>
      <c r="I894">
        <v>2195.65</v>
      </c>
      <c r="J894">
        <v>3394.19</v>
      </c>
      <c r="K894" t="s">
        <v>60</v>
      </c>
      <c r="L894">
        <v>0.2</v>
      </c>
    </row>
    <row r="895" spans="1:12" x14ac:dyDescent="0.25">
      <c r="A895" t="s">
        <v>1036</v>
      </c>
      <c r="B895">
        <v>176</v>
      </c>
      <c r="C895" s="1">
        <v>46060.328773148147</v>
      </c>
      <c r="D895" t="s">
        <v>43</v>
      </c>
      <c r="E895" t="s">
        <v>44</v>
      </c>
      <c r="F895" t="s">
        <v>45</v>
      </c>
      <c r="G895">
        <v>0</v>
      </c>
      <c r="H895">
        <v>1</v>
      </c>
      <c r="I895">
        <v>33.86</v>
      </c>
      <c r="J895">
        <v>132.75</v>
      </c>
      <c r="L895">
        <v>0</v>
      </c>
    </row>
    <row r="896" spans="1:12" x14ac:dyDescent="0.25">
      <c r="A896" t="s">
        <v>1037</v>
      </c>
      <c r="B896">
        <v>131</v>
      </c>
      <c r="C896" s="1">
        <v>46061.483564814807</v>
      </c>
      <c r="D896" t="s">
        <v>105</v>
      </c>
      <c r="E896" t="s">
        <v>106</v>
      </c>
      <c r="F896" t="s">
        <v>30</v>
      </c>
      <c r="G896">
        <v>2048</v>
      </c>
      <c r="H896">
        <v>3</v>
      </c>
      <c r="I896">
        <v>277.12</v>
      </c>
      <c r="J896">
        <v>366.62</v>
      </c>
      <c r="L896">
        <v>0</v>
      </c>
    </row>
    <row r="897" spans="1:12" x14ac:dyDescent="0.25">
      <c r="A897" t="s">
        <v>1038</v>
      </c>
      <c r="B897">
        <v>136</v>
      </c>
      <c r="C897" s="1">
        <v>46061.802071759259</v>
      </c>
      <c r="D897" t="s">
        <v>105</v>
      </c>
      <c r="E897" t="s">
        <v>106</v>
      </c>
      <c r="F897" t="s">
        <v>30</v>
      </c>
      <c r="G897">
        <v>2081</v>
      </c>
      <c r="H897">
        <v>3</v>
      </c>
      <c r="I897">
        <v>214.72</v>
      </c>
      <c r="J897">
        <v>365.24</v>
      </c>
      <c r="L897">
        <v>0</v>
      </c>
    </row>
    <row r="898" spans="1:12" x14ac:dyDescent="0.25">
      <c r="A898" t="s">
        <v>1039</v>
      </c>
      <c r="B898">
        <v>96</v>
      </c>
      <c r="C898" s="1">
        <v>46062.966805555552</v>
      </c>
      <c r="D898" t="s">
        <v>123</v>
      </c>
      <c r="E898" t="s">
        <v>124</v>
      </c>
      <c r="F898" t="s">
        <v>45</v>
      </c>
      <c r="G898">
        <v>0</v>
      </c>
      <c r="H898">
        <v>1</v>
      </c>
      <c r="I898">
        <v>297.57</v>
      </c>
      <c r="J898">
        <v>408.58</v>
      </c>
      <c r="K898" t="s">
        <v>60</v>
      </c>
      <c r="L898">
        <v>0.2</v>
      </c>
    </row>
    <row r="899" spans="1:12" x14ac:dyDescent="0.25">
      <c r="A899" t="s">
        <v>1040</v>
      </c>
      <c r="B899">
        <v>66</v>
      </c>
      <c r="C899" s="1">
        <v>46063.824328703697</v>
      </c>
      <c r="D899" t="s">
        <v>71</v>
      </c>
      <c r="E899" t="s">
        <v>72</v>
      </c>
      <c r="F899" t="s">
        <v>52</v>
      </c>
      <c r="G899">
        <v>257</v>
      </c>
      <c r="H899">
        <v>1</v>
      </c>
      <c r="I899">
        <v>66.59</v>
      </c>
      <c r="J899">
        <v>90.8</v>
      </c>
      <c r="L899">
        <v>0</v>
      </c>
    </row>
    <row r="900" spans="1:12" x14ac:dyDescent="0.25">
      <c r="A900" t="s">
        <v>1041</v>
      </c>
      <c r="B900">
        <v>163</v>
      </c>
      <c r="C900" s="1">
        <v>46064.28806712963</v>
      </c>
      <c r="D900" t="s">
        <v>81</v>
      </c>
      <c r="E900" t="s">
        <v>82</v>
      </c>
      <c r="F900" t="s">
        <v>45</v>
      </c>
      <c r="G900">
        <v>0</v>
      </c>
      <c r="H900">
        <v>1</v>
      </c>
      <c r="I900">
        <v>113.16</v>
      </c>
      <c r="J900">
        <v>149.33000000000001</v>
      </c>
      <c r="K900" t="s">
        <v>46</v>
      </c>
      <c r="L900">
        <v>0.1</v>
      </c>
    </row>
    <row r="901" spans="1:12" x14ac:dyDescent="0.25">
      <c r="A901" t="s">
        <v>1042</v>
      </c>
      <c r="B901">
        <v>112</v>
      </c>
      <c r="C901" s="1">
        <v>46064.401909722219</v>
      </c>
      <c r="D901" t="s">
        <v>28</v>
      </c>
      <c r="E901" t="s">
        <v>29</v>
      </c>
      <c r="F901" t="s">
        <v>30</v>
      </c>
      <c r="G901">
        <v>2269</v>
      </c>
      <c r="H901">
        <v>3</v>
      </c>
      <c r="I901">
        <v>2101.67</v>
      </c>
      <c r="J901">
        <v>3331.2</v>
      </c>
      <c r="L901">
        <v>0</v>
      </c>
    </row>
    <row r="902" spans="1:12" x14ac:dyDescent="0.25">
      <c r="A902" t="s">
        <v>1043</v>
      </c>
      <c r="B902">
        <v>115</v>
      </c>
      <c r="C902" s="1">
        <v>46064.446423611109</v>
      </c>
      <c r="D902" t="s">
        <v>148</v>
      </c>
      <c r="E902" t="s">
        <v>149</v>
      </c>
      <c r="F902" t="s">
        <v>30</v>
      </c>
      <c r="G902">
        <v>3349</v>
      </c>
      <c r="H902">
        <v>3</v>
      </c>
      <c r="I902">
        <v>495.37</v>
      </c>
      <c r="J902">
        <v>860.93</v>
      </c>
      <c r="K902" t="s">
        <v>46</v>
      </c>
      <c r="L902">
        <v>0.1</v>
      </c>
    </row>
    <row r="903" spans="1:12" x14ac:dyDescent="0.25">
      <c r="A903" t="s">
        <v>1044</v>
      </c>
      <c r="B903">
        <v>170</v>
      </c>
      <c r="C903" s="1">
        <v>46065.299571759257</v>
      </c>
      <c r="D903" t="s">
        <v>43</v>
      </c>
      <c r="E903" t="s">
        <v>44</v>
      </c>
      <c r="F903" t="s">
        <v>45</v>
      </c>
      <c r="G903">
        <v>0</v>
      </c>
      <c r="H903">
        <v>2</v>
      </c>
      <c r="I903">
        <v>36.200000000000003</v>
      </c>
      <c r="J903">
        <v>145.54</v>
      </c>
      <c r="K903" t="s">
        <v>60</v>
      </c>
      <c r="L903">
        <v>0.2</v>
      </c>
    </row>
    <row r="904" spans="1:12" x14ac:dyDescent="0.25">
      <c r="A904" t="s">
        <v>1045</v>
      </c>
      <c r="B904">
        <v>108</v>
      </c>
      <c r="C904" s="1">
        <v>46066.39502314815</v>
      </c>
      <c r="D904" t="s">
        <v>198</v>
      </c>
      <c r="E904" t="s">
        <v>199</v>
      </c>
      <c r="F904" t="s">
        <v>116</v>
      </c>
      <c r="G904">
        <v>0</v>
      </c>
      <c r="H904">
        <v>3</v>
      </c>
      <c r="I904">
        <v>338.86</v>
      </c>
      <c r="J904">
        <v>660.81</v>
      </c>
      <c r="L904">
        <v>0</v>
      </c>
    </row>
    <row r="905" spans="1:12" x14ac:dyDescent="0.25">
      <c r="A905" t="s">
        <v>1046</v>
      </c>
      <c r="B905">
        <v>192</v>
      </c>
      <c r="C905" s="1">
        <v>46066.534918981481</v>
      </c>
      <c r="D905" t="s">
        <v>89</v>
      </c>
      <c r="E905" t="s">
        <v>90</v>
      </c>
      <c r="F905" t="s">
        <v>52</v>
      </c>
      <c r="G905">
        <v>338</v>
      </c>
      <c r="H905">
        <v>1</v>
      </c>
      <c r="I905">
        <v>105.65</v>
      </c>
      <c r="J905">
        <v>155.19</v>
      </c>
      <c r="L905">
        <v>0</v>
      </c>
    </row>
    <row r="906" spans="1:12" x14ac:dyDescent="0.25">
      <c r="A906" t="s">
        <v>1047</v>
      </c>
      <c r="B906">
        <v>44</v>
      </c>
      <c r="C906" s="1">
        <v>46066.887430555558</v>
      </c>
      <c r="D906" t="s">
        <v>177</v>
      </c>
      <c r="E906" t="s">
        <v>178</v>
      </c>
      <c r="F906" t="s">
        <v>116</v>
      </c>
      <c r="G906">
        <v>0</v>
      </c>
      <c r="H906">
        <v>1</v>
      </c>
      <c r="I906">
        <v>198.88</v>
      </c>
      <c r="J906">
        <v>573.86</v>
      </c>
      <c r="K906" t="s">
        <v>60</v>
      </c>
      <c r="L906">
        <v>0.2</v>
      </c>
    </row>
    <row r="907" spans="1:12" x14ac:dyDescent="0.25">
      <c r="A907" t="s">
        <v>1048</v>
      </c>
      <c r="B907">
        <v>156</v>
      </c>
      <c r="C907" s="1">
        <v>46067.653113425928</v>
      </c>
      <c r="D907" t="s">
        <v>58</v>
      </c>
      <c r="E907" t="s">
        <v>59</v>
      </c>
      <c r="F907" t="s">
        <v>30</v>
      </c>
      <c r="G907">
        <v>4282</v>
      </c>
      <c r="H907">
        <v>1</v>
      </c>
      <c r="I907">
        <v>398.54</v>
      </c>
      <c r="J907">
        <v>472.16</v>
      </c>
      <c r="L907">
        <v>0</v>
      </c>
    </row>
    <row r="908" spans="1:12" x14ac:dyDescent="0.25">
      <c r="A908" t="s">
        <v>1049</v>
      </c>
      <c r="B908">
        <v>37</v>
      </c>
      <c r="C908" s="1">
        <v>46068.546585648153</v>
      </c>
      <c r="D908" t="s">
        <v>198</v>
      </c>
      <c r="E908" t="s">
        <v>199</v>
      </c>
      <c r="F908" t="s">
        <v>116</v>
      </c>
      <c r="G908">
        <v>0</v>
      </c>
      <c r="H908">
        <v>3</v>
      </c>
      <c r="I908">
        <v>354.7</v>
      </c>
      <c r="J908">
        <v>736.55</v>
      </c>
      <c r="L908">
        <v>0</v>
      </c>
    </row>
    <row r="909" spans="1:12" x14ac:dyDescent="0.25">
      <c r="A909" t="s">
        <v>1050</v>
      </c>
      <c r="B909">
        <v>61</v>
      </c>
      <c r="C909" s="1">
        <v>46068.646990740737</v>
      </c>
      <c r="D909" t="s">
        <v>137</v>
      </c>
      <c r="E909" t="s">
        <v>138</v>
      </c>
      <c r="F909" t="s">
        <v>52</v>
      </c>
      <c r="G909">
        <v>382</v>
      </c>
      <c r="H909">
        <v>2</v>
      </c>
      <c r="I909">
        <v>90.45</v>
      </c>
      <c r="J909">
        <v>262.20999999999998</v>
      </c>
      <c r="K909" t="s">
        <v>46</v>
      </c>
      <c r="L909">
        <v>0.1</v>
      </c>
    </row>
    <row r="910" spans="1:12" x14ac:dyDescent="0.25">
      <c r="A910" t="s">
        <v>1051</v>
      </c>
      <c r="B910">
        <v>66</v>
      </c>
      <c r="C910" s="1">
        <v>46069.827048611107</v>
      </c>
      <c r="D910" t="s">
        <v>198</v>
      </c>
      <c r="E910" t="s">
        <v>199</v>
      </c>
      <c r="F910" t="s">
        <v>116</v>
      </c>
      <c r="G910">
        <v>0</v>
      </c>
      <c r="H910">
        <v>3</v>
      </c>
      <c r="I910">
        <v>386.86</v>
      </c>
      <c r="J910">
        <v>660.67</v>
      </c>
      <c r="K910" t="s">
        <v>60</v>
      </c>
      <c r="L910">
        <v>0.2</v>
      </c>
    </row>
    <row r="911" spans="1:12" x14ac:dyDescent="0.25">
      <c r="A911" t="s">
        <v>1052</v>
      </c>
      <c r="B911">
        <v>147</v>
      </c>
      <c r="C911" s="1">
        <v>46070.113703703697</v>
      </c>
      <c r="D911" t="s">
        <v>86</v>
      </c>
      <c r="E911" t="s">
        <v>87</v>
      </c>
      <c r="F911" t="s">
        <v>45</v>
      </c>
      <c r="G911">
        <v>0</v>
      </c>
      <c r="H911">
        <v>2</v>
      </c>
      <c r="I911">
        <v>92.73</v>
      </c>
      <c r="J911">
        <v>163.26</v>
      </c>
      <c r="K911" t="s">
        <v>60</v>
      </c>
      <c r="L911">
        <v>0.2</v>
      </c>
    </row>
    <row r="912" spans="1:12" x14ac:dyDescent="0.25">
      <c r="A912" t="s">
        <v>1053</v>
      </c>
      <c r="B912">
        <v>138</v>
      </c>
      <c r="C912" s="1">
        <v>46071.848020833328</v>
      </c>
      <c r="D912" t="s">
        <v>66</v>
      </c>
      <c r="E912" t="s">
        <v>67</v>
      </c>
      <c r="F912" t="s">
        <v>52</v>
      </c>
      <c r="G912">
        <v>233</v>
      </c>
      <c r="H912">
        <v>3</v>
      </c>
      <c r="I912">
        <v>37.6</v>
      </c>
      <c r="J912">
        <v>82.34</v>
      </c>
      <c r="K912" t="s">
        <v>60</v>
      </c>
      <c r="L912">
        <v>0.2</v>
      </c>
    </row>
    <row r="913" spans="1:12" x14ac:dyDescent="0.25">
      <c r="A913" t="s">
        <v>1054</v>
      </c>
      <c r="B913">
        <v>133</v>
      </c>
      <c r="C913" s="1">
        <v>46072.189166666663</v>
      </c>
      <c r="D913" t="s">
        <v>92</v>
      </c>
      <c r="E913" t="s">
        <v>93</v>
      </c>
      <c r="F913" t="s">
        <v>52</v>
      </c>
      <c r="G913">
        <v>228</v>
      </c>
      <c r="H913">
        <v>1</v>
      </c>
      <c r="I913">
        <v>40.549999999999997</v>
      </c>
      <c r="J913">
        <v>108.84</v>
      </c>
      <c r="K913" t="s">
        <v>60</v>
      </c>
      <c r="L913">
        <v>0.2</v>
      </c>
    </row>
    <row r="914" spans="1:12" x14ac:dyDescent="0.25">
      <c r="A914" t="s">
        <v>1055</v>
      </c>
      <c r="B914">
        <v>164</v>
      </c>
      <c r="C914" s="1">
        <v>46072.300393518519</v>
      </c>
      <c r="D914" t="s">
        <v>198</v>
      </c>
      <c r="E914" t="s">
        <v>199</v>
      </c>
      <c r="F914" t="s">
        <v>116</v>
      </c>
      <c r="G914">
        <v>0</v>
      </c>
      <c r="H914">
        <v>2</v>
      </c>
      <c r="I914">
        <v>432.84</v>
      </c>
      <c r="J914">
        <v>685.54</v>
      </c>
      <c r="L914">
        <v>0</v>
      </c>
    </row>
    <row r="915" spans="1:12" x14ac:dyDescent="0.25">
      <c r="A915" t="s">
        <v>1056</v>
      </c>
      <c r="B915">
        <v>171</v>
      </c>
      <c r="C915" s="1">
        <v>46072.703773148147</v>
      </c>
      <c r="D915" t="s">
        <v>123</v>
      </c>
      <c r="E915" t="s">
        <v>124</v>
      </c>
      <c r="F915" t="s">
        <v>45</v>
      </c>
      <c r="G915">
        <v>0</v>
      </c>
      <c r="H915">
        <v>3</v>
      </c>
      <c r="I915">
        <v>214.25</v>
      </c>
      <c r="J915">
        <v>312.29000000000002</v>
      </c>
      <c r="L915">
        <v>0</v>
      </c>
    </row>
    <row r="916" spans="1:12" x14ac:dyDescent="0.25">
      <c r="A916" t="s">
        <v>1057</v>
      </c>
      <c r="B916">
        <v>161</v>
      </c>
      <c r="C916" s="1">
        <v>46073.208043981482</v>
      </c>
      <c r="D916" t="s">
        <v>89</v>
      </c>
      <c r="E916" t="s">
        <v>90</v>
      </c>
      <c r="F916" t="s">
        <v>52</v>
      </c>
      <c r="G916">
        <v>345</v>
      </c>
      <c r="H916">
        <v>2</v>
      </c>
      <c r="I916">
        <v>95.09</v>
      </c>
      <c r="J916">
        <v>173.65</v>
      </c>
      <c r="L916">
        <v>0</v>
      </c>
    </row>
    <row r="917" spans="1:12" x14ac:dyDescent="0.25">
      <c r="A917" t="s">
        <v>1058</v>
      </c>
      <c r="B917">
        <v>128</v>
      </c>
      <c r="C917" s="1">
        <v>46074.217152777783</v>
      </c>
      <c r="D917" t="s">
        <v>95</v>
      </c>
      <c r="E917" t="s">
        <v>96</v>
      </c>
      <c r="F917" t="s">
        <v>52</v>
      </c>
      <c r="G917">
        <v>410</v>
      </c>
      <c r="H917">
        <v>1</v>
      </c>
      <c r="I917">
        <v>22.87</v>
      </c>
      <c r="J917">
        <v>53.26</v>
      </c>
      <c r="K917" t="s">
        <v>60</v>
      </c>
      <c r="L917">
        <v>0.2</v>
      </c>
    </row>
    <row r="918" spans="1:12" x14ac:dyDescent="0.25">
      <c r="A918" t="s">
        <v>1059</v>
      </c>
      <c r="B918">
        <v>34</v>
      </c>
      <c r="C918" s="1">
        <v>46074.229166666657</v>
      </c>
      <c r="D918" t="s">
        <v>74</v>
      </c>
      <c r="E918" t="s">
        <v>75</v>
      </c>
      <c r="F918" t="s">
        <v>30</v>
      </c>
      <c r="G918">
        <v>2944</v>
      </c>
      <c r="H918">
        <v>3</v>
      </c>
      <c r="I918">
        <v>2126.36</v>
      </c>
      <c r="J918">
        <v>3506.97</v>
      </c>
      <c r="L918">
        <v>0</v>
      </c>
    </row>
    <row r="919" spans="1:12" x14ac:dyDescent="0.25">
      <c r="A919" t="s">
        <v>1060</v>
      </c>
      <c r="B919">
        <v>137</v>
      </c>
      <c r="C919" s="1">
        <v>46074.232557870368</v>
      </c>
      <c r="D919" t="s">
        <v>66</v>
      </c>
      <c r="E919" t="s">
        <v>67</v>
      </c>
      <c r="F919" t="s">
        <v>52</v>
      </c>
      <c r="G919">
        <v>203</v>
      </c>
      <c r="H919">
        <v>2</v>
      </c>
      <c r="I919">
        <v>51.94</v>
      </c>
      <c r="J919">
        <v>128.87</v>
      </c>
      <c r="K919" t="s">
        <v>60</v>
      </c>
      <c r="L919">
        <v>0.2</v>
      </c>
    </row>
    <row r="920" spans="1:12" x14ac:dyDescent="0.25">
      <c r="A920" t="s">
        <v>1061</v>
      </c>
      <c r="B920">
        <v>31</v>
      </c>
      <c r="C920" s="1">
        <v>46074.348703703698</v>
      </c>
      <c r="D920" t="s">
        <v>66</v>
      </c>
      <c r="E920" t="s">
        <v>67</v>
      </c>
      <c r="F920" t="s">
        <v>52</v>
      </c>
      <c r="G920">
        <v>207</v>
      </c>
      <c r="H920">
        <v>2</v>
      </c>
      <c r="I920">
        <v>29.8</v>
      </c>
      <c r="J920">
        <v>59.29</v>
      </c>
      <c r="K920" t="s">
        <v>46</v>
      </c>
      <c r="L920">
        <v>0.1</v>
      </c>
    </row>
    <row r="921" spans="1:12" x14ac:dyDescent="0.25">
      <c r="A921" t="s">
        <v>1062</v>
      </c>
      <c r="B921">
        <v>55</v>
      </c>
      <c r="C921" s="1">
        <v>46074.585729166669</v>
      </c>
      <c r="D921" t="s">
        <v>164</v>
      </c>
      <c r="E921" t="s">
        <v>165</v>
      </c>
      <c r="F921" t="s">
        <v>116</v>
      </c>
      <c r="G921">
        <v>0</v>
      </c>
      <c r="H921">
        <v>1</v>
      </c>
      <c r="I921">
        <v>362.4</v>
      </c>
      <c r="J921">
        <v>704.25</v>
      </c>
      <c r="L921">
        <v>0</v>
      </c>
    </row>
    <row r="922" spans="1:12" x14ac:dyDescent="0.25">
      <c r="A922" t="s">
        <v>1063</v>
      </c>
      <c r="B922">
        <v>108</v>
      </c>
      <c r="C922" s="1">
        <v>46074.725312499999</v>
      </c>
      <c r="D922" t="s">
        <v>28</v>
      </c>
      <c r="E922" t="s">
        <v>29</v>
      </c>
      <c r="F922" t="s">
        <v>30</v>
      </c>
      <c r="G922">
        <v>2446</v>
      </c>
      <c r="H922">
        <v>1</v>
      </c>
      <c r="I922">
        <v>1864.07</v>
      </c>
      <c r="J922">
        <v>2509.2199999999998</v>
      </c>
      <c r="K922" t="s">
        <v>46</v>
      </c>
      <c r="L922">
        <v>0.1</v>
      </c>
    </row>
    <row r="923" spans="1:12" x14ac:dyDescent="0.25">
      <c r="A923" t="s">
        <v>1064</v>
      </c>
      <c r="B923">
        <v>123</v>
      </c>
      <c r="C923" s="1">
        <v>46075.007939814823</v>
      </c>
      <c r="D923" t="s">
        <v>81</v>
      </c>
      <c r="E923" t="s">
        <v>82</v>
      </c>
      <c r="F923" t="s">
        <v>45</v>
      </c>
      <c r="G923">
        <v>0</v>
      </c>
      <c r="H923">
        <v>3</v>
      </c>
      <c r="I923">
        <v>102.04</v>
      </c>
      <c r="J923">
        <v>133.34</v>
      </c>
      <c r="L923">
        <v>0</v>
      </c>
    </row>
    <row r="924" spans="1:12" x14ac:dyDescent="0.25">
      <c r="A924" t="s">
        <v>1065</v>
      </c>
      <c r="B924">
        <v>140</v>
      </c>
      <c r="C924" s="1">
        <v>46075.304016203707</v>
      </c>
      <c r="D924" t="s">
        <v>148</v>
      </c>
      <c r="E924" t="s">
        <v>149</v>
      </c>
      <c r="F924" t="s">
        <v>30</v>
      </c>
      <c r="G924">
        <v>2695</v>
      </c>
      <c r="H924">
        <v>1</v>
      </c>
      <c r="I924">
        <v>587.83000000000004</v>
      </c>
      <c r="J924">
        <v>727.99</v>
      </c>
      <c r="K924" t="s">
        <v>46</v>
      </c>
      <c r="L924">
        <v>0.1</v>
      </c>
    </row>
    <row r="925" spans="1:12" x14ac:dyDescent="0.25">
      <c r="A925" t="s">
        <v>1066</v>
      </c>
      <c r="B925">
        <v>71</v>
      </c>
      <c r="C925" s="1">
        <v>46075.407337962963</v>
      </c>
      <c r="D925" t="s">
        <v>81</v>
      </c>
      <c r="E925" t="s">
        <v>82</v>
      </c>
      <c r="F925" t="s">
        <v>45</v>
      </c>
      <c r="G925">
        <v>0</v>
      </c>
      <c r="H925">
        <v>3</v>
      </c>
      <c r="I925">
        <v>103.19</v>
      </c>
      <c r="J925">
        <v>243.38</v>
      </c>
      <c r="K925" t="s">
        <v>60</v>
      </c>
      <c r="L925">
        <v>0.2</v>
      </c>
    </row>
    <row r="926" spans="1:12" x14ac:dyDescent="0.25">
      <c r="A926" t="s">
        <v>1067</v>
      </c>
      <c r="B926">
        <v>78</v>
      </c>
      <c r="C926" s="1">
        <v>46075.572071759263</v>
      </c>
      <c r="D926" t="s">
        <v>95</v>
      </c>
      <c r="E926" t="s">
        <v>96</v>
      </c>
      <c r="F926" t="s">
        <v>52</v>
      </c>
      <c r="G926">
        <v>527</v>
      </c>
      <c r="H926">
        <v>1</v>
      </c>
      <c r="I926">
        <v>22.62</v>
      </c>
      <c r="J926">
        <v>85.44</v>
      </c>
      <c r="K926" t="s">
        <v>60</v>
      </c>
      <c r="L926">
        <v>0.2</v>
      </c>
    </row>
    <row r="927" spans="1:12" x14ac:dyDescent="0.25">
      <c r="A927" t="s">
        <v>1068</v>
      </c>
      <c r="B927">
        <v>111</v>
      </c>
      <c r="C927" s="1">
        <v>46075.573530092603</v>
      </c>
      <c r="D927" t="s">
        <v>28</v>
      </c>
      <c r="E927" t="s">
        <v>29</v>
      </c>
      <c r="F927" t="s">
        <v>30</v>
      </c>
      <c r="G927">
        <v>2748</v>
      </c>
      <c r="H927">
        <v>1</v>
      </c>
      <c r="I927">
        <v>1955.12</v>
      </c>
      <c r="J927">
        <v>2637.74</v>
      </c>
      <c r="K927" t="s">
        <v>60</v>
      </c>
      <c r="L927">
        <v>0.2</v>
      </c>
    </row>
    <row r="928" spans="1:12" x14ac:dyDescent="0.25">
      <c r="A928" t="s">
        <v>1069</v>
      </c>
      <c r="B928">
        <v>131</v>
      </c>
      <c r="C928" s="1">
        <v>46076.36383101852</v>
      </c>
      <c r="D928" t="s">
        <v>66</v>
      </c>
      <c r="E928" t="s">
        <v>67</v>
      </c>
      <c r="F928" t="s">
        <v>52</v>
      </c>
      <c r="G928">
        <v>278</v>
      </c>
      <c r="H928">
        <v>2</v>
      </c>
      <c r="I928">
        <v>52.46</v>
      </c>
      <c r="J928">
        <v>137.55000000000001</v>
      </c>
      <c r="L928">
        <v>0</v>
      </c>
    </row>
    <row r="929" spans="1:12" x14ac:dyDescent="0.25">
      <c r="A929" t="s">
        <v>1070</v>
      </c>
      <c r="B929">
        <v>26</v>
      </c>
      <c r="C929" s="1">
        <v>46078.061655092592</v>
      </c>
      <c r="D929" t="s">
        <v>66</v>
      </c>
      <c r="E929" t="s">
        <v>67</v>
      </c>
      <c r="F929" t="s">
        <v>52</v>
      </c>
      <c r="G929">
        <v>268</v>
      </c>
      <c r="H929">
        <v>3</v>
      </c>
      <c r="I929">
        <v>34.69</v>
      </c>
      <c r="J929">
        <v>69.150000000000006</v>
      </c>
      <c r="K929" t="s">
        <v>46</v>
      </c>
      <c r="L929">
        <v>0.1</v>
      </c>
    </row>
    <row r="930" spans="1:12" x14ac:dyDescent="0.25">
      <c r="A930" t="s">
        <v>1071</v>
      </c>
      <c r="B930">
        <v>27</v>
      </c>
      <c r="C930" s="1">
        <v>46078.31958333333</v>
      </c>
      <c r="D930" t="s">
        <v>71</v>
      </c>
      <c r="E930" t="s">
        <v>72</v>
      </c>
      <c r="F930" t="s">
        <v>52</v>
      </c>
      <c r="G930">
        <v>234</v>
      </c>
      <c r="H930">
        <v>1</v>
      </c>
      <c r="I930">
        <v>40.57</v>
      </c>
      <c r="J930">
        <v>142.19</v>
      </c>
      <c r="L930">
        <v>0</v>
      </c>
    </row>
    <row r="931" spans="1:12" x14ac:dyDescent="0.25">
      <c r="A931" t="s">
        <v>1072</v>
      </c>
      <c r="B931">
        <v>188</v>
      </c>
      <c r="C931" s="1">
        <v>46078.501226851848</v>
      </c>
      <c r="D931" t="s">
        <v>50</v>
      </c>
      <c r="E931" t="s">
        <v>51</v>
      </c>
      <c r="F931" t="s">
        <v>52</v>
      </c>
      <c r="G931">
        <v>639</v>
      </c>
      <c r="H931">
        <v>3</v>
      </c>
      <c r="I931">
        <v>194.34</v>
      </c>
      <c r="J931">
        <v>271.61</v>
      </c>
      <c r="K931" t="s">
        <v>60</v>
      </c>
      <c r="L931">
        <v>0.2</v>
      </c>
    </row>
    <row r="932" spans="1:12" x14ac:dyDescent="0.25">
      <c r="A932" t="s">
        <v>1073</v>
      </c>
      <c r="B932">
        <v>171</v>
      </c>
      <c r="C932" s="1">
        <v>46079.218865740739</v>
      </c>
      <c r="D932" t="s">
        <v>155</v>
      </c>
      <c r="E932" t="s">
        <v>156</v>
      </c>
      <c r="F932" t="s">
        <v>30</v>
      </c>
      <c r="G932">
        <v>4940</v>
      </c>
      <c r="H932">
        <v>3</v>
      </c>
      <c r="I932">
        <v>755.99</v>
      </c>
      <c r="J932">
        <v>1297.6400000000001</v>
      </c>
      <c r="K932" t="s">
        <v>46</v>
      </c>
      <c r="L932">
        <v>0.1</v>
      </c>
    </row>
    <row r="933" spans="1:12" x14ac:dyDescent="0.25">
      <c r="A933" t="s">
        <v>1074</v>
      </c>
      <c r="B933">
        <v>89</v>
      </c>
      <c r="C933" s="1">
        <v>46079.442685185182</v>
      </c>
      <c r="D933" t="s">
        <v>114</v>
      </c>
      <c r="E933" t="s">
        <v>115</v>
      </c>
      <c r="F933" t="s">
        <v>116</v>
      </c>
      <c r="G933">
        <v>0</v>
      </c>
      <c r="H933">
        <v>1</v>
      </c>
      <c r="I933">
        <v>407.36</v>
      </c>
      <c r="J933">
        <v>574.27</v>
      </c>
      <c r="L933">
        <v>0</v>
      </c>
    </row>
    <row r="934" spans="1:12" x14ac:dyDescent="0.25">
      <c r="A934" t="s">
        <v>1075</v>
      </c>
      <c r="B934">
        <v>67</v>
      </c>
      <c r="C934" s="1">
        <v>46079.821817129632</v>
      </c>
      <c r="D934" t="s">
        <v>123</v>
      </c>
      <c r="E934" t="s">
        <v>124</v>
      </c>
      <c r="F934" t="s">
        <v>45</v>
      </c>
      <c r="G934">
        <v>0</v>
      </c>
      <c r="H934">
        <v>3</v>
      </c>
      <c r="I934">
        <v>176.58</v>
      </c>
      <c r="J934">
        <v>230.25</v>
      </c>
      <c r="L934">
        <v>0</v>
      </c>
    </row>
    <row r="935" spans="1:12" x14ac:dyDescent="0.25">
      <c r="A935" t="s">
        <v>1076</v>
      </c>
      <c r="B935">
        <v>25</v>
      </c>
      <c r="C935" s="1">
        <v>46080.08494212963</v>
      </c>
      <c r="D935" t="s">
        <v>74</v>
      </c>
      <c r="E935" t="s">
        <v>75</v>
      </c>
      <c r="F935" t="s">
        <v>30</v>
      </c>
      <c r="G935">
        <v>2978</v>
      </c>
      <c r="H935">
        <v>2</v>
      </c>
      <c r="I935">
        <v>2484.48</v>
      </c>
      <c r="J935">
        <v>4563.91</v>
      </c>
      <c r="K935" t="s">
        <v>46</v>
      </c>
      <c r="L935">
        <v>0.1</v>
      </c>
    </row>
    <row r="936" spans="1:12" x14ac:dyDescent="0.25">
      <c r="A936" t="s">
        <v>1077</v>
      </c>
      <c r="B936">
        <v>10</v>
      </c>
      <c r="C936" s="1">
        <v>46080.259571759263</v>
      </c>
      <c r="D936" t="s">
        <v>66</v>
      </c>
      <c r="E936" t="s">
        <v>67</v>
      </c>
      <c r="F936" t="s">
        <v>52</v>
      </c>
      <c r="G936">
        <v>248</v>
      </c>
      <c r="H936">
        <v>3</v>
      </c>
      <c r="I936">
        <v>54.14</v>
      </c>
      <c r="J936">
        <v>78.19</v>
      </c>
      <c r="K936" t="s">
        <v>60</v>
      </c>
      <c r="L936">
        <v>0.2</v>
      </c>
    </row>
    <row r="937" spans="1:12" x14ac:dyDescent="0.25">
      <c r="A937" t="s">
        <v>1078</v>
      </c>
      <c r="B937">
        <v>17</v>
      </c>
      <c r="C937" s="1">
        <v>46081.011967592603</v>
      </c>
      <c r="D937" t="s">
        <v>123</v>
      </c>
      <c r="E937" t="s">
        <v>124</v>
      </c>
      <c r="F937" t="s">
        <v>45</v>
      </c>
      <c r="G937">
        <v>0</v>
      </c>
      <c r="H937">
        <v>3</v>
      </c>
      <c r="I937">
        <v>242.5</v>
      </c>
      <c r="J937">
        <v>284.79000000000002</v>
      </c>
      <c r="L937">
        <v>0</v>
      </c>
    </row>
    <row r="938" spans="1:12" x14ac:dyDescent="0.25">
      <c r="A938" t="s">
        <v>1079</v>
      </c>
      <c r="B938">
        <v>115</v>
      </c>
      <c r="C938" s="1">
        <v>46081.297268518523</v>
      </c>
      <c r="D938" t="s">
        <v>123</v>
      </c>
      <c r="E938" t="s">
        <v>124</v>
      </c>
      <c r="F938" t="s">
        <v>45</v>
      </c>
      <c r="G938">
        <v>0</v>
      </c>
      <c r="H938">
        <v>1</v>
      </c>
      <c r="I938">
        <v>183.63</v>
      </c>
      <c r="J938">
        <v>224.84</v>
      </c>
      <c r="L938">
        <v>0</v>
      </c>
    </row>
    <row r="939" spans="1:12" x14ac:dyDescent="0.25">
      <c r="A939" t="s">
        <v>1080</v>
      </c>
      <c r="B939">
        <v>164</v>
      </c>
      <c r="C939" s="1">
        <v>46081.332800925928</v>
      </c>
      <c r="D939" t="s">
        <v>74</v>
      </c>
      <c r="E939" t="s">
        <v>75</v>
      </c>
      <c r="F939" t="s">
        <v>30</v>
      </c>
      <c r="G939">
        <v>2261</v>
      </c>
      <c r="H939">
        <v>3</v>
      </c>
      <c r="I939">
        <v>2791.33</v>
      </c>
      <c r="J939">
        <v>4031.97</v>
      </c>
      <c r="L939">
        <v>0</v>
      </c>
    </row>
    <row r="940" spans="1:12" x14ac:dyDescent="0.25">
      <c r="A940" t="s">
        <v>1081</v>
      </c>
      <c r="B940">
        <v>8</v>
      </c>
      <c r="C940" s="1">
        <v>46081.4065162037</v>
      </c>
      <c r="D940" t="s">
        <v>58</v>
      </c>
      <c r="E940" t="s">
        <v>59</v>
      </c>
      <c r="F940" t="s">
        <v>30</v>
      </c>
      <c r="G940">
        <v>4673</v>
      </c>
      <c r="H940">
        <v>1</v>
      </c>
      <c r="I940">
        <v>247.44</v>
      </c>
      <c r="J940">
        <v>435.21</v>
      </c>
      <c r="L940">
        <v>0</v>
      </c>
    </row>
    <row r="941" spans="1:12" x14ac:dyDescent="0.25">
      <c r="A941" t="s">
        <v>1082</v>
      </c>
      <c r="B941">
        <v>150</v>
      </c>
      <c r="C941" s="1">
        <v>46081.773923611108</v>
      </c>
      <c r="D941" t="s">
        <v>50</v>
      </c>
      <c r="E941" t="s">
        <v>51</v>
      </c>
      <c r="F941" t="s">
        <v>52</v>
      </c>
      <c r="G941">
        <v>673</v>
      </c>
      <c r="H941">
        <v>1</v>
      </c>
      <c r="I941">
        <v>199.05</v>
      </c>
      <c r="J941">
        <v>261.87</v>
      </c>
      <c r="L941">
        <v>0</v>
      </c>
    </row>
    <row r="942" spans="1:12" x14ac:dyDescent="0.25">
      <c r="A942" t="s">
        <v>1083</v>
      </c>
      <c r="B942">
        <v>61</v>
      </c>
      <c r="C942" s="1">
        <v>46081.808796296304</v>
      </c>
      <c r="D942" t="s">
        <v>37</v>
      </c>
      <c r="E942" t="s">
        <v>38</v>
      </c>
      <c r="F942" t="s">
        <v>30</v>
      </c>
      <c r="G942">
        <v>2589</v>
      </c>
      <c r="H942">
        <v>2</v>
      </c>
      <c r="I942">
        <v>644.22</v>
      </c>
      <c r="J942">
        <v>921.23</v>
      </c>
      <c r="K942" t="s">
        <v>46</v>
      </c>
      <c r="L942">
        <v>0.1</v>
      </c>
    </row>
    <row r="943" spans="1:12" x14ac:dyDescent="0.25">
      <c r="A943" t="s">
        <v>1084</v>
      </c>
      <c r="B943">
        <v>82</v>
      </c>
      <c r="C943" s="1">
        <v>46081.951273148137</v>
      </c>
      <c r="D943" t="s">
        <v>92</v>
      </c>
      <c r="E943" t="s">
        <v>93</v>
      </c>
      <c r="F943" t="s">
        <v>52</v>
      </c>
      <c r="G943">
        <v>258</v>
      </c>
      <c r="H943">
        <v>2</v>
      </c>
      <c r="I943">
        <v>49.33</v>
      </c>
      <c r="J943">
        <v>115</v>
      </c>
      <c r="L943">
        <v>0</v>
      </c>
    </row>
    <row r="944" spans="1:12" x14ac:dyDescent="0.25">
      <c r="A944" t="s">
        <v>1085</v>
      </c>
      <c r="B944">
        <v>175</v>
      </c>
      <c r="C944" s="1">
        <v>46082.032650462963</v>
      </c>
      <c r="D944" t="s">
        <v>37</v>
      </c>
      <c r="E944" t="s">
        <v>38</v>
      </c>
      <c r="F944" t="s">
        <v>30</v>
      </c>
      <c r="G944">
        <v>2375</v>
      </c>
      <c r="H944">
        <v>1</v>
      </c>
      <c r="I944">
        <v>846.51</v>
      </c>
      <c r="J944">
        <v>1487.49</v>
      </c>
      <c r="L944">
        <v>0</v>
      </c>
    </row>
    <row r="945" spans="1:12" x14ac:dyDescent="0.25">
      <c r="A945" t="s">
        <v>1086</v>
      </c>
      <c r="B945">
        <v>48</v>
      </c>
      <c r="C945" s="1">
        <v>46082.34752314815</v>
      </c>
      <c r="D945" t="s">
        <v>86</v>
      </c>
      <c r="E945" t="s">
        <v>87</v>
      </c>
      <c r="F945" t="s">
        <v>45</v>
      </c>
      <c r="G945">
        <v>0</v>
      </c>
      <c r="H945">
        <v>2</v>
      </c>
      <c r="I945">
        <v>54.99</v>
      </c>
      <c r="J945">
        <v>140.91</v>
      </c>
      <c r="K945" t="s">
        <v>60</v>
      </c>
      <c r="L945">
        <v>0.2</v>
      </c>
    </row>
    <row r="946" spans="1:12" x14ac:dyDescent="0.25">
      <c r="A946" t="s">
        <v>1087</v>
      </c>
      <c r="B946">
        <v>42</v>
      </c>
      <c r="C946" s="1">
        <v>46082.603159722217</v>
      </c>
      <c r="D946" t="s">
        <v>95</v>
      </c>
      <c r="E946" t="s">
        <v>96</v>
      </c>
      <c r="F946" t="s">
        <v>52</v>
      </c>
      <c r="G946">
        <v>564</v>
      </c>
      <c r="H946">
        <v>1</v>
      </c>
      <c r="I946">
        <v>25.97</v>
      </c>
      <c r="J946">
        <v>98.04</v>
      </c>
      <c r="L946">
        <v>0</v>
      </c>
    </row>
    <row r="947" spans="1:12" x14ac:dyDescent="0.25">
      <c r="A947" t="s">
        <v>1088</v>
      </c>
      <c r="B947">
        <v>194</v>
      </c>
      <c r="C947" s="1">
        <v>46082.610081018523</v>
      </c>
      <c r="D947" t="s">
        <v>148</v>
      </c>
      <c r="E947" t="s">
        <v>149</v>
      </c>
      <c r="F947" t="s">
        <v>30</v>
      </c>
      <c r="G947">
        <v>2892</v>
      </c>
      <c r="H947">
        <v>1</v>
      </c>
      <c r="I947">
        <v>571.52</v>
      </c>
      <c r="J947">
        <v>907.01</v>
      </c>
      <c r="K947" t="s">
        <v>46</v>
      </c>
      <c r="L947">
        <v>0.1</v>
      </c>
    </row>
    <row r="948" spans="1:12" x14ac:dyDescent="0.25">
      <c r="A948" t="s">
        <v>1089</v>
      </c>
      <c r="B948">
        <v>63</v>
      </c>
      <c r="C948" s="1">
        <v>46082.973391203697</v>
      </c>
      <c r="D948" t="s">
        <v>86</v>
      </c>
      <c r="E948" t="s">
        <v>87</v>
      </c>
      <c r="F948" t="s">
        <v>45</v>
      </c>
      <c r="G948">
        <v>0</v>
      </c>
      <c r="H948">
        <v>1</v>
      </c>
      <c r="I948">
        <v>71.739999999999995</v>
      </c>
      <c r="J948">
        <v>90.24</v>
      </c>
      <c r="K948" t="s">
        <v>60</v>
      </c>
      <c r="L948">
        <v>0.2</v>
      </c>
    </row>
    <row r="949" spans="1:12" x14ac:dyDescent="0.25">
      <c r="A949" t="s">
        <v>1090</v>
      </c>
      <c r="B949">
        <v>40</v>
      </c>
      <c r="C949" s="1">
        <v>46083.756643518522</v>
      </c>
      <c r="D949" t="s">
        <v>81</v>
      </c>
      <c r="E949" t="s">
        <v>82</v>
      </c>
      <c r="F949" t="s">
        <v>45</v>
      </c>
      <c r="G949">
        <v>0</v>
      </c>
      <c r="H949">
        <v>1</v>
      </c>
      <c r="I949">
        <v>66.39</v>
      </c>
      <c r="J949">
        <v>154.88999999999999</v>
      </c>
      <c r="L949">
        <v>0</v>
      </c>
    </row>
    <row r="950" spans="1:12" x14ac:dyDescent="0.25">
      <c r="A950" t="s">
        <v>1091</v>
      </c>
      <c r="B950">
        <v>139</v>
      </c>
      <c r="C950" s="1">
        <v>46083.797395833331</v>
      </c>
      <c r="D950" t="s">
        <v>37</v>
      </c>
      <c r="E950" t="s">
        <v>38</v>
      </c>
      <c r="F950" t="s">
        <v>30</v>
      </c>
      <c r="G950">
        <v>2461</v>
      </c>
      <c r="H950">
        <v>1</v>
      </c>
      <c r="I950">
        <v>787.18</v>
      </c>
      <c r="J950">
        <v>1174.47</v>
      </c>
      <c r="L950">
        <v>0</v>
      </c>
    </row>
    <row r="951" spans="1:12" x14ac:dyDescent="0.25">
      <c r="A951" t="s">
        <v>1092</v>
      </c>
      <c r="B951">
        <v>120</v>
      </c>
      <c r="C951" s="1">
        <v>46083.993425925917</v>
      </c>
      <c r="D951" t="s">
        <v>92</v>
      </c>
      <c r="E951" t="s">
        <v>93</v>
      </c>
      <c r="F951" t="s">
        <v>52</v>
      </c>
      <c r="G951">
        <v>227</v>
      </c>
      <c r="H951">
        <v>3</v>
      </c>
      <c r="I951">
        <v>25.23</v>
      </c>
      <c r="J951">
        <v>113.91</v>
      </c>
      <c r="K951" t="s">
        <v>46</v>
      </c>
      <c r="L951">
        <v>0.1</v>
      </c>
    </row>
    <row r="952" spans="1:12" x14ac:dyDescent="0.25">
      <c r="A952" t="s">
        <v>1093</v>
      </c>
      <c r="B952">
        <v>40</v>
      </c>
      <c r="C952" s="1">
        <v>46084.072743055563</v>
      </c>
      <c r="D952" t="s">
        <v>148</v>
      </c>
      <c r="E952" t="s">
        <v>149</v>
      </c>
      <c r="F952" t="s">
        <v>30</v>
      </c>
      <c r="G952">
        <v>3314</v>
      </c>
      <c r="H952">
        <v>3</v>
      </c>
      <c r="I952">
        <v>559.62</v>
      </c>
      <c r="J952">
        <v>716.37</v>
      </c>
      <c r="L952">
        <v>0</v>
      </c>
    </row>
    <row r="953" spans="1:12" x14ac:dyDescent="0.25">
      <c r="A953" t="s">
        <v>1094</v>
      </c>
      <c r="B953">
        <v>63</v>
      </c>
      <c r="C953" s="1">
        <v>46084.440671296303</v>
      </c>
      <c r="D953" t="s">
        <v>177</v>
      </c>
      <c r="E953" t="s">
        <v>178</v>
      </c>
      <c r="F953" t="s">
        <v>116</v>
      </c>
      <c r="G953">
        <v>0</v>
      </c>
      <c r="H953">
        <v>3</v>
      </c>
      <c r="I953">
        <v>219.06</v>
      </c>
      <c r="J953">
        <v>514.76</v>
      </c>
      <c r="K953" t="s">
        <v>46</v>
      </c>
      <c r="L953">
        <v>0.1</v>
      </c>
    </row>
    <row r="954" spans="1:12" x14ac:dyDescent="0.25">
      <c r="A954" t="s">
        <v>1095</v>
      </c>
      <c r="B954">
        <v>26</v>
      </c>
      <c r="C954" s="1">
        <v>46084.794432870367</v>
      </c>
      <c r="D954" t="s">
        <v>137</v>
      </c>
      <c r="E954" t="s">
        <v>138</v>
      </c>
      <c r="F954" t="s">
        <v>52</v>
      </c>
      <c r="G954">
        <v>335</v>
      </c>
      <c r="H954">
        <v>3</v>
      </c>
      <c r="I954">
        <v>67.69</v>
      </c>
      <c r="J954">
        <v>127.43</v>
      </c>
      <c r="L954">
        <v>0</v>
      </c>
    </row>
    <row r="955" spans="1:12" x14ac:dyDescent="0.25">
      <c r="A955" t="s">
        <v>1096</v>
      </c>
      <c r="B955">
        <v>106</v>
      </c>
      <c r="C955" s="1">
        <v>46085.207407407397</v>
      </c>
      <c r="D955" t="s">
        <v>92</v>
      </c>
      <c r="E955" t="s">
        <v>93</v>
      </c>
      <c r="F955" t="s">
        <v>52</v>
      </c>
      <c r="G955">
        <v>220</v>
      </c>
      <c r="H955">
        <v>3</v>
      </c>
      <c r="I955">
        <v>58.89</v>
      </c>
      <c r="J955">
        <v>80.42</v>
      </c>
      <c r="K955" t="s">
        <v>60</v>
      </c>
      <c r="L955">
        <v>0.2</v>
      </c>
    </row>
    <row r="956" spans="1:12" x14ac:dyDescent="0.25">
      <c r="A956" t="s">
        <v>1097</v>
      </c>
      <c r="B956">
        <v>130</v>
      </c>
      <c r="C956" s="1">
        <v>46085.346122685187</v>
      </c>
      <c r="D956" t="s">
        <v>92</v>
      </c>
      <c r="E956" t="s">
        <v>93</v>
      </c>
      <c r="F956" t="s">
        <v>52</v>
      </c>
      <c r="G956">
        <v>214</v>
      </c>
      <c r="H956">
        <v>2</v>
      </c>
      <c r="I956">
        <v>27.43</v>
      </c>
      <c r="J956">
        <v>95.35</v>
      </c>
      <c r="L956">
        <v>0</v>
      </c>
    </row>
    <row r="957" spans="1:12" x14ac:dyDescent="0.25">
      <c r="A957" t="s">
        <v>1098</v>
      </c>
      <c r="B957">
        <v>125</v>
      </c>
      <c r="C957" s="1">
        <v>46085.751481481479</v>
      </c>
      <c r="D957" t="s">
        <v>66</v>
      </c>
      <c r="E957" t="s">
        <v>67</v>
      </c>
      <c r="F957" t="s">
        <v>52</v>
      </c>
      <c r="G957">
        <v>277</v>
      </c>
      <c r="H957">
        <v>1</v>
      </c>
      <c r="I957">
        <v>33.840000000000003</v>
      </c>
      <c r="J957">
        <v>110.58</v>
      </c>
      <c r="L957">
        <v>0</v>
      </c>
    </row>
    <row r="958" spans="1:12" x14ac:dyDescent="0.25">
      <c r="A958" t="s">
        <v>1099</v>
      </c>
      <c r="B958">
        <v>56</v>
      </c>
      <c r="C958" s="1">
        <v>46085.835416666669</v>
      </c>
      <c r="D958" t="s">
        <v>43</v>
      </c>
      <c r="E958" t="s">
        <v>44</v>
      </c>
      <c r="F958" t="s">
        <v>45</v>
      </c>
      <c r="G958">
        <v>0</v>
      </c>
      <c r="H958">
        <v>2</v>
      </c>
      <c r="I958">
        <v>21.57</v>
      </c>
      <c r="J958">
        <v>141.93</v>
      </c>
      <c r="L958">
        <v>0</v>
      </c>
    </row>
    <row r="959" spans="1:12" x14ac:dyDescent="0.25">
      <c r="A959" t="s">
        <v>1100</v>
      </c>
      <c r="B959">
        <v>37</v>
      </c>
      <c r="C959" s="1">
        <v>46086.436481481483</v>
      </c>
      <c r="D959" t="s">
        <v>81</v>
      </c>
      <c r="E959" t="s">
        <v>82</v>
      </c>
      <c r="F959" t="s">
        <v>45</v>
      </c>
      <c r="G959">
        <v>0</v>
      </c>
      <c r="H959">
        <v>2</v>
      </c>
      <c r="I959">
        <v>39.869999999999997</v>
      </c>
      <c r="J959">
        <v>98.46</v>
      </c>
      <c r="K959" t="s">
        <v>46</v>
      </c>
      <c r="L959">
        <v>0.1</v>
      </c>
    </row>
    <row r="960" spans="1:12" x14ac:dyDescent="0.25">
      <c r="A960" t="s">
        <v>1101</v>
      </c>
      <c r="B960">
        <v>123</v>
      </c>
      <c r="C960" s="1">
        <v>46086.78502314815</v>
      </c>
      <c r="D960" t="s">
        <v>86</v>
      </c>
      <c r="E960" t="s">
        <v>87</v>
      </c>
      <c r="F960" t="s">
        <v>45</v>
      </c>
      <c r="G960">
        <v>0</v>
      </c>
      <c r="H960">
        <v>2</v>
      </c>
      <c r="I960">
        <v>61.97</v>
      </c>
      <c r="J960">
        <v>193.49</v>
      </c>
      <c r="L960">
        <v>0</v>
      </c>
    </row>
    <row r="961" spans="1:12" x14ac:dyDescent="0.25">
      <c r="A961" t="s">
        <v>1102</v>
      </c>
      <c r="B961">
        <v>82</v>
      </c>
      <c r="C961" s="1">
        <v>46087.007986111108</v>
      </c>
      <c r="D961" t="s">
        <v>37</v>
      </c>
      <c r="E961" t="s">
        <v>38</v>
      </c>
      <c r="F961" t="s">
        <v>30</v>
      </c>
      <c r="G961">
        <v>2762</v>
      </c>
      <c r="H961">
        <v>1</v>
      </c>
      <c r="I961">
        <v>784.93</v>
      </c>
      <c r="J961">
        <v>1320.91</v>
      </c>
      <c r="L961">
        <v>0</v>
      </c>
    </row>
    <row r="962" spans="1:12" x14ac:dyDescent="0.25">
      <c r="A962" t="s">
        <v>1103</v>
      </c>
      <c r="B962">
        <v>44</v>
      </c>
      <c r="C962" s="1">
        <v>46088.02207175926</v>
      </c>
      <c r="D962" t="s">
        <v>74</v>
      </c>
      <c r="E962" t="s">
        <v>75</v>
      </c>
      <c r="F962" t="s">
        <v>30</v>
      </c>
      <c r="G962">
        <v>2686</v>
      </c>
      <c r="H962">
        <v>1</v>
      </c>
      <c r="I962">
        <v>2588.71</v>
      </c>
      <c r="J962">
        <v>4609.79</v>
      </c>
      <c r="K962" t="s">
        <v>46</v>
      </c>
      <c r="L962">
        <v>0.1</v>
      </c>
    </row>
    <row r="963" spans="1:12" x14ac:dyDescent="0.25">
      <c r="A963" t="s">
        <v>1104</v>
      </c>
      <c r="B963">
        <v>69</v>
      </c>
      <c r="C963" s="1">
        <v>46088.477812500001</v>
      </c>
      <c r="D963" t="s">
        <v>177</v>
      </c>
      <c r="E963" t="s">
        <v>178</v>
      </c>
      <c r="F963" t="s">
        <v>116</v>
      </c>
      <c r="G963">
        <v>0</v>
      </c>
      <c r="H963">
        <v>2</v>
      </c>
      <c r="I963">
        <v>320.89</v>
      </c>
      <c r="J963">
        <v>590.38</v>
      </c>
      <c r="L963">
        <v>0</v>
      </c>
    </row>
    <row r="964" spans="1:12" x14ac:dyDescent="0.25">
      <c r="A964" t="s">
        <v>1105</v>
      </c>
      <c r="B964">
        <v>124</v>
      </c>
      <c r="C964" s="1">
        <v>46089.940555555557</v>
      </c>
      <c r="D964" t="s">
        <v>28</v>
      </c>
      <c r="E964" t="s">
        <v>29</v>
      </c>
      <c r="F964" t="s">
        <v>30</v>
      </c>
      <c r="G964">
        <v>2378</v>
      </c>
      <c r="H964">
        <v>2</v>
      </c>
      <c r="I964">
        <v>2293.48</v>
      </c>
      <c r="J964">
        <v>2868.7</v>
      </c>
      <c r="L964">
        <v>0</v>
      </c>
    </row>
    <row r="965" spans="1:12" x14ac:dyDescent="0.25">
      <c r="A965" t="s">
        <v>1106</v>
      </c>
      <c r="B965">
        <v>133</v>
      </c>
      <c r="C965" s="1">
        <v>46090.607453703713</v>
      </c>
      <c r="D965" t="s">
        <v>58</v>
      </c>
      <c r="E965" t="s">
        <v>59</v>
      </c>
      <c r="F965" t="s">
        <v>30</v>
      </c>
      <c r="G965">
        <v>4757</v>
      </c>
      <c r="H965">
        <v>3</v>
      </c>
      <c r="I965">
        <v>431.99</v>
      </c>
      <c r="J965">
        <v>695.39</v>
      </c>
      <c r="K965" t="s">
        <v>46</v>
      </c>
      <c r="L965">
        <v>0.1</v>
      </c>
    </row>
    <row r="966" spans="1:12" x14ac:dyDescent="0.25">
      <c r="A966" t="s">
        <v>1107</v>
      </c>
      <c r="B966">
        <v>157</v>
      </c>
      <c r="C966" s="1">
        <v>46091.022037037037</v>
      </c>
      <c r="D966" t="s">
        <v>114</v>
      </c>
      <c r="E966" t="s">
        <v>115</v>
      </c>
      <c r="F966" t="s">
        <v>116</v>
      </c>
      <c r="G966">
        <v>0</v>
      </c>
      <c r="H966">
        <v>1</v>
      </c>
      <c r="I966">
        <v>434.42</v>
      </c>
      <c r="J966">
        <v>725.18</v>
      </c>
      <c r="K966" t="s">
        <v>46</v>
      </c>
      <c r="L966">
        <v>0.1</v>
      </c>
    </row>
    <row r="967" spans="1:12" x14ac:dyDescent="0.25">
      <c r="A967" t="s">
        <v>1108</v>
      </c>
      <c r="B967">
        <v>158</v>
      </c>
      <c r="C967" s="1">
        <v>46091.510358796288</v>
      </c>
      <c r="D967" t="s">
        <v>177</v>
      </c>
      <c r="E967" t="s">
        <v>178</v>
      </c>
      <c r="F967" t="s">
        <v>116</v>
      </c>
      <c r="G967">
        <v>0</v>
      </c>
      <c r="H967">
        <v>3</v>
      </c>
      <c r="I967">
        <v>274.08</v>
      </c>
      <c r="J967">
        <v>536.66999999999996</v>
      </c>
      <c r="L967">
        <v>0</v>
      </c>
    </row>
    <row r="968" spans="1:12" x14ac:dyDescent="0.25">
      <c r="A968" t="s">
        <v>1109</v>
      </c>
      <c r="B968">
        <v>61</v>
      </c>
      <c r="C968" s="1">
        <v>46091.785486111112</v>
      </c>
      <c r="D968" t="s">
        <v>71</v>
      </c>
      <c r="E968" t="s">
        <v>72</v>
      </c>
      <c r="F968" t="s">
        <v>52</v>
      </c>
      <c r="G968">
        <v>331</v>
      </c>
      <c r="H968">
        <v>1</v>
      </c>
      <c r="I968">
        <v>34.520000000000003</v>
      </c>
      <c r="J968">
        <v>128.84</v>
      </c>
      <c r="K968" t="s">
        <v>60</v>
      </c>
      <c r="L968">
        <v>0.2</v>
      </c>
    </row>
    <row r="969" spans="1:12" x14ac:dyDescent="0.25">
      <c r="A969" t="s">
        <v>1110</v>
      </c>
      <c r="B969">
        <v>118</v>
      </c>
      <c r="C969" s="1">
        <v>46091.897453703707</v>
      </c>
      <c r="D969" t="s">
        <v>28</v>
      </c>
      <c r="E969" t="s">
        <v>29</v>
      </c>
      <c r="F969" t="s">
        <v>30</v>
      </c>
      <c r="G969">
        <v>2367</v>
      </c>
      <c r="H969">
        <v>2</v>
      </c>
      <c r="I969">
        <v>2290.13</v>
      </c>
      <c r="J969">
        <v>3168.3</v>
      </c>
      <c r="L969">
        <v>0</v>
      </c>
    </row>
    <row r="970" spans="1:12" x14ac:dyDescent="0.25">
      <c r="A970" t="s">
        <v>1111</v>
      </c>
      <c r="B970">
        <v>123</v>
      </c>
      <c r="C970" s="1">
        <v>46092.580266203702</v>
      </c>
      <c r="D970" t="s">
        <v>95</v>
      </c>
      <c r="E970" t="s">
        <v>96</v>
      </c>
      <c r="F970" t="s">
        <v>52</v>
      </c>
      <c r="G970">
        <v>393</v>
      </c>
      <c r="H970">
        <v>3</v>
      </c>
      <c r="I970">
        <v>33.56</v>
      </c>
      <c r="J970">
        <v>76.17</v>
      </c>
      <c r="L970">
        <v>0</v>
      </c>
    </row>
    <row r="971" spans="1:12" x14ac:dyDescent="0.25">
      <c r="A971" t="s">
        <v>1112</v>
      </c>
      <c r="B971">
        <v>196</v>
      </c>
      <c r="C971" s="1">
        <v>46092.66578703704</v>
      </c>
      <c r="D971" t="s">
        <v>71</v>
      </c>
      <c r="E971" t="s">
        <v>72</v>
      </c>
      <c r="F971" t="s">
        <v>52</v>
      </c>
      <c r="G971">
        <v>337</v>
      </c>
      <c r="H971">
        <v>2</v>
      </c>
      <c r="I971">
        <v>35.22</v>
      </c>
      <c r="J971">
        <v>57.83</v>
      </c>
      <c r="L971">
        <v>0</v>
      </c>
    </row>
    <row r="972" spans="1:12" x14ac:dyDescent="0.25">
      <c r="A972" t="s">
        <v>1113</v>
      </c>
      <c r="B972">
        <v>113</v>
      </c>
      <c r="C972" s="1">
        <v>46092.714004629634</v>
      </c>
      <c r="D972" t="s">
        <v>148</v>
      </c>
      <c r="E972" t="s">
        <v>149</v>
      </c>
      <c r="F972" t="s">
        <v>30</v>
      </c>
      <c r="G972">
        <v>2891</v>
      </c>
      <c r="H972">
        <v>2</v>
      </c>
      <c r="I972">
        <v>388.23</v>
      </c>
      <c r="J972">
        <v>884.15</v>
      </c>
      <c r="L972">
        <v>0</v>
      </c>
    </row>
    <row r="973" spans="1:12" x14ac:dyDescent="0.25">
      <c r="A973" t="s">
        <v>1114</v>
      </c>
      <c r="B973">
        <v>38</v>
      </c>
      <c r="C973" s="1">
        <v>46092.748819444438</v>
      </c>
      <c r="D973" t="s">
        <v>74</v>
      </c>
      <c r="E973" t="s">
        <v>75</v>
      </c>
      <c r="F973" t="s">
        <v>30</v>
      </c>
      <c r="G973">
        <v>2525</v>
      </c>
      <c r="H973">
        <v>3</v>
      </c>
      <c r="I973">
        <v>2356.63</v>
      </c>
      <c r="J973">
        <v>4736.76</v>
      </c>
      <c r="L973">
        <v>0</v>
      </c>
    </row>
    <row r="974" spans="1:12" x14ac:dyDescent="0.25">
      <c r="A974" t="s">
        <v>1115</v>
      </c>
      <c r="B974">
        <v>30</v>
      </c>
      <c r="C974" s="1">
        <v>46093.24422453704</v>
      </c>
      <c r="D974" t="s">
        <v>28</v>
      </c>
      <c r="E974" t="s">
        <v>29</v>
      </c>
      <c r="F974" t="s">
        <v>30</v>
      </c>
      <c r="G974">
        <v>2513</v>
      </c>
      <c r="H974">
        <v>1</v>
      </c>
      <c r="I974">
        <v>2442.16</v>
      </c>
      <c r="J974">
        <v>3810.85</v>
      </c>
      <c r="L974">
        <v>0</v>
      </c>
    </row>
    <row r="975" spans="1:12" x14ac:dyDescent="0.25">
      <c r="A975" t="s">
        <v>1116</v>
      </c>
      <c r="B975">
        <v>151</v>
      </c>
      <c r="C975" s="1">
        <v>46093.554837962962</v>
      </c>
      <c r="D975" t="s">
        <v>37</v>
      </c>
      <c r="E975" t="s">
        <v>38</v>
      </c>
      <c r="F975" t="s">
        <v>30</v>
      </c>
      <c r="G975">
        <v>2548</v>
      </c>
      <c r="H975">
        <v>2</v>
      </c>
      <c r="I975">
        <v>550.49</v>
      </c>
      <c r="J975">
        <v>1314.46</v>
      </c>
      <c r="L975">
        <v>0</v>
      </c>
    </row>
    <row r="976" spans="1:12" x14ac:dyDescent="0.25">
      <c r="A976" t="s">
        <v>1117</v>
      </c>
      <c r="B976">
        <v>132</v>
      </c>
      <c r="C976" s="1">
        <v>46094.438217592593</v>
      </c>
      <c r="D976" t="s">
        <v>74</v>
      </c>
      <c r="E976" t="s">
        <v>75</v>
      </c>
      <c r="F976" t="s">
        <v>30</v>
      </c>
      <c r="G976">
        <v>2891</v>
      </c>
      <c r="H976">
        <v>2</v>
      </c>
      <c r="I976">
        <v>2525.7800000000002</v>
      </c>
      <c r="J976">
        <v>4163.26</v>
      </c>
      <c r="L976">
        <v>0</v>
      </c>
    </row>
    <row r="977" spans="1:12" x14ac:dyDescent="0.25">
      <c r="A977" t="s">
        <v>1118</v>
      </c>
      <c r="B977">
        <v>199</v>
      </c>
      <c r="C977" s="1">
        <v>46094.791678240741</v>
      </c>
      <c r="D977" t="s">
        <v>74</v>
      </c>
      <c r="E977" t="s">
        <v>75</v>
      </c>
      <c r="F977" t="s">
        <v>30</v>
      </c>
      <c r="G977">
        <v>2936</v>
      </c>
      <c r="H977">
        <v>2</v>
      </c>
      <c r="I977">
        <v>2526.69</v>
      </c>
      <c r="J977">
        <v>3878.74</v>
      </c>
      <c r="L977">
        <v>0</v>
      </c>
    </row>
    <row r="978" spans="1:12" x14ac:dyDescent="0.25">
      <c r="A978" t="s">
        <v>1119</v>
      </c>
      <c r="B978">
        <v>166</v>
      </c>
      <c r="C978" s="1">
        <v>46095.096597222233</v>
      </c>
      <c r="D978" t="s">
        <v>164</v>
      </c>
      <c r="E978" t="s">
        <v>165</v>
      </c>
      <c r="F978" t="s">
        <v>116</v>
      </c>
      <c r="G978">
        <v>0</v>
      </c>
      <c r="H978">
        <v>2</v>
      </c>
      <c r="I978">
        <v>268.31</v>
      </c>
      <c r="J978">
        <v>433.36</v>
      </c>
      <c r="K978" t="s">
        <v>46</v>
      </c>
      <c r="L978">
        <v>0.1</v>
      </c>
    </row>
    <row r="979" spans="1:12" x14ac:dyDescent="0.25">
      <c r="A979" t="s">
        <v>1120</v>
      </c>
      <c r="B979">
        <v>116</v>
      </c>
      <c r="C979" s="1">
        <v>46095.682604166657</v>
      </c>
      <c r="D979" t="s">
        <v>114</v>
      </c>
      <c r="E979" t="s">
        <v>115</v>
      </c>
      <c r="F979" t="s">
        <v>116</v>
      </c>
      <c r="G979">
        <v>0</v>
      </c>
      <c r="H979">
        <v>1</v>
      </c>
      <c r="I979">
        <v>389.63</v>
      </c>
      <c r="J979">
        <v>607.73</v>
      </c>
      <c r="L979">
        <v>0</v>
      </c>
    </row>
    <row r="980" spans="1:12" x14ac:dyDescent="0.25">
      <c r="A980" t="s">
        <v>1121</v>
      </c>
      <c r="B980">
        <v>97</v>
      </c>
      <c r="C980" s="1">
        <v>46096.676770833343</v>
      </c>
      <c r="D980" t="s">
        <v>74</v>
      </c>
      <c r="E980" t="s">
        <v>75</v>
      </c>
      <c r="F980" t="s">
        <v>30</v>
      </c>
      <c r="G980">
        <v>2616</v>
      </c>
      <c r="H980">
        <v>3</v>
      </c>
      <c r="I980">
        <v>2736.55</v>
      </c>
      <c r="J980">
        <v>3924.55</v>
      </c>
      <c r="L980">
        <v>0</v>
      </c>
    </row>
    <row r="981" spans="1:12" x14ac:dyDescent="0.25">
      <c r="A981" t="s">
        <v>1122</v>
      </c>
      <c r="B981">
        <v>85</v>
      </c>
      <c r="C981" s="1">
        <v>46096.732465277782</v>
      </c>
      <c r="D981" t="s">
        <v>114</v>
      </c>
      <c r="E981" t="s">
        <v>115</v>
      </c>
      <c r="F981" t="s">
        <v>116</v>
      </c>
      <c r="G981">
        <v>0</v>
      </c>
      <c r="H981">
        <v>1</v>
      </c>
      <c r="I981">
        <v>340.15</v>
      </c>
      <c r="J981">
        <v>670.74</v>
      </c>
      <c r="L981">
        <v>0</v>
      </c>
    </row>
    <row r="982" spans="1:12" x14ac:dyDescent="0.25">
      <c r="A982" t="s">
        <v>1123</v>
      </c>
      <c r="B982">
        <v>90</v>
      </c>
      <c r="C982" s="1">
        <v>46096.830046296287</v>
      </c>
      <c r="D982" t="s">
        <v>137</v>
      </c>
      <c r="E982" t="s">
        <v>138</v>
      </c>
      <c r="F982" t="s">
        <v>52</v>
      </c>
      <c r="G982">
        <v>403</v>
      </c>
      <c r="H982">
        <v>1</v>
      </c>
      <c r="I982">
        <v>117.51</v>
      </c>
      <c r="J982">
        <v>149.29</v>
      </c>
      <c r="K982" t="s">
        <v>60</v>
      </c>
      <c r="L982">
        <v>0.2</v>
      </c>
    </row>
    <row r="983" spans="1:12" x14ac:dyDescent="0.25">
      <c r="A983" t="s">
        <v>1124</v>
      </c>
      <c r="B983">
        <v>89</v>
      </c>
      <c r="C983" s="1">
        <v>46098.338599537034</v>
      </c>
      <c r="D983" t="s">
        <v>95</v>
      </c>
      <c r="E983" t="s">
        <v>96</v>
      </c>
      <c r="F983" t="s">
        <v>52</v>
      </c>
      <c r="G983">
        <v>516</v>
      </c>
      <c r="H983">
        <v>2</v>
      </c>
      <c r="I983">
        <v>25.19</v>
      </c>
      <c r="J983">
        <v>91.22</v>
      </c>
      <c r="K983" t="s">
        <v>46</v>
      </c>
      <c r="L983">
        <v>0.1</v>
      </c>
    </row>
    <row r="984" spans="1:12" x14ac:dyDescent="0.25">
      <c r="A984" t="s">
        <v>1125</v>
      </c>
      <c r="B984">
        <v>150</v>
      </c>
      <c r="C984" s="1">
        <v>46099.257002314807</v>
      </c>
      <c r="D984" t="s">
        <v>37</v>
      </c>
      <c r="E984" t="s">
        <v>38</v>
      </c>
      <c r="F984" t="s">
        <v>30</v>
      </c>
      <c r="G984">
        <v>2566</v>
      </c>
      <c r="H984">
        <v>2</v>
      </c>
      <c r="I984">
        <v>775.25</v>
      </c>
      <c r="J984">
        <v>1101.8399999999999</v>
      </c>
      <c r="L984">
        <v>0</v>
      </c>
    </row>
    <row r="985" spans="1:12" x14ac:dyDescent="0.25">
      <c r="A985" t="s">
        <v>1126</v>
      </c>
      <c r="B985">
        <v>152</v>
      </c>
      <c r="C985" s="1">
        <v>46100.234930555547</v>
      </c>
      <c r="D985" t="s">
        <v>105</v>
      </c>
      <c r="E985" t="s">
        <v>106</v>
      </c>
      <c r="F985" t="s">
        <v>30</v>
      </c>
      <c r="G985">
        <v>2092</v>
      </c>
      <c r="H985">
        <v>3</v>
      </c>
      <c r="I985">
        <v>385.65</v>
      </c>
      <c r="J985">
        <v>565.59</v>
      </c>
      <c r="K985" t="s">
        <v>60</v>
      </c>
      <c r="L985">
        <v>0.2</v>
      </c>
    </row>
    <row r="986" spans="1:12" x14ac:dyDescent="0.25">
      <c r="A986" t="s">
        <v>1127</v>
      </c>
      <c r="B986">
        <v>124</v>
      </c>
      <c r="C986" s="1">
        <v>46100.473356481481</v>
      </c>
      <c r="D986" t="s">
        <v>105</v>
      </c>
      <c r="E986" t="s">
        <v>106</v>
      </c>
      <c r="F986" t="s">
        <v>30</v>
      </c>
      <c r="G986">
        <v>2099</v>
      </c>
      <c r="H986">
        <v>3</v>
      </c>
      <c r="I986">
        <v>260.94</v>
      </c>
      <c r="J986">
        <v>511.26</v>
      </c>
      <c r="L986">
        <v>0</v>
      </c>
    </row>
    <row r="987" spans="1:12" x14ac:dyDescent="0.25">
      <c r="A987" t="s">
        <v>1128</v>
      </c>
      <c r="B987">
        <v>18</v>
      </c>
      <c r="C987" s="1">
        <v>46101.401006944441</v>
      </c>
      <c r="D987" t="s">
        <v>92</v>
      </c>
      <c r="E987" t="s">
        <v>93</v>
      </c>
      <c r="F987" t="s">
        <v>52</v>
      </c>
      <c r="G987">
        <v>243</v>
      </c>
      <c r="H987">
        <v>2</v>
      </c>
      <c r="I987">
        <v>32.17</v>
      </c>
      <c r="J987">
        <v>110.43</v>
      </c>
      <c r="L987">
        <v>0</v>
      </c>
    </row>
    <row r="988" spans="1:12" x14ac:dyDescent="0.25">
      <c r="A988" t="s">
        <v>1129</v>
      </c>
      <c r="B988">
        <v>26</v>
      </c>
      <c r="C988" s="1">
        <v>46101.609988425917</v>
      </c>
      <c r="D988" t="s">
        <v>89</v>
      </c>
      <c r="E988" t="s">
        <v>90</v>
      </c>
      <c r="F988" t="s">
        <v>52</v>
      </c>
      <c r="G988">
        <v>239</v>
      </c>
      <c r="H988">
        <v>2</v>
      </c>
      <c r="I988">
        <v>98.85</v>
      </c>
      <c r="J988">
        <v>155.99</v>
      </c>
      <c r="L988">
        <v>0</v>
      </c>
    </row>
    <row r="989" spans="1:12" x14ac:dyDescent="0.25">
      <c r="A989" t="s">
        <v>1130</v>
      </c>
      <c r="B989">
        <v>58</v>
      </c>
      <c r="C989" s="1">
        <v>46101.614317129628</v>
      </c>
      <c r="D989" t="s">
        <v>37</v>
      </c>
      <c r="E989" t="s">
        <v>38</v>
      </c>
      <c r="F989" t="s">
        <v>30</v>
      </c>
      <c r="G989">
        <v>2296</v>
      </c>
      <c r="H989">
        <v>3</v>
      </c>
      <c r="I989">
        <v>565.83000000000004</v>
      </c>
      <c r="J989">
        <v>1149.1300000000001</v>
      </c>
      <c r="L989">
        <v>0</v>
      </c>
    </row>
    <row r="990" spans="1:12" x14ac:dyDescent="0.25">
      <c r="A990" t="s">
        <v>1131</v>
      </c>
      <c r="B990">
        <v>48</v>
      </c>
      <c r="C990" s="1">
        <v>46101.901388888888</v>
      </c>
      <c r="D990" t="s">
        <v>37</v>
      </c>
      <c r="E990" t="s">
        <v>38</v>
      </c>
      <c r="F990" t="s">
        <v>30</v>
      </c>
      <c r="G990">
        <v>2177</v>
      </c>
      <c r="H990">
        <v>3</v>
      </c>
      <c r="I990">
        <v>801.6</v>
      </c>
      <c r="J990">
        <v>1403.66</v>
      </c>
      <c r="L990">
        <v>0</v>
      </c>
    </row>
    <row r="991" spans="1:12" x14ac:dyDescent="0.25">
      <c r="A991" t="s">
        <v>1132</v>
      </c>
      <c r="B991">
        <v>91</v>
      </c>
      <c r="C991" s="1">
        <v>46102.351875</v>
      </c>
      <c r="D991" t="s">
        <v>28</v>
      </c>
      <c r="E991" t="s">
        <v>29</v>
      </c>
      <c r="F991" t="s">
        <v>30</v>
      </c>
      <c r="G991">
        <v>2756</v>
      </c>
      <c r="H991">
        <v>1</v>
      </c>
      <c r="I991">
        <v>1699.1</v>
      </c>
      <c r="J991">
        <v>3511.01</v>
      </c>
      <c r="L991">
        <v>0</v>
      </c>
    </row>
    <row r="992" spans="1:12" x14ac:dyDescent="0.25">
      <c r="A992" t="s">
        <v>1133</v>
      </c>
      <c r="B992">
        <v>169</v>
      </c>
      <c r="C992" s="1">
        <v>46102.620243055557</v>
      </c>
      <c r="D992" t="s">
        <v>155</v>
      </c>
      <c r="E992" t="s">
        <v>156</v>
      </c>
      <c r="F992" t="s">
        <v>30</v>
      </c>
      <c r="G992">
        <v>4585</v>
      </c>
      <c r="H992">
        <v>3</v>
      </c>
      <c r="I992">
        <v>950.82</v>
      </c>
      <c r="J992">
        <v>1951.89</v>
      </c>
      <c r="K992" t="s">
        <v>46</v>
      </c>
      <c r="L992">
        <v>0.1</v>
      </c>
    </row>
    <row r="993" spans="1:12" x14ac:dyDescent="0.25">
      <c r="A993" t="s">
        <v>1134</v>
      </c>
      <c r="B993">
        <v>190</v>
      </c>
      <c r="C993" s="1">
        <v>46103.313368055547</v>
      </c>
      <c r="D993" t="s">
        <v>155</v>
      </c>
      <c r="E993" t="s">
        <v>156</v>
      </c>
      <c r="F993" t="s">
        <v>30</v>
      </c>
      <c r="G993">
        <v>3787</v>
      </c>
      <c r="H993">
        <v>2</v>
      </c>
      <c r="I993">
        <v>980.05</v>
      </c>
      <c r="J993">
        <v>1222.83</v>
      </c>
      <c r="L993">
        <v>0</v>
      </c>
    </row>
    <row r="994" spans="1:12" x14ac:dyDescent="0.25">
      <c r="A994" t="s">
        <v>1135</v>
      </c>
      <c r="B994">
        <v>62</v>
      </c>
      <c r="C994" s="1">
        <v>46103.401678240742</v>
      </c>
      <c r="D994" t="s">
        <v>198</v>
      </c>
      <c r="E994" t="s">
        <v>199</v>
      </c>
      <c r="F994" t="s">
        <v>116</v>
      </c>
      <c r="G994">
        <v>0</v>
      </c>
      <c r="H994">
        <v>3</v>
      </c>
      <c r="I994">
        <v>482.22</v>
      </c>
      <c r="J994">
        <v>578.83000000000004</v>
      </c>
      <c r="K994" t="s">
        <v>60</v>
      </c>
      <c r="L994">
        <v>0.2</v>
      </c>
    </row>
    <row r="995" spans="1:12" x14ac:dyDescent="0.25">
      <c r="A995" t="s">
        <v>1136</v>
      </c>
      <c r="B995">
        <v>164</v>
      </c>
      <c r="C995" s="1">
        <v>46103.424363425933</v>
      </c>
      <c r="D995" t="s">
        <v>81</v>
      </c>
      <c r="E995" t="s">
        <v>82</v>
      </c>
      <c r="F995" t="s">
        <v>45</v>
      </c>
      <c r="G995">
        <v>0</v>
      </c>
      <c r="H995">
        <v>1</v>
      </c>
      <c r="I995">
        <v>76.19</v>
      </c>
      <c r="J995">
        <v>248.79</v>
      </c>
      <c r="K995" t="s">
        <v>60</v>
      </c>
      <c r="L995">
        <v>0.2</v>
      </c>
    </row>
    <row r="996" spans="1:12" x14ac:dyDescent="0.25">
      <c r="A996" t="s">
        <v>1137</v>
      </c>
      <c r="B996">
        <v>1</v>
      </c>
      <c r="C996" s="1">
        <v>46103.986354166656</v>
      </c>
      <c r="D996" t="s">
        <v>66</v>
      </c>
      <c r="E996" t="s">
        <v>67</v>
      </c>
      <c r="F996" t="s">
        <v>52</v>
      </c>
      <c r="G996">
        <v>267</v>
      </c>
      <c r="H996">
        <v>2</v>
      </c>
      <c r="I996">
        <v>36.82</v>
      </c>
      <c r="J996">
        <v>119.15</v>
      </c>
      <c r="L996">
        <v>0</v>
      </c>
    </row>
    <row r="997" spans="1:12" x14ac:dyDescent="0.25">
      <c r="A997" t="s">
        <v>1138</v>
      </c>
      <c r="B997">
        <v>157</v>
      </c>
      <c r="C997" s="1">
        <v>46106.45385416667</v>
      </c>
      <c r="D997" t="s">
        <v>86</v>
      </c>
      <c r="E997" t="s">
        <v>87</v>
      </c>
      <c r="F997" t="s">
        <v>45</v>
      </c>
      <c r="G997">
        <v>0</v>
      </c>
      <c r="H997">
        <v>3</v>
      </c>
      <c r="I997">
        <v>61.74</v>
      </c>
      <c r="J997">
        <v>178.96</v>
      </c>
      <c r="L997">
        <v>0</v>
      </c>
    </row>
    <row r="998" spans="1:12" x14ac:dyDescent="0.25">
      <c r="A998" t="s">
        <v>1139</v>
      </c>
      <c r="B998">
        <v>181</v>
      </c>
      <c r="C998" s="1">
        <v>46106.740995370368</v>
      </c>
      <c r="D998" t="s">
        <v>155</v>
      </c>
      <c r="E998" t="s">
        <v>156</v>
      </c>
      <c r="F998" t="s">
        <v>30</v>
      </c>
      <c r="G998">
        <v>4734</v>
      </c>
      <c r="H998">
        <v>1</v>
      </c>
      <c r="I998">
        <v>643.24</v>
      </c>
      <c r="J998">
        <v>1981.07</v>
      </c>
      <c r="L998">
        <v>0</v>
      </c>
    </row>
    <row r="999" spans="1:12" x14ac:dyDescent="0.25">
      <c r="A999" t="s">
        <v>1140</v>
      </c>
      <c r="B999">
        <v>52</v>
      </c>
      <c r="C999" s="1">
        <v>46107.695532407408</v>
      </c>
      <c r="D999" t="s">
        <v>71</v>
      </c>
      <c r="E999" t="s">
        <v>72</v>
      </c>
      <c r="F999" t="s">
        <v>52</v>
      </c>
      <c r="G999">
        <v>307</v>
      </c>
      <c r="H999">
        <v>1</v>
      </c>
      <c r="I999">
        <v>39.21</v>
      </c>
      <c r="J999">
        <v>87.25</v>
      </c>
      <c r="L999">
        <v>0</v>
      </c>
    </row>
    <row r="1000" spans="1:12" x14ac:dyDescent="0.25">
      <c r="A1000" t="s">
        <v>1141</v>
      </c>
      <c r="B1000">
        <v>154</v>
      </c>
      <c r="C1000" s="1">
        <v>46107.709479166668</v>
      </c>
      <c r="D1000" t="s">
        <v>50</v>
      </c>
      <c r="E1000" t="s">
        <v>51</v>
      </c>
      <c r="F1000" t="s">
        <v>52</v>
      </c>
      <c r="G1000">
        <v>743</v>
      </c>
      <c r="H1000">
        <v>3</v>
      </c>
      <c r="I1000">
        <v>189.48</v>
      </c>
      <c r="J1000">
        <v>246.85</v>
      </c>
      <c r="K1000" t="s">
        <v>60</v>
      </c>
      <c r="L1000">
        <v>0.2</v>
      </c>
    </row>
    <row r="1001" spans="1:12" x14ac:dyDescent="0.25">
      <c r="A1001" t="s">
        <v>1142</v>
      </c>
      <c r="B1001">
        <v>104</v>
      </c>
      <c r="C1001" s="1">
        <v>46107.732939814807</v>
      </c>
      <c r="D1001" t="s">
        <v>28</v>
      </c>
      <c r="E1001" t="s">
        <v>29</v>
      </c>
      <c r="F1001" t="s">
        <v>30</v>
      </c>
      <c r="G1001">
        <v>2516</v>
      </c>
      <c r="H1001">
        <v>2</v>
      </c>
      <c r="I1001">
        <v>2199.66</v>
      </c>
      <c r="J1001">
        <v>3442.85</v>
      </c>
      <c r="L10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25">
      <c r="A2" t="s">
        <v>27</v>
      </c>
      <c r="B2" t="s">
        <v>31</v>
      </c>
      <c r="C2">
        <v>117.97</v>
      </c>
      <c r="D2" t="s">
        <v>32</v>
      </c>
      <c r="E2" s="1">
        <v>45744</v>
      </c>
      <c r="F2" s="1">
        <v>45752</v>
      </c>
      <c r="G2" s="1">
        <v>45749</v>
      </c>
      <c r="H2" t="s">
        <v>33</v>
      </c>
      <c r="I2">
        <v>5</v>
      </c>
      <c r="J2" t="s">
        <v>34</v>
      </c>
    </row>
    <row r="3" spans="1:10" x14ac:dyDescent="0.25">
      <c r="A3" t="s">
        <v>36</v>
      </c>
      <c r="B3" t="s">
        <v>39</v>
      </c>
      <c r="C3">
        <v>149.9</v>
      </c>
      <c r="D3" t="s">
        <v>40</v>
      </c>
      <c r="E3" s="1">
        <v>45743</v>
      </c>
      <c r="F3" s="1">
        <v>45749</v>
      </c>
      <c r="G3" s="1">
        <v>45745</v>
      </c>
      <c r="H3" t="s">
        <v>33</v>
      </c>
      <c r="I3">
        <v>5</v>
      </c>
      <c r="J3" t="s">
        <v>41</v>
      </c>
    </row>
    <row r="4" spans="1:10" x14ac:dyDescent="0.25">
      <c r="A4" t="s">
        <v>42</v>
      </c>
      <c r="B4" t="s">
        <v>31</v>
      </c>
      <c r="C4">
        <v>28.56</v>
      </c>
      <c r="D4" t="s">
        <v>47</v>
      </c>
      <c r="E4" s="1">
        <v>45744</v>
      </c>
      <c r="F4" s="1">
        <v>45751</v>
      </c>
      <c r="G4" s="1">
        <v>45749</v>
      </c>
      <c r="H4" t="s">
        <v>33</v>
      </c>
      <c r="I4">
        <v>5</v>
      </c>
      <c r="J4" t="s">
        <v>48</v>
      </c>
    </row>
    <row r="5" spans="1:10" x14ac:dyDescent="0.25">
      <c r="A5" t="s">
        <v>49</v>
      </c>
      <c r="B5" t="s">
        <v>39</v>
      </c>
      <c r="C5">
        <v>25.34</v>
      </c>
      <c r="D5" t="s">
        <v>53</v>
      </c>
      <c r="E5" s="1">
        <v>45745</v>
      </c>
      <c r="F5" s="1">
        <v>45755</v>
      </c>
      <c r="H5" t="s">
        <v>54</v>
      </c>
      <c r="I5">
        <v>3</v>
      </c>
      <c r="J5" t="s">
        <v>55</v>
      </c>
    </row>
    <row r="6" spans="1:10" x14ac:dyDescent="0.25">
      <c r="A6" t="s">
        <v>57</v>
      </c>
      <c r="B6" t="s">
        <v>61</v>
      </c>
      <c r="C6">
        <v>129.83000000000001</v>
      </c>
      <c r="D6" t="s">
        <v>62</v>
      </c>
      <c r="E6" s="1">
        <v>45744</v>
      </c>
      <c r="F6" s="1">
        <v>45751</v>
      </c>
      <c r="H6" t="s">
        <v>63</v>
      </c>
      <c r="I6">
        <v>2</v>
      </c>
      <c r="J6" t="s">
        <v>64</v>
      </c>
    </row>
    <row r="7" spans="1:10" x14ac:dyDescent="0.25">
      <c r="A7" t="s">
        <v>65</v>
      </c>
      <c r="B7" t="s">
        <v>39</v>
      </c>
      <c r="C7">
        <v>46.87</v>
      </c>
      <c r="D7" t="s">
        <v>68</v>
      </c>
      <c r="E7" s="1">
        <v>45745</v>
      </c>
      <c r="F7" s="1">
        <v>45753</v>
      </c>
      <c r="G7" s="1">
        <v>45753</v>
      </c>
      <c r="H7" t="s">
        <v>33</v>
      </c>
      <c r="I7">
        <v>5</v>
      </c>
      <c r="J7" t="s">
        <v>69</v>
      </c>
    </row>
    <row r="8" spans="1:10" x14ac:dyDescent="0.25">
      <c r="A8" t="s">
        <v>70</v>
      </c>
      <c r="B8" t="s">
        <v>31</v>
      </c>
      <c r="C8">
        <v>50.04</v>
      </c>
      <c r="D8" t="s">
        <v>47</v>
      </c>
      <c r="E8" s="1">
        <v>45746</v>
      </c>
      <c r="F8" s="1">
        <v>45756</v>
      </c>
      <c r="G8" s="1">
        <v>45756</v>
      </c>
      <c r="H8" t="s">
        <v>33</v>
      </c>
      <c r="I8">
        <v>4</v>
      </c>
      <c r="J8" t="s">
        <v>41</v>
      </c>
    </row>
    <row r="9" spans="1:10" x14ac:dyDescent="0.25">
      <c r="A9" t="s">
        <v>73</v>
      </c>
      <c r="B9" t="s">
        <v>76</v>
      </c>
      <c r="C9">
        <v>78.75</v>
      </c>
      <c r="D9" t="s">
        <v>62</v>
      </c>
      <c r="E9" s="1">
        <v>45747</v>
      </c>
      <c r="F9" s="1">
        <v>45756</v>
      </c>
      <c r="H9" t="s">
        <v>54</v>
      </c>
      <c r="I9">
        <v>4</v>
      </c>
      <c r="J9" t="s">
        <v>77</v>
      </c>
    </row>
    <row r="10" spans="1:10" x14ac:dyDescent="0.25">
      <c r="A10" t="s">
        <v>78</v>
      </c>
      <c r="B10" t="s">
        <v>39</v>
      </c>
      <c r="C10">
        <v>87.82</v>
      </c>
      <c r="D10" t="s">
        <v>40</v>
      </c>
      <c r="E10" s="1">
        <v>45747</v>
      </c>
      <c r="F10" s="1">
        <v>45753</v>
      </c>
      <c r="G10" s="1">
        <v>45753</v>
      </c>
      <c r="H10" t="s">
        <v>33</v>
      </c>
      <c r="I10">
        <v>4</v>
      </c>
      <c r="J10" t="s">
        <v>79</v>
      </c>
    </row>
    <row r="11" spans="1:10" x14ac:dyDescent="0.25">
      <c r="A11" t="s">
        <v>80</v>
      </c>
      <c r="B11" t="s">
        <v>31</v>
      </c>
      <c r="C11">
        <v>18.25</v>
      </c>
      <c r="D11" t="s">
        <v>83</v>
      </c>
      <c r="E11" s="1">
        <v>45746</v>
      </c>
      <c r="F11" s="1">
        <v>45753</v>
      </c>
      <c r="G11" s="1">
        <v>45751</v>
      </c>
      <c r="H11" t="s">
        <v>33</v>
      </c>
      <c r="I11">
        <v>5</v>
      </c>
      <c r="J11" t="s">
        <v>84</v>
      </c>
    </row>
    <row r="12" spans="1:10" x14ac:dyDescent="0.25">
      <c r="A12" t="s">
        <v>85</v>
      </c>
      <c r="B12" t="s">
        <v>61</v>
      </c>
      <c r="C12">
        <v>15.61</v>
      </c>
      <c r="D12" t="s">
        <v>47</v>
      </c>
      <c r="E12" s="1">
        <v>45746</v>
      </c>
      <c r="F12" s="1">
        <v>45754</v>
      </c>
      <c r="G12" s="1">
        <v>45752</v>
      </c>
      <c r="H12" t="s">
        <v>33</v>
      </c>
      <c r="I12">
        <v>4</v>
      </c>
      <c r="J12" t="s">
        <v>69</v>
      </c>
    </row>
    <row r="13" spans="1:10" x14ac:dyDescent="0.25">
      <c r="A13" t="s">
        <v>88</v>
      </c>
      <c r="B13" t="s">
        <v>31</v>
      </c>
      <c r="C13">
        <v>21</v>
      </c>
      <c r="D13" t="s">
        <v>47</v>
      </c>
      <c r="E13" s="1">
        <v>45747</v>
      </c>
      <c r="F13" s="1">
        <v>45756</v>
      </c>
      <c r="G13" s="1">
        <v>45751</v>
      </c>
      <c r="H13" t="s">
        <v>33</v>
      </c>
      <c r="I13">
        <v>5</v>
      </c>
      <c r="J13" t="s">
        <v>41</v>
      </c>
    </row>
    <row r="14" spans="1:10" x14ac:dyDescent="0.25">
      <c r="A14" t="s">
        <v>91</v>
      </c>
      <c r="B14" t="s">
        <v>76</v>
      </c>
      <c r="C14">
        <v>20.63</v>
      </c>
      <c r="D14" t="s">
        <v>47</v>
      </c>
      <c r="E14" s="1">
        <v>45747</v>
      </c>
      <c r="F14" s="1">
        <v>45753</v>
      </c>
      <c r="G14" s="1">
        <v>45751</v>
      </c>
      <c r="H14" t="s">
        <v>33</v>
      </c>
      <c r="I14">
        <v>4</v>
      </c>
      <c r="J14" t="s">
        <v>77</v>
      </c>
    </row>
    <row r="15" spans="1:10" x14ac:dyDescent="0.25">
      <c r="A15" t="s">
        <v>94</v>
      </c>
      <c r="B15" t="s">
        <v>31</v>
      </c>
      <c r="C15">
        <v>51.72</v>
      </c>
      <c r="D15" t="s">
        <v>97</v>
      </c>
      <c r="E15" s="1">
        <v>45749</v>
      </c>
      <c r="F15" s="1">
        <v>45758</v>
      </c>
      <c r="G15" s="1">
        <v>45757</v>
      </c>
      <c r="H15" t="s">
        <v>33</v>
      </c>
      <c r="I15">
        <v>4</v>
      </c>
      <c r="J15" t="s">
        <v>79</v>
      </c>
    </row>
    <row r="16" spans="1:10" x14ac:dyDescent="0.25">
      <c r="A16" t="s">
        <v>98</v>
      </c>
      <c r="B16" t="s">
        <v>76</v>
      </c>
      <c r="C16">
        <v>122.24</v>
      </c>
      <c r="D16" t="s">
        <v>99</v>
      </c>
      <c r="E16" s="1">
        <v>45748</v>
      </c>
      <c r="F16" s="1">
        <v>45757</v>
      </c>
      <c r="G16" s="1">
        <v>45754</v>
      </c>
      <c r="H16" t="s">
        <v>33</v>
      </c>
      <c r="I16">
        <v>5</v>
      </c>
      <c r="J16" t="s">
        <v>41</v>
      </c>
    </row>
    <row r="17" spans="1:10" x14ac:dyDescent="0.25">
      <c r="A17" t="s">
        <v>100</v>
      </c>
      <c r="B17" t="s">
        <v>76</v>
      </c>
      <c r="C17">
        <v>22.39</v>
      </c>
      <c r="D17" t="s">
        <v>101</v>
      </c>
      <c r="E17" s="1">
        <v>45748</v>
      </c>
      <c r="F17" s="1">
        <v>45758</v>
      </c>
      <c r="G17" s="1">
        <v>45762</v>
      </c>
      <c r="H17" t="s">
        <v>33</v>
      </c>
      <c r="I17">
        <v>1</v>
      </c>
      <c r="J17" t="s">
        <v>102</v>
      </c>
    </row>
    <row r="18" spans="1:10" x14ac:dyDescent="0.25">
      <c r="A18" t="s">
        <v>104</v>
      </c>
      <c r="B18" t="s">
        <v>76</v>
      </c>
      <c r="C18">
        <v>120.75</v>
      </c>
      <c r="D18" t="s">
        <v>47</v>
      </c>
      <c r="E18" s="1">
        <v>45749</v>
      </c>
      <c r="F18" s="1">
        <v>45758</v>
      </c>
      <c r="G18" s="1">
        <v>45754</v>
      </c>
      <c r="H18" t="s">
        <v>33</v>
      </c>
      <c r="I18">
        <v>5</v>
      </c>
      <c r="J18" t="s">
        <v>48</v>
      </c>
    </row>
    <row r="19" spans="1:10" x14ac:dyDescent="0.25">
      <c r="A19" t="s">
        <v>107</v>
      </c>
      <c r="B19" t="s">
        <v>39</v>
      </c>
      <c r="C19">
        <v>101.34</v>
      </c>
      <c r="D19" t="s">
        <v>40</v>
      </c>
      <c r="E19" s="1">
        <v>45750</v>
      </c>
      <c r="F19" s="1">
        <v>45758</v>
      </c>
      <c r="G19" s="1">
        <v>45759</v>
      </c>
      <c r="H19" t="s">
        <v>33</v>
      </c>
      <c r="I19">
        <v>2</v>
      </c>
      <c r="J19" t="s">
        <v>108</v>
      </c>
    </row>
    <row r="20" spans="1:10" x14ac:dyDescent="0.25">
      <c r="A20" t="s">
        <v>109</v>
      </c>
      <c r="B20" t="s">
        <v>39</v>
      </c>
      <c r="C20">
        <v>100.97</v>
      </c>
      <c r="D20" t="s">
        <v>99</v>
      </c>
      <c r="E20" s="1">
        <v>45750</v>
      </c>
      <c r="F20" s="1">
        <v>45760</v>
      </c>
      <c r="G20" s="1">
        <v>45760</v>
      </c>
      <c r="H20" t="s">
        <v>33</v>
      </c>
      <c r="I20">
        <v>4</v>
      </c>
      <c r="J20" t="s">
        <v>112</v>
      </c>
    </row>
    <row r="21" spans="1:10" x14ac:dyDescent="0.25">
      <c r="A21" t="s">
        <v>113</v>
      </c>
      <c r="B21" t="s">
        <v>76</v>
      </c>
      <c r="C21">
        <v>19.21</v>
      </c>
      <c r="D21" t="s">
        <v>47</v>
      </c>
      <c r="E21" s="1">
        <v>45751</v>
      </c>
      <c r="F21" s="1">
        <v>45758</v>
      </c>
      <c r="H21" t="s">
        <v>54</v>
      </c>
      <c r="I21">
        <v>4</v>
      </c>
      <c r="J21" t="s">
        <v>117</v>
      </c>
    </row>
    <row r="22" spans="1:10" x14ac:dyDescent="0.25">
      <c r="A22" t="s">
        <v>118</v>
      </c>
      <c r="B22" t="s">
        <v>76</v>
      </c>
      <c r="C22">
        <v>39.97</v>
      </c>
      <c r="D22" t="s">
        <v>62</v>
      </c>
      <c r="E22" s="1">
        <v>45750</v>
      </c>
      <c r="F22" s="1">
        <v>45758</v>
      </c>
      <c r="G22" s="1">
        <v>45754</v>
      </c>
      <c r="H22" t="s">
        <v>33</v>
      </c>
      <c r="I22">
        <v>5</v>
      </c>
      <c r="J22" t="s">
        <v>119</v>
      </c>
    </row>
    <row r="23" spans="1:10" x14ac:dyDescent="0.25">
      <c r="A23" t="s">
        <v>120</v>
      </c>
      <c r="B23" t="s">
        <v>31</v>
      </c>
      <c r="C23">
        <v>58.88</v>
      </c>
      <c r="D23" t="s">
        <v>62</v>
      </c>
      <c r="E23" s="1">
        <v>45750</v>
      </c>
      <c r="F23" s="1">
        <v>45760</v>
      </c>
      <c r="H23" t="s">
        <v>54</v>
      </c>
      <c r="I23">
        <v>3</v>
      </c>
      <c r="J23" t="s">
        <v>121</v>
      </c>
    </row>
    <row r="24" spans="1:10" x14ac:dyDescent="0.25">
      <c r="A24" t="s">
        <v>122</v>
      </c>
      <c r="B24" t="s">
        <v>76</v>
      </c>
      <c r="C24">
        <v>24.46</v>
      </c>
      <c r="D24" t="s">
        <v>47</v>
      </c>
      <c r="E24" s="1">
        <v>45752</v>
      </c>
      <c r="F24" s="1">
        <v>45761</v>
      </c>
      <c r="G24" s="1">
        <v>45754</v>
      </c>
      <c r="H24" t="s">
        <v>33</v>
      </c>
      <c r="I24">
        <v>5</v>
      </c>
      <c r="J24" t="s">
        <v>41</v>
      </c>
    </row>
    <row r="25" spans="1:10" x14ac:dyDescent="0.25">
      <c r="A25" t="s">
        <v>125</v>
      </c>
      <c r="B25" t="s">
        <v>76</v>
      </c>
      <c r="C25">
        <v>76.47</v>
      </c>
      <c r="D25" t="s">
        <v>126</v>
      </c>
      <c r="E25" s="1">
        <v>45752</v>
      </c>
      <c r="F25" s="1">
        <v>45760</v>
      </c>
      <c r="G25" s="1">
        <v>45759</v>
      </c>
      <c r="H25" t="s">
        <v>33</v>
      </c>
      <c r="I25">
        <v>4</v>
      </c>
      <c r="J25" t="s">
        <v>127</v>
      </c>
    </row>
    <row r="26" spans="1:10" x14ac:dyDescent="0.25">
      <c r="A26" t="s">
        <v>128</v>
      </c>
      <c r="B26" t="s">
        <v>61</v>
      </c>
      <c r="C26">
        <v>139.22</v>
      </c>
      <c r="D26" t="s">
        <v>101</v>
      </c>
      <c r="E26" s="1">
        <v>45751</v>
      </c>
      <c r="F26" s="1">
        <v>45761</v>
      </c>
      <c r="G26" s="1">
        <v>45762</v>
      </c>
      <c r="H26" t="s">
        <v>33</v>
      </c>
      <c r="I26">
        <v>2</v>
      </c>
      <c r="J26" t="s">
        <v>129</v>
      </c>
    </row>
    <row r="27" spans="1:10" x14ac:dyDescent="0.25">
      <c r="A27" t="s">
        <v>130</v>
      </c>
      <c r="B27" t="s">
        <v>61</v>
      </c>
      <c r="C27">
        <v>15.4</v>
      </c>
      <c r="D27" t="s">
        <v>32</v>
      </c>
      <c r="E27" s="1">
        <v>45753</v>
      </c>
      <c r="F27" s="1">
        <v>45758</v>
      </c>
      <c r="H27" t="s">
        <v>63</v>
      </c>
      <c r="I27">
        <v>1</v>
      </c>
      <c r="J27" t="s">
        <v>131</v>
      </c>
    </row>
    <row r="28" spans="1:10" x14ac:dyDescent="0.25">
      <c r="A28" t="s">
        <v>132</v>
      </c>
      <c r="B28" t="s">
        <v>31</v>
      </c>
      <c r="C28">
        <v>22.21</v>
      </c>
      <c r="D28" t="s">
        <v>133</v>
      </c>
      <c r="E28" s="1">
        <v>45752</v>
      </c>
      <c r="F28" s="1">
        <v>45762</v>
      </c>
      <c r="G28" s="1">
        <v>45760</v>
      </c>
      <c r="H28" t="s">
        <v>33</v>
      </c>
      <c r="I28">
        <v>5</v>
      </c>
      <c r="J28" t="s">
        <v>134</v>
      </c>
    </row>
    <row r="29" spans="1:10" x14ac:dyDescent="0.25">
      <c r="A29" t="s">
        <v>135</v>
      </c>
      <c r="B29" t="s">
        <v>39</v>
      </c>
      <c r="C29">
        <v>23.61</v>
      </c>
      <c r="D29" t="s">
        <v>40</v>
      </c>
      <c r="E29" s="1">
        <v>45754</v>
      </c>
      <c r="F29" s="1">
        <v>45759</v>
      </c>
      <c r="H29" t="s">
        <v>54</v>
      </c>
      <c r="I29">
        <v>4</v>
      </c>
      <c r="J29" t="s">
        <v>127</v>
      </c>
    </row>
    <row r="30" spans="1:10" x14ac:dyDescent="0.25">
      <c r="A30" t="s">
        <v>136</v>
      </c>
      <c r="B30" t="s">
        <v>39</v>
      </c>
      <c r="C30">
        <v>54.13</v>
      </c>
      <c r="D30" t="s">
        <v>133</v>
      </c>
      <c r="E30" s="1">
        <v>45755</v>
      </c>
      <c r="F30" s="1">
        <v>45760</v>
      </c>
      <c r="G30" s="1">
        <v>45757</v>
      </c>
      <c r="H30" t="s">
        <v>33</v>
      </c>
      <c r="I30">
        <v>5</v>
      </c>
      <c r="J30" t="s">
        <v>117</v>
      </c>
    </row>
    <row r="31" spans="1:10" x14ac:dyDescent="0.25">
      <c r="A31" t="s">
        <v>139</v>
      </c>
      <c r="B31" t="s">
        <v>76</v>
      </c>
      <c r="C31">
        <v>58.89</v>
      </c>
      <c r="D31" t="s">
        <v>62</v>
      </c>
      <c r="E31" s="1">
        <v>45755</v>
      </c>
      <c r="F31" s="1">
        <v>45763</v>
      </c>
      <c r="G31" s="1">
        <v>45768</v>
      </c>
      <c r="H31" t="s">
        <v>33</v>
      </c>
      <c r="I31">
        <v>1</v>
      </c>
      <c r="J31" t="s">
        <v>140</v>
      </c>
    </row>
    <row r="32" spans="1:10" x14ac:dyDescent="0.25">
      <c r="A32" t="s">
        <v>141</v>
      </c>
      <c r="B32" t="s">
        <v>39</v>
      </c>
      <c r="C32">
        <v>25.35</v>
      </c>
      <c r="D32" t="s">
        <v>97</v>
      </c>
      <c r="E32" s="1">
        <v>45757</v>
      </c>
      <c r="F32" s="1">
        <v>45762</v>
      </c>
      <c r="H32" t="s">
        <v>54</v>
      </c>
      <c r="I32">
        <v>2</v>
      </c>
      <c r="J32" t="s">
        <v>140</v>
      </c>
    </row>
    <row r="33" spans="1:10" x14ac:dyDescent="0.25">
      <c r="A33" t="s">
        <v>142</v>
      </c>
      <c r="B33" t="s">
        <v>31</v>
      </c>
      <c r="C33">
        <v>45.51</v>
      </c>
      <c r="D33" t="s">
        <v>99</v>
      </c>
      <c r="E33" s="1">
        <v>45756</v>
      </c>
      <c r="F33" s="1">
        <v>45764</v>
      </c>
      <c r="G33" s="1">
        <v>45762</v>
      </c>
      <c r="H33" t="s">
        <v>33</v>
      </c>
      <c r="I33">
        <v>5</v>
      </c>
      <c r="J33" t="s">
        <v>119</v>
      </c>
    </row>
    <row r="34" spans="1:10" x14ac:dyDescent="0.25">
      <c r="A34" t="s">
        <v>143</v>
      </c>
      <c r="B34" t="s">
        <v>39</v>
      </c>
      <c r="C34">
        <v>25.49</v>
      </c>
      <c r="D34" t="s">
        <v>97</v>
      </c>
      <c r="E34" s="1">
        <v>45756</v>
      </c>
      <c r="F34" s="1">
        <v>45761</v>
      </c>
      <c r="G34" s="1">
        <v>45758</v>
      </c>
      <c r="H34" t="s">
        <v>33</v>
      </c>
      <c r="I34">
        <v>4</v>
      </c>
      <c r="J34" t="s">
        <v>119</v>
      </c>
    </row>
    <row r="35" spans="1:10" x14ac:dyDescent="0.25">
      <c r="A35" t="s">
        <v>144</v>
      </c>
      <c r="B35" t="s">
        <v>31</v>
      </c>
      <c r="C35">
        <v>51.62</v>
      </c>
      <c r="D35" t="s">
        <v>62</v>
      </c>
      <c r="E35" s="1">
        <v>45757</v>
      </c>
      <c r="F35" s="1">
        <v>45762</v>
      </c>
      <c r="G35" s="1">
        <v>45760</v>
      </c>
      <c r="H35" t="s">
        <v>33</v>
      </c>
      <c r="I35">
        <v>5</v>
      </c>
      <c r="J35" t="s">
        <v>84</v>
      </c>
    </row>
    <row r="36" spans="1:10" x14ac:dyDescent="0.25">
      <c r="A36" t="s">
        <v>145</v>
      </c>
      <c r="B36" t="s">
        <v>76</v>
      </c>
      <c r="C36">
        <v>122.53</v>
      </c>
      <c r="D36" t="s">
        <v>99</v>
      </c>
      <c r="E36" s="1">
        <v>45758</v>
      </c>
      <c r="F36" s="1">
        <v>45768</v>
      </c>
      <c r="H36" t="s">
        <v>54</v>
      </c>
      <c r="I36">
        <v>3</v>
      </c>
      <c r="J36" t="s">
        <v>146</v>
      </c>
    </row>
    <row r="37" spans="1:10" x14ac:dyDescent="0.25">
      <c r="A37" t="s">
        <v>147</v>
      </c>
      <c r="B37" t="s">
        <v>61</v>
      </c>
      <c r="C37">
        <v>109.09</v>
      </c>
      <c r="D37" t="s">
        <v>150</v>
      </c>
      <c r="E37" s="1">
        <v>45759</v>
      </c>
      <c r="F37" s="1">
        <v>45769</v>
      </c>
      <c r="G37" s="1">
        <v>45768</v>
      </c>
      <c r="H37" t="s">
        <v>33</v>
      </c>
      <c r="I37">
        <v>5</v>
      </c>
      <c r="J37" t="s">
        <v>69</v>
      </c>
    </row>
    <row r="38" spans="1:10" x14ac:dyDescent="0.25">
      <c r="A38" t="s">
        <v>151</v>
      </c>
      <c r="B38" t="s">
        <v>39</v>
      </c>
      <c r="C38">
        <v>133.28</v>
      </c>
      <c r="D38" t="s">
        <v>68</v>
      </c>
      <c r="E38" s="1">
        <v>45760</v>
      </c>
      <c r="F38" s="1">
        <v>45767</v>
      </c>
      <c r="G38" s="1">
        <v>45765</v>
      </c>
      <c r="H38" t="s">
        <v>33</v>
      </c>
      <c r="I38">
        <v>4</v>
      </c>
      <c r="J38" t="s">
        <v>69</v>
      </c>
    </row>
    <row r="39" spans="1:10" x14ac:dyDescent="0.25">
      <c r="A39" t="s">
        <v>152</v>
      </c>
      <c r="B39" t="s">
        <v>39</v>
      </c>
      <c r="C39">
        <v>59.42</v>
      </c>
      <c r="D39" t="s">
        <v>47</v>
      </c>
      <c r="E39" s="1">
        <v>45759</v>
      </c>
      <c r="F39" s="1">
        <v>45765</v>
      </c>
      <c r="H39" t="s">
        <v>54</v>
      </c>
      <c r="I39">
        <v>2</v>
      </c>
      <c r="J39" t="s">
        <v>153</v>
      </c>
    </row>
    <row r="40" spans="1:10" x14ac:dyDescent="0.25">
      <c r="A40" t="s">
        <v>154</v>
      </c>
      <c r="B40" t="s">
        <v>39</v>
      </c>
      <c r="C40">
        <v>73.59</v>
      </c>
      <c r="D40" t="s">
        <v>157</v>
      </c>
      <c r="E40" s="1">
        <v>45760</v>
      </c>
      <c r="F40" s="1">
        <v>45769</v>
      </c>
      <c r="G40" s="1">
        <v>45768</v>
      </c>
      <c r="H40" t="s">
        <v>33</v>
      </c>
      <c r="I40">
        <v>4</v>
      </c>
      <c r="J40" t="s">
        <v>79</v>
      </c>
    </row>
    <row r="41" spans="1:10" x14ac:dyDescent="0.25">
      <c r="A41" t="s">
        <v>158</v>
      </c>
      <c r="B41" t="s">
        <v>31</v>
      </c>
      <c r="C41">
        <v>140.88</v>
      </c>
      <c r="D41" t="s">
        <v>47</v>
      </c>
      <c r="E41" s="1">
        <v>45760</v>
      </c>
      <c r="F41" s="1">
        <v>45769</v>
      </c>
      <c r="G41" s="1">
        <v>45768</v>
      </c>
      <c r="H41" t="s">
        <v>33</v>
      </c>
      <c r="I41">
        <v>5</v>
      </c>
      <c r="J41" t="s">
        <v>84</v>
      </c>
    </row>
    <row r="42" spans="1:10" x14ac:dyDescent="0.25">
      <c r="A42" t="s">
        <v>159</v>
      </c>
      <c r="B42" t="s">
        <v>76</v>
      </c>
      <c r="C42">
        <v>29.53</v>
      </c>
      <c r="D42" t="s">
        <v>62</v>
      </c>
      <c r="E42" s="1">
        <v>45762</v>
      </c>
      <c r="F42" s="1">
        <v>45771</v>
      </c>
      <c r="G42" s="1">
        <v>45770</v>
      </c>
      <c r="H42" t="s">
        <v>33</v>
      </c>
      <c r="I42">
        <v>4</v>
      </c>
      <c r="J42" t="s">
        <v>69</v>
      </c>
    </row>
    <row r="43" spans="1:10" x14ac:dyDescent="0.25">
      <c r="A43" t="s">
        <v>160</v>
      </c>
      <c r="B43" t="s">
        <v>31</v>
      </c>
      <c r="C43">
        <v>17.52</v>
      </c>
      <c r="D43" t="s">
        <v>157</v>
      </c>
      <c r="E43" s="1">
        <v>45761</v>
      </c>
      <c r="F43" s="1">
        <v>45771</v>
      </c>
      <c r="H43" t="s">
        <v>161</v>
      </c>
      <c r="I43">
        <v>1</v>
      </c>
      <c r="J43" t="s">
        <v>162</v>
      </c>
    </row>
    <row r="44" spans="1:10" x14ac:dyDescent="0.25">
      <c r="A44" t="s">
        <v>163</v>
      </c>
      <c r="B44" t="s">
        <v>39</v>
      </c>
      <c r="C44">
        <v>22.51</v>
      </c>
      <c r="D44" t="s">
        <v>150</v>
      </c>
      <c r="E44" s="1">
        <v>45762</v>
      </c>
      <c r="F44" s="1">
        <v>45767</v>
      </c>
      <c r="G44" s="1">
        <v>45766</v>
      </c>
      <c r="H44" t="s">
        <v>33</v>
      </c>
      <c r="I44">
        <v>4</v>
      </c>
      <c r="J44" t="s">
        <v>166</v>
      </c>
    </row>
    <row r="45" spans="1:10" x14ac:dyDescent="0.25">
      <c r="A45" t="s">
        <v>167</v>
      </c>
      <c r="B45" t="s">
        <v>31</v>
      </c>
      <c r="C45">
        <v>91.01</v>
      </c>
      <c r="D45" t="s">
        <v>83</v>
      </c>
      <c r="E45" s="1">
        <v>45761</v>
      </c>
      <c r="F45" s="1">
        <v>45770</v>
      </c>
      <c r="G45" s="1">
        <v>45773</v>
      </c>
      <c r="H45" t="s">
        <v>33</v>
      </c>
      <c r="I45">
        <v>1</v>
      </c>
      <c r="J45" t="s">
        <v>168</v>
      </c>
    </row>
    <row r="46" spans="1:10" x14ac:dyDescent="0.25">
      <c r="A46" t="s">
        <v>169</v>
      </c>
      <c r="B46" t="s">
        <v>76</v>
      </c>
      <c r="C46">
        <v>42.36</v>
      </c>
      <c r="D46" t="s">
        <v>97</v>
      </c>
      <c r="E46" s="1">
        <v>45762</v>
      </c>
      <c r="F46" s="1">
        <v>45767</v>
      </c>
      <c r="G46" s="1">
        <v>45768</v>
      </c>
      <c r="H46" t="s">
        <v>33</v>
      </c>
      <c r="I46">
        <v>1</v>
      </c>
      <c r="J46" t="s">
        <v>170</v>
      </c>
    </row>
    <row r="47" spans="1:10" x14ac:dyDescent="0.25">
      <c r="A47" t="s">
        <v>171</v>
      </c>
      <c r="B47" t="s">
        <v>61</v>
      </c>
      <c r="C47">
        <v>32.68</v>
      </c>
      <c r="D47" t="s">
        <v>99</v>
      </c>
      <c r="E47" s="1">
        <v>45763</v>
      </c>
      <c r="F47" s="1">
        <v>45771</v>
      </c>
      <c r="G47" s="1">
        <v>45769</v>
      </c>
      <c r="H47" t="s">
        <v>33</v>
      </c>
      <c r="I47">
        <v>4</v>
      </c>
      <c r="J47" t="s">
        <v>172</v>
      </c>
    </row>
    <row r="48" spans="1:10" x14ac:dyDescent="0.25">
      <c r="A48" t="s">
        <v>173</v>
      </c>
      <c r="B48" t="s">
        <v>76</v>
      </c>
      <c r="C48">
        <v>58.9</v>
      </c>
      <c r="D48" t="s">
        <v>99</v>
      </c>
      <c r="E48" s="1">
        <v>45763</v>
      </c>
      <c r="F48" s="1">
        <v>45773</v>
      </c>
      <c r="H48" t="s">
        <v>54</v>
      </c>
      <c r="I48">
        <v>3</v>
      </c>
      <c r="J48" t="s">
        <v>121</v>
      </c>
    </row>
    <row r="49" spans="1:10" x14ac:dyDescent="0.25">
      <c r="A49" t="s">
        <v>174</v>
      </c>
      <c r="B49" t="s">
        <v>31</v>
      </c>
      <c r="C49">
        <v>24.61</v>
      </c>
      <c r="D49" t="s">
        <v>150</v>
      </c>
      <c r="E49" s="1">
        <v>45763</v>
      </c>
      <c r="F49" s="1">
        <v>45768</v>
      </c>
      <c r="G49" s="1">
        <v>45766</v>
      </c>
      <c r="H49" t="s">
        <v>33</v>
      </c>
      <c r="I49">
        <v>4</v>
      </c>
      <c r="J49" t="s">
        <v>34</v>
      </c>
    </row>
    <row r="50" spans="1:10" x14ac:dyDescent="0.25">
      <c r="A50" t="s">
        <v>175</v>
      </c>
      <c r="B50" t="s">
        <v>39</v>
      </c>
      <c r="C50">
        <v>26.55</v>
      </c>
      <c r="D50" t="s">
        <v>97</v>
      </c>
      <c r="E50" s="1">
        <v>45764</v>
      </c>
      <c r="F50" s="1">
        <v>45769</v>
      </c>
      <c r="H50" t="s">
        <v>63</v>
      </c>
      <c r="I50">
        <v>1</v>
      </c>
      <c r="J50" t="s">
        <v>64</v>
      </c>
    </row>
    <row r="51" spans="1:10" x14ac:dyDescent="0.25">
      <c r="A51" t="s">
        <v>176</v>
      </c>
      <c r="B51" t="s">
        <v>61</v>
      </c>
      <c r="C51">
        <v>25.9</v>
      </c>
      <c r="D51" t="s">
        <v>62</v>
      </c>
      <c r="E51" s="1">
        <v>45763</v>
      </c>
      <c r="F51" s="1">
        <v>45771</v>
      </c>
      <c r="H51" t="s">
        <v>63</v>
      </c>
      <c r="I51">
        <v>2</v>
      </c>
      <c r="J51" t="s">
        <v>153</v>
      </c>
    </row>
    <row r="52" spans="1:10" x14ac:dyDescent="0.25">
      <c r="A52" t="s">
        <v>179</v>
      </c>
      <c r="B52" t="s">
        <v>61</v>
      </c>
      <c r="C52">
        <v>31.85</v>
      </c>
      <c r="D52" t="s">
        <v>150</v>
      </c>
      <c r="E52" s="1">
        <v>45764</v>
      </c>
      <c r="F52" s="1">
        <v>45770</v>
      </c>
      <c r="H52" t="s">
        <v>161</v>
      </c>
      <c r="I52">
        <v>2</v>
      </c>
      <c r="J52" t="s">
        <v>180</v>
      </c>
    </row>
    <row r="53" spans="1:10" x14ac:dyDescent="0.25">
      <c r="A53" t="s">
        <v>181</v>
      </c>
      <c r="B53" t="s">
        <v>39</v>
      </c>
      <c r="C53">
        <v>58.78</v>
      </c>
      <c r="D53" t="s">
        <v>97</v>
      </c>
      <c r="E53" s="1">
        <v>45766</v>
      </c>
      <c r="F53" s="1">
        <v>45772</v>
      </c>
      <c r="G53" s="1">
        <v>45776</v>
      </c>
      <c r="H53" t="s">
        <v>33</v>
      </c>
      <c r="I53">
        <v>1</v>
      </c>
      <c r="J53" t="s">
        <v>162</v>
      </c>
    </row>
    <row r="54" spans="1:10" x14ac:dyDescent="0.25">
      <c r="A54" t="s">
        <v>182</v>
      </c>
      <c r="B54" t="s">
        <v>31</v>
      </c>
      <c r="C54">
        <v>22.6</v>
      </c>
      <c r="D54" t="s">
        <v>47</v>
      </c>
      <c r="E54" s="1">
        <v>45766</v>
      </c>
      <c r="F54" s="1">
        <v>45776</v>
      </c>
      <c r="G54" s="1">
        <v>45775</v>
      </c>
      <c r="H54" t="s">
        <v>33</v>
      </c>
      <c r="I54">
        <v>5</v>
      </c>
      <c r="J54" t="s">
        <v>41</v>
      </c>
    </row>
    <row r="55" spans="1:10" x14ac:dyDescent="0.25">
      <c r="A55" t="s">
        <v>183</v>
      </c>
      <c r="B55" t="s">
        <v>61</v>
      </c>
      <c r="C55">
        <v>128.37</v>
      </c>
      <c r="D55" t="s">
        <v>62</v>
      </c>
      <c r="E55" s="1">
        <v>45766</v>
      </c>
      <c r="F55" s="1">
        <v>45774</v>
      </c>
      <c r="H55" t="s">
        <v>161</v>
      </c>
      <c r="I55">
        <v>1</v>
      </c>
      <c r="J55" t="s">
        <v>102</v>
      </c>
    </row>
    <row r="56" spans="1:10" x14ac:dyDescent="0.25">
      <c r="A56" t="s">
        <v>184</v>
      </c>
      <c r="B56" t="s">
        <v>31</v>
      </c>
      <c r="C56">
        <v>38.6</v>
      </c>
      <c r="D56" t="s">
        <v>99</v>
      </c>
      <c r="E56" s="1">
        <v>45766</v>
      </c>
      <c r="F56" s="1">
        <v>45774</v>
      </c>
      <c r="H56" t="s">
        <v>63</v>
      </c>
      <c r="I56">
        <v>2</v>
      </c>
      <c r="J56" t="s">
        <v>185</v>
      </c>
    </row>
    <row r="57" spans="1:10" x14ac:dyDescent="0.25">
      <c r="A57" t="s">
        <v>186</v>
      </c>
      <c r="B57" t="s">
        <v>76</v>
      </c>
      <c r="C57">
        <v>22.98</v>
      </c>
      <c r="D57" t="s">
        <v>97</v>
      </c>
      <c r="E57" s="1">
        <v>45766</v>
      </c>
      <c r="F57" s="1">
        <v>45776</v>
      </c>
      <c r="H57" t="s">
        <v>54</v>
      </c>
      <c r="I57">
        <v>4</v>
      </c>
      <c r="J57" t="s">
        <v>79</v>
      </c>
    </row>
    <row r="58" spans="1:10" x14ac:dyDescent="0.25">
      <c r="A58" t="s">
        <v>187</v>
      </c>
      <c r="B58" t="s">
        <v>39</v>
      </c>
      <c r="C58">
        <v>29.31</v>
      </c>
      <c r="D58" t="s">
        <v>40</v>
      </c>
      <c r="E58" s="1">
        <v>45767</v>
      </c>
      <c r="F58" s="1">
        <v>45776</v>
      </c>
      <c r="G58" s="1">
        <v>45769</v>
      </c>
      <c r="H58" t="s">
        <v>33</v>
      </c>
      <c r="I58">
        <v>4</v>
      </c>
      <c r="J58" t="s">
        <v>77</v>
      </c>
    </row>
    <row r="59" spans="1:10" x14ac:dyDescent="0.25">
      <c r="A59" t="s">
        <v>188</v>
      </c>
      <c r="B59" t="s">
        <v>76</v>
      </c>
      <c r="C59">
        <v>26.08</v>
      </c>
      <c r="D59" t="s">
        <v>62</v>
      </c>
      <c r="E59" s="1">
        <v>45767</v>
      </c>
      <c r="F59" s="1">
        <v>45775</v>
      </c>
      <c r="G59" s="1">
        <v>45769</v>
      </c>
      <c r="H59" t="s">
        <v>33</v>
      </c>
      <c r="I59">
        <v>4</v>
      </c>
      <c r="J59" t="s">
        <v>119</v>
      </c>
    </row>
    <row r="60" spans="1:10" x14ac:dyDescent="0.25">
      <c r="A60" t="s">
        <v>189</v>
      </c>
      <c r="B60" t="s">
        <v>31</v>
      </c>
      <c r="C60">
        <v>57.88</v>
      </c>
      <c r="D60" t="s">
        <v>62</v>
      </c>
      <c r="E60" s="1">
        <v>45769</v>
      </c>
      <c r="F60" s="1">
        <v>45778</v>
      </c>
      <c r="G60" s="1">
        <v>45776</v>
      </c>
      <c r="H60" t="s">
        <v>33</v>
      </c>
      <c r="I60">
        <v>5</v>
      </c>
      <c r="J60" t="s">
        <v>34</v>
      </c>
    </row>
    <row r="61" spans="1:10" x14ac:dyDescent="0.25">
      <c r="A61" t="s">
        <v>190</v>
      </c>
      <c r="B61" t="s">
        <v>61</v>
      </c>
      <c r="C61">
        <v>34.24</v>
      </c>
      <c r="D61" t="s">
        <v>62</v>
      </c>
      <c r="E61" s="1">
        <v>45770</v>
      </c>
      <c r="F61" s="1">
        <v>45776</v>
      </c>
      <c r="H61" t="s">
        <v>54</v>
      </c>
      <c r="I61">
        <v>2</v>
      </c>
      <c r="J61" t="s">
        <v>170</v>
      </c>
    </row>
    <row r="62" spans="1:10" x14ac:dyDescent="0.25">
      <c r="A62" t="s">
        <v>191</v>
      </c>
      <c r="B62" t="s">
        <v>39</v>
      </c>
      <c r="C62">
        <v>26.15</v>
      </c>
      <c r="D62" t="s">
        <v>101</v>
      </c>
      <c r="E62" s="1">
        <v>45770</v>
      </c>
      <c r="F62" s="1">
        <v>45775</v>
      </c>
      <c r="G62" s="1">
        <v>45772</v>
      </c>
      <c r="H62" t="s">
        <v>33</v>
      </c>
      <c r="I62">
        <v>4</v>
      </c>
      <c r="J62" t="s">
        <v>172</v>
      </c>
    </row>
    <row r="63" spans="1:10" x14ac:dyDescent="0.25">
      <c r="A63" t="s">
        <v>192</v>
      </c>
      <c r="B63" t="s">
        <v>76</v>
      </c>
      <c r="C63">
        <v>21.53</v>
      </c>
      <c r="D63" t="s">
        <v>32</v>
      </c>
      <c r="E63" s="1">
        <v>45772</v>
      </c>
      <c r="F63" s="1">
        <v>45778</v>
      </c>
      <c r="G63" s="1">
        <v>45778</v>
      </c>
      <c r="H63" t="s">
        <v>33</v>
      </c>
      <c r="I63">
        <v>4</v>
      </c>
      <c r="J63" t="s">
        <v>41</v>
      </c>
    </row>
    <row r="64" spans="1:10" x14ac:dyDescent="0.25">
      <c r="A64" t="s">
        <v>193</v>
      </c>
      <c r="B64" t="s">
        <v>31</v>
      </c>
      <c r="C64">
        <v>104.41</v>
      </c>
      <c r="D64" t="s">
        <v>62</v>
      </c>
      <c r="E64" s="1">
        <v>45773</v>
      </c>
      <c r="F64" s="1">
        <v>45780</v>
      </c>
      <c r="G64" s="1">
        <v>45780</v>
      </c>
      <c r="H64" t="s">
        <v>33</v>
      </c>
      <c r="I64">
        <v>5</v>
      </c>
      <c r="J64" t="s">
        <v>112</v>
      </c>
    </row>
    <row r="65" spans="1:10" x14ac:dyDescent="0.25">
      <c r="A65" t="s">
        <v>194</v>
      </c>
      <c r="B65" t="s">
        <v>31</v>
      </c>
      <c r="C65">
        <v>60.08</v>
      </c>
      <c r="D65" t="s">
        <v>68</v>
      </c>
      <c r="E65" s="1">
        <v>45774</v>
      </c>
      <c r="F65" s="1">
        <v>45784</v>
      </c>
      <c r="G65" s="1">
        <v>45781</v>
      </c>
      <c r="H65" t="s">
        <v>33</v>
      </c>
      <c r="I65">
        <v>5</v>
      </c>
      <c r="J65" t="s">
        <v>77</v>
      </c>
    </row>
    <row r="66" spans="1:10" x14ac:dyDescent="0.25">
      <c r="A66" t="s">
        <v>195</v>
      </c>
      <c r="B66" t="s">
        <v>31</v>
      </c>
      <c r="C66">
        <v>48.82</v>
      </c>
      <c r="D66" t="s">
        <v>47</v>
      </c>
      <c r="E66" s="1">
        <v>45774</v>
      </c>
      <c r="F66" s="1">
        <v>45779</v>
      </c>
      <c r="G66" s="1">
        <v>45776</v>
      </c>
      <c r="H66" t="s">
        <v>33</v>
      </c>
      <c r="I66">
        <v>5</v>
      </c>
      <c r="J66" t="s">
        <v>117</v>
      </c>
    </row>
    <row r="67" spans="1:10" x14ac:dyDescent="0.25">
      <c r="A67" t="s">
        <v>196</v>
      </c>
      <c r="B67" t="s">
        <v>31</v>
      </c>
      <c r="C67">
        <v>18.170000000000002</v>
      </c>
      <c r="D67" t="s">
        <v>32</v>
      </c>
      <c r="E67" s="1">
        <v>45775</v>
      </c>
      <c r="F67" s="1">
        <v>45785</v>
      </c>
      <c r="G67" s="1">
        <v>45783</v>
      </c>
      <c r="H67" t="s">
        <v>33</v>
      </c>
      <c r="I67">
        <v>5</v>
      </c>
      <c r="J67" t="s">
        <v>172</v>
      </c>
    </row>
    <row r="68" spans="1:10" x14ac:dyDescent="0.25">
      <c r="A68" t="s">
        <v>197</v>
      </c>
      <c r="B68" t="s">
        <v>31</v>
      </c>
      <c r="C68">
        <v>17.82</v>
      </c>
      <c r="D68" t="s">
        <v>47</v>
      </c>
      <c r="E68" s="1">
        <v>45774</v>
      </c>
      <c r="F68" s="1">
        <v>45780</v>
      </c>
      <c r="G68" s="1">
        <v>45778</v>
      </c>
      <c r="H68" t="s">
        <v>33</v>
      </c>
      <c r="I68">
        <v>5</v>
      </c>
      <c r="J68" t="s">
        <v>112</v>
      </c>
    </row>
    <row r="69" spans="1:10" x14ac:dyDescent="0.25">
      <c r="A69" t="s">
        <v>200</v>
      </c>
      <c r="B69" t="s">
        <v>61</v>
      </c>
      <c r="C69">
        <v>85.96</v>
      </c>
      <c r="D69" t="s">
        <v>53</v>
      </c>
      <c r="E69" s="1">
        <v>45774</v>
      </c>
      <c r="F69" s="1">
        <v>45781</v>
      </c>
      <c r="G69" s="1">
        <v>45778</v>
      </c>
      <c r="H69" t="s">
        <v>33</v>
      </c>
      <c r="I69">
        <v>4</v>
      </c>
      <c r="J69" t="s">
        <v>117</v>
      </c>
    </row>
    <row r="70" spans="1:10" x14ac:dyDescent="0.25">
      <c r="A70" t="s">
        <v>201</v>
      </c>
      <c r="B70" t="s">
        <v>76</v>
      </c>
      <c r="C70">
        <v>62.21</v>
      </c>
      <c r="D70" t="s">
        <v>133</v>
      </c>
      <c r="E70" s="1">
        <v>45775</v>
      </c>
      <c r="F70" s="1">
        <v>45785</v>
      </c>
      <c r="G70" s="1">
        <v>45783</v>
      </c>
      <c r="H70" t="s">
        <v>33</v>
      </c>
      <c r="I70">
        <v>4</v>
      </c>
      <c r="J70" t="s">
        <v>48</v>
      </c>
    </row>
    <row r="71" spans="1:10" x14ac:dyDescent="0.25">
      <c r="A71" t="s">
        <v>202</v>
      </c>
      <c r="B71" t="s">
        <v>31</v>
      </c>
      <c r="C71">
        <v>28.56</v>
      </c>
      <c r="D71" t="s">
        <v>47</v>
      </c>
      <c r="E71" s="1">
        <v>45774</v>
      </c>
      <c r="F71" s="1">
        <v>45780</v>
      </c>
      <c r="G71" s="1">
        <v>45785</v>
      </c>
      <c r="H71" t="s">
        <v>33</v>
      </c>
      <c r="I71">
        <v>1</v>
      </c>
      <c r="J71" t="s">
        <v>129</v>
      </c>
    </row>
    <row r="72" spans="1:10" x14ac:dyDescent="0.25">
      <c r="A72" t="s">
        <v>203</v>
      </c>
      <c r="B72" t="s">
        <v>76</v>
      </c>
      <c r="C72">
        <v>23.08</v>
      </c>
      <c r="D72" t="s">
        <v>83</v>
      </c>
      <c r="E72" s="1">
        <v>45775</v>
      </c>
      <c r="F72" s="1">
        <v>45781</v>
      </c>
      <c r="G72" s="1">
        <v>45779</v>
      </c>
      <c r="H72" t="s">
        <v>33</v>
      </c>
      <c r="I72">
        <v>4</v>
      </c>
      <c r="J72" t="s">
        <v>69</v>
      </c>
    </row>
    <row r="73" spans="1:10" x14ac:dyDescent="0.25">
      <c r="A73" t="s">
        <v>204</v>
      </c>
      <c r="B73" t="s">
        <v>61</v>
      </c>
      <c r="C73">
        <v>125.87</v>
      </c>
      <c r="D73" t="s">
        <v>83</v>
      </c>
      <c r="E73" s="1">
        <v>45775</v>
      </c>
      <c r="F73" s="1">
        <v>45783</v>
      </c>
      <c r="G73" s="1">
        <v>45782</v>
      </c>
      <c r="H73" t="s">
        <v>33</v>
      </c>
      <c r="I73">
        <v>4</v>
      </c>
      <c r="J73" t="s">
        <v>77</v>
      </c>
    </row>
    <row r="74" spans="1:10" x14ac:dyDescent="0.25">
      <c r="A74" t="s">
        <v>205</v>
      </c>
      <c r="B74" t="s">
        <v>76</v>
      </c>
      <c r="C74">
        <v>76.650000000000006</v>
      </c>
      <c r="D74" t="s">
        <v>53</v>
      </c>
      <c r="E74" s="1">
        <v>45776</v>
      </c>
      <c r="F74" s="1">
        <v>45784</v>
      </c>
      <c r="G74" s="1">
        <v>45783</v>
      </c>
      <c r="H74" t="s">
        <v>33</v>
      </c>
      <c r="I74">
        <v>5</v>
      </c>
      <c r="J74" t="s">
        <v>166</v>
      </c>
    </row>
    <row r="75" spans="1:10" x14ac:dyDescent="0.25">
      <c r="A75" t="s">
        <v>206</v>
      </c>
      <c r="B75" t="s">
        <v>31</v>
      </c>
      <c r="C75">
        <v>23.41</v>
      </c>
      <c r="D75" t="s">
        <v>157</v>
      </c>
      <c r="E75" s="1">
        <v>45776</v>
      </c>
      <c r="F75" s="1">
        <v>45784</v>
      </c>
      <c r="G75" s="1">
        <v>45779</v>
      </c>
      <c r="H75" t="s">
        <v>33</v>
      </c>
      <c r="I75">
        <v>4</v>
      </c>
      <c r="J75" t="s">
        <v>166</v>
      </c>
    </row>
    <row r="76" spans="1:10" x14ac:dyDescent="0.25">
      <c r="A76" t="s">
        <v>207</v>
      </c>
      <c r="B76" t="s">
        <v>76</v>
      </c>
      <c r="C76">
        <v>91.25</v>
      </c>
      <c r="D76" t="s">
        <v>97</v>
      </c>
      <c r="E76" s="1">
        <v>45776</v>
      </c>
      <c r="F76" s="1">
        <v>45786</v>
      </c>
      <c r="G76" s="1">
        <v>45780</v>
      </c>
      <c r="H76" t="s">
        <v>33</v>
      </c>
      <c r="I76">
        <v>5</v>
      </c>
      <c r="J76" t="s">
        <v>119</v>
      </c>
    </row>
    <row r="77" spans="1:10" x14ac:dyDescent="0.25">
      <c r="A77" t="s">
        <v>208</v>
      </c>
      <c r="B77" t="s">
        <v>61</v>
      </c>
      <c r="C77">
        <v>16.420000000000002</v>
      </c>
      <c r="D77" t="s">
        <v>150</v>
      </c>
      <c r="E77" s="1">
        <v>45776</v>
      </c>
      <c r="F77" s="1">
        <v>45782</v>
      </c>
      <c r="G77" s="1">
        <v>45778</v>
      </c>
      <c r="H77" t="s">
        <v>33</v>
      </c>
      <c r="I77">
        <v>5</v>
      </c>
      <c r="J77" t="s">
        <v>79</v>
      </c>
    </row>
    <row r="78" spans="1:10" x14ac:dyDescent="0.25">
      <c r="A78" t="s">
        <v>209</v>
      </c>
      <c r="B78" t="s">
        <v>39</v>
      </c>
      <c r="C78">
        <v>86.18</v>
      </c>
      <c r="D78" t="s">
        <v>32</v>
      </c>
      <c r="E78" s="1">
        <v>45777</v>
      </c>
      <c r="F78" s="1">
        <v>45783</v>
      </c>
      <c r="G78" s="1">
        <v>45782</v>
      </c>
      <c r="H78" t="s">
        <v>33</v>
      </c>
      <c r="I78">
        <v>4</v>
      </c>
      <c r="J78" t="s">
        <v>172</v>
      </c>
    </row>
    <row r="79" spans="1:10" x14ac:dyDescent="0.25">
      <c r="A79" t="s">
        <v>210</v>
      </c>
      <c r="B79" t="s">
        <v>39</v>
      </c>
      <c r="C79">
        <v>92.63</v>
      </c>
      <c r="D79" t="s">
        <v>157</v>
      </c>
      <c r="E79" s="1">
        <v>45777</v>
      </c>
      <c r="F79" s="1">
        <v>45787</v>
      </c>
      <c r="G79" s="1">
        <v>45786</v>
      </c>
      <c r="H79" t="s">
        <v>33</v>
      </c>
      <c r="I79">
        <v>4</v>
      </c>
      <c r="J79" t="s">
        <v>211</v>
      </c>
    </row>
    <row r="80" spans="1:10" x14ac:dyDescent="0.25">
      <c r="A80" t="s">
        <v>212</v>
      </c>
      <c r="B80" t="s">
        <v>76</v>
      </c>
      <c r="C80">
        <v>43.13</v>
      </c>
      <c r="D80" t="s">
        <v>99</v>
      </c>
      <c r="E80" s="1">
        <v>45778</v>
      </c>
      <c r="F80" s="1">
        <v>45783</v>
      </c>
      <c r="G80" s="1">
        <v>45783</v>
      </c>
      <c r="H80" t="s">
        <v>33</v>
      </c>
      <c r="I80">
        <v>5</v>
      </c>
      <c r="J80" t="s">
        <v>48</v>
      </c>
    </row>
    <row r="81" spans="1:10" x14ac:dyDescent="0.25">
      <c r="A81" t="s">
        <v>213</v>
      </c>
      <c r="B81" t="s">
        <v>39</v>
      </c>
      <c r="C81">
        <v>67.98</v>
      </c>
      <c r="D81" t="s">
        <v>47</v>
      </c>
      <c r="E81" s="1">
        <v>45779</v>
      </c>
      <c r="F81" s="1">
        <v>45784</v>
      </c>
      <c r="G81" s="1">
        <v>45784</v>
      </c>
      <c r="H81" t="s">
        <v>33</v>
      </c>
      <c r="I81">
        <v>5</v>
      </c>
      <c r="J81" t="s">
        <v>117</v>
      </c>
    </row>
    <row r="82" spans="1:10" x14ac:dyDescent="0.25">
      <c r="A82" t="s">
        <v>214</v>
      </c>
      <c r="B82" t="s">
        <v>31</v>
      </c>
      <c r="C82">
        <v>24.59</v>
      </c>
      <c r="D82" t="s">
        <v>99</v>
      </c>
      <c r="E82" s="1">
        <v>45779</v>
      </c>
      <c r="F82" s="1">
        <v>45786</v>
      </c>
      <c r="G82" s="1">
        <v>45783</v>
      </c>
      <c r="H82" t="s">
        <v>33</v>
      </c>
      <c r="I82">
        <v>5</v>
      </c>
      <c r="J82" t="s">
        <v>69</v>
      </c>
    </row>
    <row r="83" spans="1:10" x14ac:dyDescent="0.25">
      <c r="A83" t="s">
        <v>215</v>
      </c>
      <c r="B83" t="s">
        <v>76</v>
      </c>
      <c r="C83">
        <v>19.329999999999998</v>
      </c>
      <c r="D83" t="s">
        <v>99</v>
      </c>
      <c r="E83" s="1">
        <v>45779</v>
      </c>
      <c r="F83" s="1">
        <v>45789</v>
      </c>
      <c r="G83" s="1">
        <v>45789</v>
      </c>
      <c r="H83" t="s">
        <v>33</v>
      </c>
      <c r="I83">
        <v>4</v>
      </c>
      <c r="J83" t="s">
        <v>211</v>
      </c>
    </row>
    <row r="84" spans="1:10" x14ac:dyDescent="0.25">
      <c r="A84" t="s">
        <v>216</v>
      </c>
      <c r="B84" t="s">
        <v>39</v>
      </c>
      <c r="C84">
        <v>17.18</v>
      </c>
      <c r="D84" t="s">
        <v>157</v>
      </c>
      <c r="E84" s="1">
        <v>45780</v>
      </c>
      <c r="F84" s="1">
        <v>45789</v>
      </c>
      <c r="H84" t="s">
        <v>161</v>
      </c>
      <c r="I84">
        <v>1</v>
      </c>
      <c r="J84" t="s">
        <v>140</v>
      </c>
    </row>
    <row r="85" spans="1:10" x14ac:dyDescent="0.25">
      <c r="A85" t="s">
        <v>217</v>
      </c>
      <c r="B85" t="s">
        <v>61</v>
      </c>
      <c r="C85">
        <v>21.96</v>
      </c>
      <c r="D85" t="s">
        <v>47</v>
      </c>
      <c r="E85" s="1">
        <v>45781</v>
      </c>
      <c r="F85" s="1">
        <v>45791</v>
      </c>
      <c r="G85" s="1">
        <v>45783</v>
      </c>
      <c r="H85" t="s">
        <v>33</v>
      </c>
      <c r="I85">
        <v>4</v>
      </c>
      <c r="J85" t="s">
        <v>77</v>
      </c>
    </row>
    <row r="86" spans="1:10" x14ac:dyDescent="0.25">
      <c r="A86" t="s">
        <v>218</v>
      </c>
      <c r="B86" t="s">
        <v>76</v>
      </c>
      <c r="C86">
        <v>50.5</v>
      </c>
      <c r="D86" t="s">
        <v>47</v>
      </c>
      <c r="E86" s="1">
        <v>45781</v>
      </c>
      <c r="F86" s="1">
        <v>45790</v>
      </c>
      <c r="G86" s="1">
        <v>45790</v>
      </c>
      <c r="H86" t="s">
        <v>33</v>
      </c>
      <c r="I86">
        <v>5</v>
      </c>
      <c r="J86" t="s">
        <v>117</v>
      </c>
    </row>
    <row r="87" spans="1:10" x14ac:dyDescent="0.25">
      <c r="A87" t="s">
        <v>219</v>
      </c>
      <c r="B87" t="s">
        <v>76</v>
      </c>
      <c r="C87">
        <v>92.94</v>
      </c>
      <c r="D87" t="s">
        <v>97</v>
      </c>
      <c r="E87" s="1">
        <v>45781</v>
      </c>
      <c r="F87" s="1">
        <v>45787</v>
      </c>
      <c r="G87" s="1">
        <v>45791</v>
      </c>
      <c r="H87" t="s">
        <v>33</v>
      </c>
      <c r="I87">
        <v>1</v>
      </c>
      <c r="J87" t="s">
        <v>180</v>
      </c>
    </row>
    <row r="88" spans="1:10" x14ac:dyDescent="0.25">
      <c r="A88" t="s">
        <v>220</v>
      </c>
      <c r="B88" t="s">
        <v>31</v>
      </c>
      <c r="C88">
        <v>22.03</v>
      </c>
      <c r="D88" t="s">
        <v>62</v>
      </c>
      <c r="E88" s="1">
        <v>45781</v>
      </c>
      <c r="F88" s="1">
        <v>45788</v>
      </c>
      <c r="G88" s="1">
        <v>45783</v>
      </c>
      <c r="H88" t="s">
        <v>33</v>
      </c>
      <c r="I88">
        <v>4</v>
      </c>
      <c r="J88" t="s">
        <v>48</v>
      </c>
    </row>
    <row r="89" spans="1:10" x14ac:dyDescent="0.25">
      <c r="A89" t="s">
        <v>221</v>
      </c>
      <c r="B89" t="s">
        <v>61</v>
      </c>
      <c r="C89">
        <v>29.98</v>
      </c>
      <c r="D89" t="s">
        <v>99</v>
      </c>
      <c r="E89" s="1">
        <v>45781</v>
      </c>
      <c r="F89" s="1">
        <v>45790</v>
      </c>
      <c r="G89" s="1">
        <v>45789</v>
      </c>
      <c r="H89" t="s">
        <v>33</v>
      </c>
      <c r="I89">
        <v>5</v>
      </c>
      <c r="J89" t="s">
        <v>79</v>
      </c>
    </row>
    <row r="90" spans="1:10" x14ac:dyDescent="0.25">
      <c r="A90" t="s">
        <v>222</v>
      </c>
      <c r="B90" t="s">
        <v>61</v>
      </c>
      <c r="C90">
        <v>25.58</v>
      </c>
      <c r="D90" t="s">
        <v>62</v>
      </c>
      <c r="E90" s="1">
        <v>45781</v>
      </c>
      <c r="F90" s="1">
        <v>45787</v>
      </c>
      <c r="G90" s="1">
        <v>45785</v>
      </c>
      <c r="H90" t="s">
        <v>33</v>
      </c>
      <c r="I90">
        <v>5</v>
      </c>
      <c r="J90" t="s">
        <v>34</v>
      </c>
    </row>
    <row r="91" spans="1:10" x14ac:dyDescent="0.25">
      <c r="A91" t="s">
        <v>223</v>
      </c>
      <c r="B91" t="s">
        <v>39</v>
      </c>
      <c r="C91">
        <v>53.9</v>
      </c>
      <c r="D91" t="s">
        <v>40</v>
      </c>
      <c r="E91" s="1">
        <v>45783</v>
      </c>
      <c r="F91" s="1">
        <v>45789</v>
      </c>
      <c r="G91" s="1">
        <v>45788</v>
      </c>
      <c r="H91" t="s">
        <v>33</v>
      </c>
      <c r="I91">
        <v>4</v>
      </c>
      <c r="J91" t="s">
        <v>117</v>
      </c>
    </row>
    <row r="92" spans="1:10" x14ac:dyDescent="0.25">
      <c r="A92" t="s">
        <v>224</v>
      </c>
      <c r="B92" t="s">
        <v>76</v>
      </c>
      <c r="C92">
        <v>23.88</v>
      </c>
      <c r="D92" t="s">
        <v>47</v>
      </c>
      <c r="E92" s="1">
        <v>45783</v>
      </c>
      <c r="F92" s="1">
        <v>45792</v>
      </c>
      <c r="G92" s="1">
        <v>45797</v>
      </c>
      <c r="H92" t="s">
        <v>33</v>
      </c>
      <c r="I92">
        <v>3</v>
      </c>
      <c r="J92" t="s">
        <v>55</v>
      </c>
    </row>
    <row r="93" spans="1:10" x14ac:dyDescent="0.25">
      <c r="A93" t="s">
        <v>225</v>
      </c>
      <c r="B93" t="s">
        <v>76</v>
      </c>
      <c r="C93">
        <v>66.84</v>
      </c>
      <c r="D93" t="s">
        <v>157</v>
      </c>
      <c r="E93" s="1">
        <v>45783</v>
      </c>
      <c r="F93" s="1">
        <v>45790</v>
      </c>
      <c r="G93" s="1">
        <v>45787</v>
      </c>
      <c r="H93" t="s">
        <v>33</v>
      </c>
      <c r="I93">
        <v>5</v>
      </c>
      <c r="J93" t="s">
        <v>41</v>
      </c>
    </row>
    <row r="94" spans="1:10" x14ac:dyDescent="0.25">
      <c r="A94" t="s">
        <v>226</v>
      </c>
      <c r="B94" t="s">
        <v>76</v>
      </c>
      <c r="C94">
        <v>49.29</v>
      </c>
      <c r="D94" t="s">
        <v>62</v>
      </c>
      <c r="E94" s="1">
        <v>45785</v>
      </c>
      <c r="F94" s="1">
        <v>45793</v>
      </c>
      <c r="H94" t="s">
        <v>63</v>
      </c>
      <c r="I94">
        <v>1</v>
      </c>
      <c r="J94" t="s">
        <v>185</v>
      </c>
    </row>
    <row r="95" spans="1:10" x14ac:dyDescent="0.25">
      <c r="A95" t="s">
        <v>227</v>
      </c>
      <c r="B95" t="s">
        <v>31</v>
      </c>
      <c r="C95">
        <v>53.71</v>
      </c>
      <c r="D95" t="s">
        <v>101</v>
      </c>
      <c r="E95" s="1">
        <v>45784</v>
      </c>
      <c r="F95" s="1">
        <v>45794</v>
      </c>
      <c r="G95" s="1">
        <v>45793</v>
      </c>
      <c r="H95" t="s">
        <v>33</v>
      </c>
      <c r="I95">
        <v>5</v>
      </c>
      <c r="J95" t="s">
        <v>127</v>
      </c>
    </row>
    <row r="96" spans="1:10" x14ac:dyDescent="0.25">
      <c r="A96" t="s">
        <v>228</v>
      </c>
      <c r="B96" t="s">
        <v>61</v>
      </c>
      <c r="C96">
        <v>22.63</v>
      </c>
      <c r="D96" t="s">
        <v>62</v>
      </c>
      <c r="E96" s="1">
        <v>45785</v>
      </c>
      <c r="F96" s="1">
        <v>45795</v>
      </c>
      <c r="G96" s="1">
        <v>45793</v>
      </c>
      <c r="H96" t="s">
        <v>33</v>
      </c>
      <c r="I96">
        <v>5</v>
      </c>
      <c r="J96" t="s">
        <v>79</v>
      </c>
    </row>
    <row r="97" spans="1:10" x14ac:dyDescent="0.25">
      <c r="A97" t="s">
        <v>229</v>
      </c>
      <c r="B97" t="s">
        <v>76</v>
      </c>
      <c r="C97">
        <v>42.88</v>
      </c>
      <c r="D97" t="s">
        <v>101</v>
      </c>
      <c r="E97" s="1">
        <v>45785</v>
      </c>
      <c r="F97" s="1">
        <v>45792</v>
      </c>
      <c r="H97" t="s">
        <v>63</v>
      </c>
      <c r="I97">
        <v>3</v>
      </c>
      <c r="J97" t="s">
        <v>230</v>
      </c>
    </row>
    <row r="98" spans="1:10" x14ac:dyDescent="0.25">
      <c r="A98" t="s">
        <v>231</v>
      </c>
      <c r="B98" t="s">
        <v>39</v>
      </c>
      <c r="C98">
        <v>48.53</v>
      </c>
      <c r="D98" t="s">
        <v>62</v>
      </c>
      <c r="E98" s="1">
        <v>45786</v>
      </c>
      <c r="F98" s="1">
        <v>45794</v>
      </c>
      <c r="H98" t="s">
        <v>161</v>
      </c>
      <c r="I98">
        <v>1</v>
      </c>
      <c r="J98" t="s">
        <v>129</v>
      </c>
    </row>
    <row r="99" spans="1:10" x14ac:dyDescent="0.25">
      <c r="A99" t="s">
        <v>232</v>
      </c>
      <c r="B99" t="s">
        <v>39</v>
      </c>
      <c r="C99">
        <v>42.59</v>
      </c>
      <c r="D99" t="s">
        <v>83</v>
      </c>
      <c r="E99" s="1">
        <v>45786</v>
      </c>
      <c r="F99" s="1">
        <v>45793</v>
      </c>
      <c r="G99" s="1">
        <v>45798</v>
      </c>
      <c r="H99" t="s">
        <v>33</v>
      </c>
      <c r="I99">
        <v>1</v>
      </c>
      <c r="J99" t="s">
        <v>168</v>
      </c>
    </row>
    <row r="100" spans="1:10" x14ac:dyDescent="0.25">
      <c r="A100" t="s">
        <v>233</v>
      </c>
      <c r="B100" t="s">
        <v>61</v>
      </c>
      <c r="C100">
        <v>27.01</v>
      </c>
      <c r="D100" t="s">
        <v>62</v>
      </c>
      <c r="E100" s="1">
        <v>45785</v>
      </c>
      <c r="F100" s="1">
        <v>45791</v>
      </c>
      <c r="G100" s="1">
        <v>45789</v>
      </c>
      <c r="H100" t="s">
        <v>33</v>
      </c>
      <c r="I100">
        <v>4</v>
      </c>
      <c r="J100" t="s">
        <v>34</v>
      </c>
    </row>
    <row r="101" spans="1:10" x14ac:dyDescent="0.25">
      <c r="A101" t="s">
        <v>234</v>
      </c>
      <c r="B101" t="s">
        <v>31</v>
      </c>
      <c r="C101">
        <v>21.4</v>
      </c>
      <c r="D101" t="s">
        <v>40</v>
      </c>
      <c r="E101" s="1">
        <v>45787</v>
      </c>
      <c r="F101" s="1">
        <v>45792</v>
      </c>
      <c r="G101" s="1">
        <v>45790</v>
      </c>
      <c r="H101" t="s">
        <v>33</v>
      </c>
      <c r="I101">
        <v>4</v>
      </c>
      <c r="J101" t="s">
        <v>166</v>
      </c>
    </row>
    <row r="102" spans="1:10" x14ac:dyDescent="0.25">
      <c r="A102" t="s">
        <v>235</v>
      </c>
      <c r="B102" t="s">
        <v>61</v>
      </c>
      <c r="C102">
        <v>33.979999999999997</v>
      </c>
      <c r="D102" t="s">
        <v>126</v>
      </c>
      <c r="E102" s="1">
        <v>45786</v>
      </c>
      <c r="F102" s="1">
        <v>45796</v>
      </c>
      <c r="G102" s="1">
        <v>45797</v>
      </c>
      <c r="H102" t="s">
        <v>33</v>
      </c>
      <c r="I102">
        <v>3</v>
      </c>
      <c r="J102" t="s">
        <v>230</v>
      </c>
    </row>
    <row r="103" spans="1:10" x14ac:dyDescent="0.25">
      <c r="A103" t="s">
        <v>236</v>
      </c>
      <c r="B103" t="s">
        <v>31</v>
      </c>
      <c r="C103">
        <v>130.26</v>
      </c>
      <c r="D103" t="s">
        <v>62</v>
      </c>
      <c r="E103" s="1">
        <v>45786</v>
      </c>
      <c r="F103" s="1">
        <v>45793</v>
      </c>
      <c r="G103" s="1">
        <v>45788</v>
      </c>
      <c r="H103" t="s">
        <v>33</v>
      </c>
      <c r="I103">
        <v>4</v>
      </c>
      <c r="J103" t="s">
        <v>34</v>
      </c>
    </row>
    <row r="104" spans="1:10" x14ac:dyDescent="0.25">
      <c r="A104" t="s">
        <v>237</v>
      </c>
      <c r="B104" t="s">
        <v>61</v>
      </c>
      <c r="C104">
        <v>71.53</v>
      </c>
      <c r="D104" t="s">
        <v>47</v>
      </c>
      <c r="E104" s="1">
        <v>45786</v>
      </c>
      <c r="F104" s="1">
        <v>45793</v>
      </c>
      <c r="H104" t="s">
        <v>54</v>
      </c>
      <c r="I104">
        <v>3</v>
      </c>
      <c r="J104" t="s">
        <v>238</v>
      </c>
    </row>
    <row r="105" spans="1:10" x14ac:dyDescent="0.25">
      <c r="A105" t="s">
        <v>239</v>
      </c>
      <c r="B105" t="s">
        <v>39</v>
      </c>
      <c r="C105">
        <v>29.68</v>
      </c>
      <c r="D105" t="s">
        <v>40</v>
      </c>
      <c r="E105" s="1">
        <v>45786</v>
      </c>
      <c r="F105" s="1">
        <v>45791</v>
      </c>
      <c r="G105" s="1">
        <v>45790</v>
      </c>
      <c r="H105" t="s">
        <v>33</v>
      </c>
      <c r="I105">
        <v>5</v>
      </c>
      <c r="J105" t="s">
        <v>77</v>
      </c>
    </row>
    <row r="106" spans="1:10" x14ac:dyDescent="0.25">
      <c r="A106" t="s">
        <v>240</v>
      </c>
      <c r="B106" t="s">
        <v>61</v>
      </c>
      <c r="C106">
        <v>52.37</v>
      </c>
      <c r="D106" t="s">
        <v>97</v>
      </c>
      <c r="E106" s="1">
        <v>45787</v>
      </c>
      <c r="F106" s="1">
        <v>45796</v>
      </c>
      <c r="G106" s="1">
        <v>45801</v>
      </c>
      <c r="H106" t="s">
        <v>33</v>
      </c>
      <c r="I106">
        <v>2</v>
      </c>
      <c r="J106" t="s">
        <v>108</v>
      </c>
    </row>
    <row r="107" spans="1:10" x14ac:dyDescent="0.25">
      <c r="A107" t="s">
        <v>241</v>
      </c>
      <c r="B107" t="s">
        <v>39</v>
      </c>
      <c r="C107">
        <v>127.01</v>
      </c>
      <c r="D107" t="s">
        <v>126</v>
      </c>
      <c r="E107" s="1">
        <v>45787</v>
      </c>
      <c r="F107" s="1">
        <v>45795</v>
      </c>
      <c r="G107" s="1">
        <v>45799</v>
      </c>
      <c r="H107" t="s">
        <v>33</v>
      </c>
      <c r="I107">
        <v>2</v>
      </c>
      <c r="J107" t="s">
        <v>131</v>
      </c>
    </row>
    <row r="108" spans="1:10" x14ac:dyDescent="0.25">
      <c r="A108" t="s">
        <v>242</v>
      </c>
      <c r="B108" t="s">
        <v>39</v>
      </c>
      <c r="C108">
        <v>50.56</v>
      </c>
      <c r="D108" t="s">
        <v>40</v>
      </c>
      <c r="E108" s="1">
        <v>45787</v>
      </c>
      <c r="F108" s="1">
        <v>45793</v>
      </c>
      <c r="H108" t="s">
        <v>161</v>
      </c>
      <c r="I108">
        <v>3</v>
      </c>
      <c r="J108" t="s">
        <v>243</v>
      </c>
    </row>
    <row r="109" spans="1:10" x14ac:dyDescent="0.25">
      <c r="A109" t="s">
        <v>244</v>
      </c>
      <c r="B109" t="s">
        <v>61</v>
      </c>
      <c r="C109">
        <v>40.39</v>
      </c>
      <c r="D109" t="s">
        <v>68</v>
      </c>
      <c r="E109" s="1">
        <v>45788</v>
      </c>
      <c r="F109" s="1">
        <v>45795</v>
      </c>
      <c r="H109" t="s">
        <v>63</v>
      </c>
      <c r="I109">
        <v>3</v>
      </c>
      <c r="J109" t="s">
        <v>146</v>
      </c>
    </row>
    <row r="110" spans="1:10" x14ac:dyDescent="0.25">
      <c r="A110" t="s">
        <v>245</v>
      </c>
      <c r="B110" t="s">
        <v>31</v>
      </c>
      <c r="C110">
        <v>27.07</v>
      </c>
      <c r="D110" t="s">
        <v>97</v>
      </c>
      <c r="E110" s="1">
        <v>45788</v>
      </c>
      <c r="F110" s="1">
        <v>45794</v>
      </c>
      <c r="G110" s="1">
        <v>45793</v>
      </c>
      <c r="H110" t="s">
        <v>33</v>
      </c>
      <c r="I110">
        <v>5</v>
      </c>
      <c r="J110" t="s">
        <v>117</v>
      </c>
    </row>
    <row r="111" spans="1:10" x14ac:dyDescent="0.25">
      <c r="A111" t="s">
        <v>246</v>
      </c>
      <c r="B111" t="s">
        <v>31</v>
      </c>
      <c r="C111">
        <v>22.15</v>
      </c>
      <c r="D111" t="s">
        <v>150</v>
      </c>
      <c r="E111" s="1">
        <v>45787</v>
      </c>
      <c r="F111" s="1">
        <v>45792</v>
      </c>
      <c r="G111" s="1">
        <v>45792</v>
      </c>
      <c r="H111" t="s">
        <v>33</v>
      </c>
      <c r="I111">
        <v>5</v>
      </c>
      <c r="J111" t="s">
        <v>166</v>
      </c>
    </row>
    <row r="112" spans="1:10" x14ac:dyDescent="0.25">
      <c r="A112" t="s">
        <v>247</v>
      </c>
      <c r="B112" t="s">
        <v>76</v>
      </c>
      <c r="C112">
        <v>20.64</v>
      </c>
      <c r="D112" t="s">
        <v>47</v>
      </c>
      <c r="E112" s="1">
        <v>45787</v>
      </c>
      <c r="F112" s="1">
        <v>45793</v>
      </c>
      <c r="G112" s="1">
        <v>45795</v>
      </c>
      <c r="H112" t="s">
        <v>33</v>
      </c>
      <c r="I112">
        <v>1</v>
      </c>
      <c r="J112" t="s">
        <v>248</v>
      </c>
    </row>
    <row r="113" spans="1:10" x14ac:dyDescent="0.25">
      <c r="A113" t="s">
        <v>249</v>
      </c>
      <c r="B113" t="s">
        <v>39</v>
      </c>
      <c r="C113">
        <v>90.59</v>
      </c>
      <c r="D113" t="s">
        <v>40</v>
      </c>
      <c r="E113" s="1">
        <v>45787</v>
      </c>
      <c r="F113" s="1">
        <v>45795</v>
      </c>
      <c r="G113" s="1">
        <v>45789</v>
      </c>
      <c r="H113" t="s">
        <v>33</v>
      </c>
      <c r="I113">
        <v>4</v>
      </c>
      <c r="J113" t="s">
        <v>48</v>
      </c>
    </row>
    <row r="114" spans="1:10" x14ac:dyDescent="0.25">
      <c r="A114" t="s">
        <v>250</v>
      </c>
      <c r="B114" t="s">
        <v>31</v>
      </c>
      <c r="C114">
        <v>28.52</v>
      </c>
      <c r="D114" t="s">
        <v>47</v>
      </c>
      <c r="E114" s="1">
        <v>45789</v>
      </c>
      <c r="F114" s="1">
        <v>45799</v>
      </c>
      <c r="H114" t="s">
        <v>54</v>
      </c>
      <c r="I114">
        <v>4</v>
      </c>
      <c r="J114" t="s">
        <v>79</v>
      </c>
    </row>
    <row r="115" spans="1:10" x14ac:dyDescent="0.25">
      <c r="A115" t="s">
        <v>251</v>
      </c>
      <c r="B115" t="s">
        <v>31</v>
      </c>
      <c r="C115">
        <v>130.63</v>
      </c>
      <c r="D115" t="s">
        <v>83</v>
      </c>
      <c r="E115" s="1">
        <v>45788</v>
      </c>
      <c r="F115" s="1">
        <v>45797</v>
      </c>
      <c r="G115" s="1">
        <v>45791</v>
      </c>
      <c r="H115" t="s">
        <v>33</v>
      </c>
      <c r="I115">
        <v>5</v>
      </c>
      <c r="J115" t="s">
        <v>84</v>
      </c>
    </row>
    <row r="116" spans="1:10" x14ac:dyDescent="0.25">
      <c r="A116" t="s">
        <v>252</v>
      </c>
      <c r="B116" t="s">
        <v>61</v>
      </c>
      <c r="C116">
        <v>50.05</v>
      </c>
      <c r="D116" t="s">
        <v>62</v>
      </c>
      <c r="E116" s="1">
        <v>45788</v>
      </c>
      <c r="F116" s="1">
        <v>45795</v>
      </c>
      <c r="G116" s="1">
        <v>45792</v>
      </c>
      <c r="H116" t="s">
        <v>33</v>
      </c>
      <c r="I116">
        <v>5</v>
      </c>
      <c r="J116" t="s">
        <v>211</v>
      </c>
    </row>
    <row r="117" spans="1:10" x14ac:dyDescent="0.25">
      <c r="A117" t="s">
        <v>253</v>
      </c>
      <c r="B117" t="s">
        <v>76</v>
      </c>
      <c r="C117">
        <v>33.9</v>
      </c>
      <c r="D117" t="s">
        <v>133</v>
      </c>
      <c r="E117" s="1">
        <v>45789</v>
      </c>
      <c r="F117" s="1">
        <v>45799</v>
      </c>
      <c r="G117" s="1">
        <v>45794</v>
      </c>
      <c r="H117" t="s">
        <v>33</v>
      </c>
      <c r="I117">
        <v>5</v>
      </c>
      <c r="J117" t="s">
        <v>77</v>
      </c>
    </row>
    <row r="118" spans="1:10" x14ac:dyDescent="0.25">
      <c r="A118" t="s">
        <v>254</v>
      </c>
      <c r="B118" t="s">
        <v>39</v>
      </c>
      <c r="C118">
        <v>59.16</v>
      </c>
      <c r="D118" t="s">
        <v>62</v>
      </c>
      <c r="E118" s="1">
        <v>45789</v>
      </c>
      <c r="F118" s="1">
        <v>45799</v>
      </c>
      <c r="G118" s="1">
        <v>45799</v>
      </c>
      <c r="H118" t="s">
        <v>33</v>
      </c>
      <c r="I118">
        <v>4</v>
      </c>
      <c r="J118" t="s">
        <v>48</v>
      </c>
    </row>
    <row r="119" spans="1:10" x14ac:dyDescent="0.25">
      <c r="A119" t="s">
        <v>255</v>
      </c>
      <c r="B119" t="s">
        <v>39</v>
      </c>
      <c r="C119">
        <v>24.26</v>
      </c>
      <c r="D119" t="s">
        <v>40</v>
      </c>
      <c r="E119" s="1">
        <v>45789</v>
      </c>
      <c r="F119" s="1">
        <v>45796</v>
      </c>
      <c r="G119" s="1">
        <v>45791</v>
      </c>
      <c r="H119" t="s">
        <v>33</v>
      </c>
      <c r="I119">
        <v>5</v>
      </c>
      <c r="J119" t="s">
        <v>119</v>
      </c>
    </row>
    <row r="120" spans="1:10" x14ac:dyDescent="0.25">
      <c r="A120" t="s">
        <v>256</v>
      </c>
      <c r="B120" t="s">
        <v>61</v>
      </c>
      <c r="C120">
        <v>74.39</v>
      </c>
      <c r="D120" t="s">
        <v>150</v>
      </c>
      <c r="E120" s="1">
        <v>45790</v>
      </c>
      <c r="F120" s="1">
        <v>45800</v>
      </c>
      <c r="G120" s="1">
        <v>45797</v>
      </c>
      <c r="H120" t="s">
        <v>33</v>
      </c>
      <c r="I120">
        <v>4</v>
      </c>
      <c r="J120" t="s">
        <v>48</v>
      </c>
    </row>
    <row r="121" spans="1:10" x14ac:dyDescent="0.25">
      <c r="A121" t="s">
        <v>257</v>
      </c>
      <c r="B121" t="s">
        <v>61</v>
      </c>
      <c r="C121">
        <v>38.75</v>
      </c>
      <c r="D121" t="s">
        <v>62</v>
      </c>
      <c r="E121" s="1">
        <v>45790</v>
      </c>
      <c r="F121" s="1">
        <v>45796</v>
      </c>
      <c r="G121" s="1">
        <v>45800</v>
      </c>
      <c r="H121" t="s">
        <v>33</v>
      </c>
      <c r="I121">
        <v>2</v>
      </c>
      <c r="J121" t="s">
        <v>258</v>
      </c>
    </row>
    <row r="122" spans="1:10" x14ac:dyDescent="0.25">
      <c r="A122" t="s">
        <v>259</v>
      </c>
      <c r="B122" t="s">
        <v>61</v>
      </c>
      <c r="C122">
        <v>59.17</v>
      </c>
      <c r="D122" t="s">
        <v>126</v>
      </c>
      <c r="E122" s="1">
        <v>45790</v>
      </c>
      <c r="F122" s="1">
        <v>45798</v>
      </c>
      <c r="G122" s="1">
        <v>45797</v>
      </c>
      <c r="H122" t="s">
        <v>33</v>
      </c>
      <c r="I122">
        <v>4</v>
      </c>
      <c r="J122" t="s">
        <v>112</v>
      </c>
    </row>
    <row r="123" spans="1:10" x14ac:dyDescent="0.25">
      <c r="A123" t="s">
        <v>260</v>
      </c>
      <c r="B123" t="s">
        <v>76</v>
      </c>
      <c r="C123">
        <v>115.54</v>
      </c>
      <c r="D123" t="s">
        <v>150</v>
      </c>
      <c r="E123" s="1">
        <v>45790</v>
      </c>
      <c r="F123" s="1">
        <v>45795</v>
      </c>
      <c r="G123" s="1">
        <v>45793</v>
      </c>
      <c r="H123" t="s">
        <v>33</v>
      </c>
      <c r="I123">
        <v>4</v>
      </c>
      <c r="J123" t="s">
        <v>41</v>
      </c>
    </row>
    <row r="124" spans="1:10" x14ac:dyDescent="0.25">
      <c r="A124" t="s">
        <v>261</v>
      </c>
      <c r="B124" t="s">
        <v>76</v>
      </c>
      <c r="C124">
        <v>17.260000000000002</v>
      </c>
      <c r="D124" t="s">
        <v>47</v>
      </c>
      <c r="E124" s="1">
        <v>45791</v>
      </c>
      <c r="F124" s="1">
        <v>45801</v>
      </c>
      <c r="G124" s="1">
        <v>45797</v>
      </c>
      <c r="H124" t="s">
        <v>33</v>
      </c>
      <c r="I124">
        <v>4</v>
      </c>
      <c r="J124" t="s">
        <v>69</v>
      </c>
    </row>
    <row r="125" spans="1:10" x14ac:dyDescent="0.25">
      <c r="A125" t="s">
        <v>262</v>
      </c>
      <c r="B125" t="s">
        <v>39</v>
      </c>
      <c r="C125">
        <v>16.579999999999998</v>
      </c>
      <c r="D125" t="s">
        <v>62</v>
      </c>
      <c r="E125" s="1">
        <v>45792</v>
      </c>
      <c r="F125" s="1">
        <v>45799</v>
      </c>
      <c r="G125" s="1">
        <v>45799</v>
      </c>
      <c r="H125" t="s">
        <v>33</v>
      </c>
      <c r="I125">
        <v>5</v>
      </c>
      <c r="J125" t="s">
        <v>117</v>
      </c>
    </row>
    <row r="126" spans="1:10" x14ac:dyDescent="0.25">
      <c r="A126" t="s">
        <v>263</v>
      </c>
      <c r="B126" t="s">
        <v>39</v>
      </c>
      <c r="C126">
        <v>24.28</v>
      </c>
      <c r="D126" t="s">
        <v>264</v>
      </c>
      <c r="E126" s="1">
        <v>45791</v>
      </c>
      <c r="F126" s="1">
        <v>45801</v>
      </c>
      <c r="H126" t="s">
        <v>54</v>
      </c>
      <c r="I126">
        <v>4</v>
      </c>
      <c r="J126" t="s">
        <v>41</v>
      </c>
    </row>
    <row r="127" spans="1:10" x14ac:dyDescent="0.25">
      <c r="A127" t="s">
        <v>265</v>
      </c>
      <c r="B127" t="s">
        <v>76</v>
      </c>
      <c r="C127">
        <v>16.98</v>
      </c>
      <c r="D127" t="s">
        <v>47</v>
      </c>
      <c r="E127" s="1">
        <v>45791</v>
      </c>
      <c r="F127" s="1">
        <v>45798</v>
      </c>
      <c r="G127" s="1">
        <v>45798</v>
      </c>
      <c r="H127" t="s">
        <v>33</v>
      </c>
      <c r="I127">
        <v>5</v>
      </c>
      <c r="J127" t="s">
        <v>117</v>
      </c>
    </row>
    <row r="128" spans="1:10" x14ac:dyDescent="0.25">
      <c r="A128" t="s">
        <v>266</v>
      </c>
      <c r="B128" t="s">
        <v>31</v>
      </c>
      <c r="C128">
        <v>59.38</v>
      </c>
      <c r="D128" t="s">
        <v>264</v>
      </c>
      <c r="E128" s="1">
        <v>45791</v>
      </c>
      <c r="F128" s="1">
        <v>45799</v>
      </c>
      <c r="H128" t="s">
        <v>54</v>
      </c>
      <c r="I128">
        <v>2</v>
      </c>
      <c r="J128" t="s">
        <v>153</v>
      </c>
    </row>
    <row r="129" spans="1:10" x14ac:dyDescent="0.25">
      <c r="A129" t="s">
        <v>267</v>
      </c>
      <c r="B129" t="s">
        <v>39</v>
      </c>
      <c r="C129">
        <v>36.69</v>
      </c>
      <c r="D129" t="s">
        <v>68</v>
      </c>
      <c r="E129" s="1">
        <v>45792</v>
      </c>
      <c r="F129" s="1">
        <v>45797</v>
      </c>
      <c r="H129" t="s">
        <v>63</v>
      </c>
      <c r="I129">
        <v>1</v>
      </c>
      <c r="J129" t="s">
        <v>153</v>
      </c>
    </row>
    <row r="130" spans="1:10" x14ac:dyDescent="0.25">
      <c r="A130" t="s">
        <v>268</v>
      </c>
      <c r="B130" t="s">
        <v>61</v>
      </c>
      <c r="C130">
        <v>103.31</v>
      </c>
      <c r="D130" t="s">
        <v>97</v>
      </c>
      <c r="E130" s="1">
        <v>45792</v>
      </c>
      <c r="F130" s="1">
        <v>45801</v>
      </c>
      <c r="G130" s="1">
        <v>45797</v>
      </c>
      <c r="H130" t="s">
        <v>33</v>
      </c>
      <c r="I130">
        <v>4</v>
      </c>
      <c r="J130" t="s">
        <v>112</v>
      </c>
    </row>
    <row r="131" spans="1:10" x14ac:dyDescent="0.25">
      <c r="A131" t="s">
        <v>269</v>
      </c>
      <c r="B131" t="s">
        <v>31</v>
      </c>
      <c r="C131">
        <v>22.44</v>
      </c>
      <c r="D131" t="s">
        <v>68</v>
      </c>
      <c r="E131" s="1">
        <v>45792</v>
      </c>
      <c r="F131" s="1">
        <v>45797</v>
      </c>
      <c r="G131" s="1">
        <v>45795</v>
      </c>
      <c r="H131" t="s">
        <v>33</v>
      </c>
      <c r="I131">
        <v>4</v>
      </c>
      <c r="J131" t="s">
        <v>77</v>
      </c>
    </row>
    <row r="132" spans="1:10" x14ac:dyDescent="0.25">
      <c r="A132" t="s">
        <v>270</v>
      </c>
      <c r="B132" t="s">
        <v>76</v>
      </c>
      <c r="C132">
        <v>63.74</v>
      </c>
      <c r="D132" t="s">
        <v>97</v>
      </c>
      <c r="E132" s="1">
        <v>45793</v>
      </c>
      <c r="F132" s="1">
        <v>45801</v>
      </c>
      <c r="G132" s="1">
        <v>45795</v>
      </c>
      <c r="H132" t="s">
        <v>33</v>
      </c>
      <c r="I132">
        <v>5</v>
      </c>
      <c r="J132" t="s">
        <v>112</v>
      </c>
    </row>
    <row r="133" spans="1:10" x14ac:dyDescent="0.25">
      <c r="A133" t="s">
        <v>271</v>
      </c>
      <c r="B133" t="s">
        <v>39</v>
      </c>
      <c r="C133">
        <v>111.63</v>
      </c>
      <c r="D133" t="s">
        <v>40</v>
      </c>
      <c r="E133" s="1">
        <v>45793</v>
      </c>
      <c r="F133" s="1">
        <v>45802</v>
      </c>
      <c r="G133" s="1">
        <v>45800</v>
      </c>
      <c r="H133" t="s">
        <v>33</v>
      </c>
      <c r="I133">
        <v>5</v>
      </c>
      <c r="J133" t="s">
        <v>172</v>
      </c>
    </row>
    <row r="134" spans="1:10" x14ac:dyDescent="0.25">
      <c r="A134" t="s">
        <v>272</v>
      </c>
      <c r="B134" t="s">
        <v>76</v>
      </c>
      <c r="C134">
        <v>118.31</v>
      </c>
      <c r="D134" t="s">
        <v>47</v>
      </c>
      <c r="E134" s="1">
        <v>45792</v>
      </c>
      <c r="F134" s="1">
        <v>45802</v>
      </c>
      <c r="G134" s="1">
        <v>45797</v>
      </c>
      <c r="H134" t="s">
        <v>33</v>
      </c>
      <c r="I134">
        <v>5</v>
      </c>
      <c r="J134" t="s">
        <v>69</v>
      </c>
    </row>
    <row r="135" spans="1:10" x14ac:dyDescent="0.25">
      <c r="A135" t="s">
        <v>273</v>
      </c>
      <c r="B135" t="s">
        <v>39</v>
      </c>
      <c r="C135">
        <v>38.409999999999997</v>
      </c>
      <c r="D135" t="s">
        <v>47</v>
      </c>
      <c r="E135" s="1">
        <v>45793</v>
      </c>
      <c r="F135" s="1">
        <v>45801</v>
      </c>
      <c r="G135" s="1">
        <v>45799</v>
      </c>
      <c r="H135" t="s">
        <v>33</v>
      </c>
      <c r="I135">
        <v>5</v>
      </c>
      <c r="J135" t="s">
        <v>117</v>
      </c>
    </row>
    <row r="136" spans="1:10" x14ac:dyDescent="0.25">
      <c r="A136" t="s">
        <v>274</v>
      </c>
      <c r="B136" t="s">
        <v>61</v>
      </c>
      <c r="C136">
        <v>53.12</v>
      </c>
      <c r="D136" t="s">
        <v>157</v>
      </c>
      <c r="E136" s="1">
        <v>45793</v>
      </c>
      <c r="F136" s="1">
        <v>45799</v>
      </c>
      <c r="H136" t="s">
        <v>54</v>
      </c>
      <c r="I136">
        <v>4</v>
      </c>
      <c r="J136" t="s">
        <v>112</v>
      </c>
    </row>
    <row r="137" spans="1:10" x14ac:dyDescent="0.25">
      <c r="A137" t="s">
        <v>275</v>
      </c>
      <c r="B137" t="s">
        <v>39</v>
      </c>
      <c r="C137">
        <v>87.81</v>
      </c>
      <c r="D137" t="s">
        <v>101</v>
      </c>
      <c r="E137" s="1">
        <v>45793</v>
      </c>
      <c r="F137" s="1">
        <v>45803</v>
      </c>
      <c r="H137" t="s">
        <v>54</v>
      </c>
      <c r="I137">
        <v>3</v>
      </c>
      <c r="J137" t="s">
        <v>243</v>
      </c>
    </row>
    <row r="138" spans="1:10" x14ac:dyDescent="0.25">
      <c r="A138" t="s">
        <v>276</v>
      </c>
      <c r="B138" t="s">
        <v>39</v>
      </c>
      <c r="C138">
        <v>141.05000000000001</v>
      </c>
      <c r="D138" t="s">
        <v>62</v>
      </c>
      <c r="E138" s="1">
        <v>45794</v>
      </c>
      <c r="F138" s="1">
        <v>45799</v>
      </c>
      <c r="G138" s="1">
        <v>45801</v>
      </c>
      <c r="H138" t="s">
        <v>33</v>
      </c>
      <c r="I138">
        <v>2</v>
      </c>
      <c r="J138" t="s">
        <v>180</v>
      </c>
    </row>
    <row r="139" spans="1:10" x14ac:dyDescent="0.25">
      <c r="A139" t="s">
        <v>277</v>
      </c>
      <c r="B139" t="s">
        <v>76</v>
      </c>
      <c r="C139">
        <v>138.19999999999999</v>
      </c>
      <c r="D139" t="s">
        <v>40</v>
      </c>
      <c r="E139" s="1">
        <v>45794</v>
      </c>
      <c r="F139" s="1">
        <v>45801</v>
      </c>
      <c r="G139" s="1">
        <v>45800</v>
      </c>
      <c r="H139" t="s">
        <v>33</v>
      </c>
      <c r="I139">
        <v>4</v>
      </c>
      <c r="J139" t="s">
        <v>34</v>
      </c>
    </row>
    <row r="140" spans="1:10" x14ac:dyDescent="0.25">
      <c r="A140" t="s">
        <v>278</v>
      </c>
      <c r="B140" t="s">
        <v>31</v>
      </c>
      <c r="C140">
        <v>32.61</v>
      </c>
      <c r="D140" t="s">
        <v>40</v>
      </c>
      <c r="E140" s="1">
        <v>45794</v>
      </c>
      <c r="F140" s="1">
        <v>45801</v>
      </c>
      <c r="G140" s="1">
        <v>45799</v>
      </c>
      <c r="H140" t="s">
        <v>33</v>
      </c>
      <c r="I140">
        <v>5</v>
      </c>
      <c r="J140" t="s">
        <v>211</v>
      </c>
    </row>
    <row r="141" spans="1:10" x14ac:dyDescent="0.25">
      <c r="A141" t="s">
        <v>279</v>
      </c>
      <c r="B141" t="s">
        <v>39</v>
      </c>
      <c r="C141">
        <v>148.13999999999999</v>
      </c>
      <c r="D141" t="s">
        <v>32</v>
      </c>
      <c r="E141" s="1">
        <v>45794</v>
      </c>
      <c r="F141" s="1">
        <v>45800</v>
      </c>
      <c r="G141" s="1">
        <v>45799</v>
      </c>
      <c r="H141" t="s">
        <v>33</v>
      </c>
      <c r="I141">
        <v>5</v>
      </c>
      <c r="J141" t="s">
        <v>112</v>
      </c>
    </row>
    <row r="142" spans="1:10" x14ac:dyDescent="0.25">
      <c r="A142" t="s">
        <v>280</v>
      </c>
      <c r="B142" t="s">
        <v>39</v>
      </c>
      <c r="C142">
        <v>137.77000000000001</v>
      </c>
      <c r="D142" t="s">
        <v>99</v>
      </c>
      <c r="E142" s="1">
        <v>45796</v>
      </c>
      <c r="F142" s="1">
        <v>45802</v>
      </c>
      <c r="G142" s="1">
        <v>45799</v>
      </c>
      <c r="H142" t="s">
        <v>33</v>
      </c>
      <c r="I142">
        <v>4</v>
      </c>
      <c r="J142" t="s">
        <v>41</v>
      </c>
    </row>
    <row r="143" spans="1:10" x14ac:dyDescent="0.25">
      <c r="A143" t="s">
        <v>281</v>
      </c>
      <c r="B143" t="s">
        <v>61</v>
      </c>
      <c r="C143">
        <v>17.649999999999999</v>
      </c>
      <c r="D143" t="s">
        <v>47</v>
      </c>
      <c r="E143" s="1">
        <v>45797</v>
      </c>
      <c r="F143" s="1">
        <v>45802</v>
      </c>
      <c r="G143" s="1">
        <v>45799</v>
      </c>
      <c r="H143" t="s">
        <v>33</v>
      </c>
      <c r="I143">
        <v>4</v>
      </c>
      <c r="J143" t="s">
        <v>119</v>
      </c>
    </row>
    <row r="144" spans="1:10" x14ac:dyDescent="0.25">
      <c r="A144" t="s">
        <v>282</v>
      </c>
      <c r="B144" t="s">
        <v>76</v>
      </c>
      <c r="C144">
        <v>128.06</v>
      </c>
      <c r="D144" t="s">
        <v>97</v>
      </c>
      <c r="E144" s="1">
        <v>45796</v>
      </c>
      <c r="F144" s="1">
        <v>45805</v>
      </c>
      <c r="G144" s="1">
        <v>45800</v>
      </c>
      <c r="H144" t="s">
        <v>33</v>
      </c>
      <c r="I144">
        <v>5</v>
      </c>
      <c r="J144" t="s">
        <v>119</v>
      </c>
    </row>
    <row r="145" spans="1:10" x14ac:dyDescent="0.25">
      <c r="A145" t="s">
        <v>283</v>
      </c>
      <c r="B145" t="s">
        <v>39</v>
      </c>
      <c r="C145">
        <v>58.93</v>
      </c>
      <c r="D145" t="s">
        <v>40</v>
      </c>
      <c r="E145" s="1">
        <v>45797</v>
      </c>
      <c r="F145" s="1">
        <v>45803</v>
      </c>
      <c r="G145" s="1">
        <v>45799</v>
      </c>
      <c r="H145" t="s">
        <v>33</v>
      </c>
      <c r="I145">
        <v>5</v>
      </c>
      <c r="J145" t="s">
        <v>84</v>
      </c>
    </row>
    <row r="146" spans="1:10" x14ac:dyDescent="0.25">
      <c r="A146" t="s">
        <v>284</v>
      </c>
      <c r="B146" t="s">
        <v>61</v>
      </c>
      <c r="C146">
        <v>126.27</v>
      </c>
      <c r="D146" t="s">
        <v>47</v>
      </c>
      <c r="E146" s="1">
        <v>45798</v>
      </c>
      <c r="F146" s="1">
        <v>45803</v>
      </c>
      <c r="G146" s="1">
        <v>45800</v>
      </c>
      <c r="H146" t="s">
        <v>33</v>
      </c>
      <c r="I146">
        <v>5</v>
      </c>
      <c r="J146" t="s">
        <v>172</v>
      </c>
    </row>
    <row r="147" spans="1:10" x14ac:dyDescent="0.25">
      <c r="A147" t="s">
        <v>285</v>
      </c>
      <c r="B147" t="s">
        <v>76</v>
      </c>
      <c r="C147">
        <v>108.18</v>
      </c>
      <c r="D147" t="s">
        <v>264</v>
      </c>
      <c r="E147" s="1">
        <v>45798</v>
      </c>
      <c r="F147" s="1">
        <v>45803</v>
      </c>
      <c r="G147" s="1">
        <v>45805</v>
      </c>
      <c r="H147" t="s">
        <v>33</v>
      </c>
      <c r="I147">
        <v>2</v>
      </c>
      <c r="J147" t="s">
        <v>258</v>
      </c>
    </row>
    <row r="148" spans="1:10" x14ac:dyDescent="0.25">
      <c r="A148" t="s">
        <v>286</v>
      </c>
      <c r="B148" t="s">
        <v>76</v>
      </c>
      <c r="C148">
        <v>139.93</v>
      </c>
      <c r="D148" t="s">
        <v>133</v>
      </c>
      <c r="E148" s="1">
        <v>45798</v>
      </c>
      <c r="F148" s="1">
        <v>45806</v>
      </c>
      <c r="G148" s="1">
        <v>45801</v>
      </c>
      <c r="H148" t="s">
        <v>33</v>
      </c>
      <c r="I148">
        <v>5</v>
      </c>
      <c r="J148" t="s">
        <v>112</v>
      </c>
    </row>
    <row r="149" spans="1:10" x14ac:dyDescent="0.25">
      <c r="A149" t="s">
        <v>287</v>
      </c>
      <c r="B149" t="s">
        <v>39</v>
      </c>
      <c r="C149">
        <v>66.64</v>
      </c>
      <c r="D149" t="s">
        <v>62</v>
      </c>
      <c r="E149" s="1">
        <v>45798</v>
      </c>
      <c r="F149" s="1">
        <v>45804</v>
      </c>
      <c r="G149" s="1">
        <v>45807</v>
      </c>
      <c r="H149" t="s">
        <v>33</v>
      </c>
      <c r="I149">
        <v>1</v>
      </c>
      <c r="J149" t="s">
        <v>258</v>
      </c>
    </row>
    <row r="150" spans="1:10" x14ac:dyDescent="0.25">
      <c r="A150" t="s">
        <v>288</v>
      </c>
      <c r="B150" t="s">
        <v>76</v>
      </c>
      <c r="C150">
        <v>22.13</v>
      </c>
      <c r="D150" t="s">
        <v>62</v>
      </c>
      <c r="E150" s="1">
        <v>45799</v>
      </c>
      <c r="F150" s="1">
        <v>45809</v>
      </c>
      <c r="G150" s="1">
        <v>45804</v>
      </c>
      <c r="H150" t="s">
        <v>33</v>
      </c>
      <c r="I150">
        <v>4</v>
      </c>
      <c r="J150" t="s">
        <v>41</v>
      </c>
    </row>
    <row r="151" spans="1:10" x14ac:dyDescent="0.25">
      <c r="A151" t="s">
        <v>289</v>
      </c>
      <c r="B151" t="s">
        <v>31</v>
      </c>
      <c r="C151">
        <v>71.75</v>
      </c>
      <c r="D151" t="s">
        <v>47</v>
      </c>
      <c r="E151" s="1">
        <v>45799</v>
      </c>
      <c r="F151" s="1">
        <v>45805</v>
      </c>
      <c r="H151" t="s">
        <v>63</v>
      </c>
      <c r="I151">
        <v>2</v>
      </c>
      <c r="J151" t="s">
        <v>258</v>
      </c>
    </row>
    <row r="152" spans="1:10" x14ac:dyDescent="0.25">
      <c r="A152" t="s">
        <v>290</v>
      </c>
      <c r="B152" t="s">
        <v>39</v>
      </c>
      <c r="C152">
        <v>61.26</v>
      </c>
      <c r="D152" t="s">
        <v>126</v>
      </c>
      <c r="E152" s="1">
        <v>45799</v>
      </c>
      <c r="F152" s="1">
        <v>45809</v>
      </c>
      <c r="H152" t="s">
        <v>54</v>
      </c>
      <c r="I152">
        <v>2</v>
      </c>
      <c r="J152" t="s">
        <v>180</v>
      </c>
    </row>
    <row r="153" spans="1:10" x14ac:dyDescent="0.25">
      <c r="A153" t="s">
        <v>291</v>
      </c>
      <c r="B153" t="s">
        <v>76</v>
      </c>
      <c r="C153">
        <v>113.79</v>
      </c>
      <c r="D153" t="s">
        <v>150</v>
      </c>
      <c r="E153" s="1">
        <v>45800</v>
      </c>
      <c r="F153" s="1">
        <v>45805</v>
      </c>
      <c r="H153" t="s">
        <v>63</v>
      </c>
      <c r="I153">
        <v>2</v>
      </c>
      <c r="J153" t="s">
        <v>180</v>
      </c>
    </row>
    <row r="154" spans="1:10" x14ac:dyDescent="0.25">
      <c r="A154" t="s">
        <v>292</v>
      </c>
      <c r="B154" t="s">
        <v>76</v>
      </c>
      <c r="C154">
        <v>19.82</v>
      </c>
      <c r="D154" t="s">
        <v>264</v>
      </c>
      <c r="E154" s="1">
        <v>45799</v>
      </c>
      <c r="F154" s="1">
        <v>45807</v>
      </c>
      <c r="H154" t="s">
        <v>63</v>
      </c>
      <c r="I154">
        <v>2</v>
      </c>
      <c r="J154" t="s">
        <v>140</v>
      </c>
    </row>
    <row r="155" spans="1:10" x14ac:dyDescent="0.25">
      <c r="A155" t="s">
        <v>293</v>
      </c>
      <c r="B155" t="s">
        <v>76</v>
      </c>
      <c r="C155">
        <v>29.58</v>
      </c>
      <c r="D155" t="s">
        <v>157</v>
      </c>
      <c r="E155" s="1">
        <v>45800</v>
      </c>
      <c r="F155" s="1">
        <v>45808</v>
      </c>
      <c r="G155" s="1">
        <v>45803</v>
      </c>
      <c r="H155" t="s">
        <v>33</v>
      </c>
      <c r="I155">
        <v>5</v>
      </c>
      <c r="J155" t="s">
        <v>117</v>
      </c>
    </row>
    <row r="156" spans="1:10" x14ac:dyDescent="0.25">
      <c r="A156" t="s">
        <v>294</v>
      </c>
      <c r="B156" t="s">
        <v>39</v>
      </c>
      <c r="C156">
        <v>18.37</v>
      </c>
      <c r="D156" t="s">
        <v>40</v>
      </c>
      <c r="E156" s="1">
        <v>45799</v>
      </c>
      <c r="F156" s="1">
        <v>45806</v>
      </c>
      <c r="G156" s="1">
        <v>45810</v>
      </c>
      <c r="H156" t="s">
        <v>33</v>
      </c>
      <c r="I156">
        <v>2</v>
      </c>
      <c r="J156" t="s">
        <v>180</v>
      </c>
    </row>
    <row r="157" spans="1:10" x14ac:dyDescent="0.25">
      <c r="A157" t="s">
        <v>295</v>
      </c>
      <c r="B157" t="s">
        <v>39</v>
      </c>
      <c r="C157">
        <v>57.9</v>
      </c>
      <c r="D157" t="s">
        <v>126</v>
      </c>
      <c r="E157" s="1">
        <v>45800</v>
      </c>
      <c r="F157" s="1">
        <v>45810</v>
      </c>
      <c r="G157" s="1">
        <v>45809</v>
      </c>
      <c r="H157" t="s">
        <v>33</v>
      </c>
      <c r="I157">
        <v>5</v>
      </c>
      <c r="J157" t="s">
        <v>134</v>
      </c>
    </row>
    <row r="158" spans="1:10" x14ac:dyDescent="0.25">
      <c r="A158" t="s">
        <v>296</v>
      </c>
      <c r="B158" t="s">
        <v>76</v>
      </c>
      <c r="C158">
        <v>144.69999999999999</v>
      </c>
      <c r="D158" t="s">
        <v>97</v>
      </c>
      <c r="E158" s="1">
        <v>45801</v>
      </c>
      <c r="F158" s="1">
        <v>45807</v>
      </c>
      <c r="G158" s="1">
        <v>45812</v>
      </c>
      <c r="H158" t="s">
        <v>33</v>
      </c>
      <c r="I158">
        <v>3</v>
      </c>
      <c r="J158" t="s">
        <v>146</v>
      </c>
    </row>
    <row r="159" spans="1:10" x14ac:dyDescent="0.25">
      <c r="A159" t="s">
        <v>297</v>
      </c>
      <c r="B159" t="s">
        <v>39</v>
      </c>
      <c r="C159">
        <v>58.28</v>
      </c>
      <c r="D159" t="s">
        <v>133</v>
      </c>
      <c r="E159" s="1">
        <v>45800</v>
      </c>
      <c r="F159" s="1">
        <v>45810</v>
      </c>
      <c r="G159" s="1">
        <v>45815</v>
      </c>
      <c r="H159" t="s">
        <v>33</v>
      </c>
      <c r="I159">
        <v>3</v>
      </c>
      <c r="J159" t="s">
        <v>121</v>
      </c>
    </row>
    <row r="160" spans="1:10" x14ac:dyDescent="0.25">
      <c r="A160" t="s">
        <v>298</v>
      </c>
      <c r="B160" t="s">
        <v>39</v>
      </c>
      <c r="C160">
        <v>115.09</v>
      </c>
      <c r="D160" t="s">
        <v>97</v>
      </c>
      <c r="E160" s="1">
        <v>45802</v>
      </c>
      <c r="F160" s="1">
        <v>45809</v>
      </c>
      <c r="G160" s="1">
        <v>45809</v>
      </c>
      <c r="H160" t="s">
        <v>33</v>
      </c>
      <c r="I160">
        <v>5</v>
      </c>
      <c r="J160" t="s">
        <v>79</v>
      </c>
    </row>
    <row r="161" spans="1:10" x14ac:dyDescent="0.25">
      <c r="A161" t="s">
        <v>299</v>
      </c>
      <c r="B161" t="s">
        <v>31</v>
      </c>
      <c r="C161">
        <v>67.62</v>
      </c>
      <c r="D161" t="s">
        <v>32</v>
      </c>
      <c r="E161" s="1">
        <v>45801</v>
      </c>
      <c r="F161" s="1">
        <v>45807</v>
      </c>
      <c r="G161" s="1">
        <v>45804</v>
      </c>
      <c r="H161" t="s">
        <v>33</v>
      </c>
      <c r="I161">
        <v>5</v>
      </c>
      <c r="J161" t="s">
        <v>34</v>
      </c>
    </row>
    <row r="162" spans="1:10" x14ac:dyDescent="0.25">
      <c r="A162" t="s">
        <v>300</v>
      </c>
      <c r="B162" t="s">
        <v>61</v>
      </c>
      <c r="C162">
        <v>84.71</v>
      </c>
      <c r="D162" t="s">
        <v>47</v>
      </c>
      <c r="E162" s="1">
        <v>45803</v>
      </c>
      <c r="F162" s="1">
        <v>45810</v>
      </c>
      <c r="G162" s="1">
        <v>45808</v>
      </c>
      <c r="H162" t="s">
        <v>33</v>
      </c>
      <c r="I162">
        <v>4</v>
      </c>
      <c r="J162" t="s">
        <v>84</v>
      </c>
    </row>
    <row r="163" spans="1:10" x14ac:dyDescent="0.25">
      <c r="A163" t="s">
        <v>301</v>
      </c>
      <c r="B163" t="s">
        <v>31</v>
      </c>
      <c r="C163">
        <v>45.9</v>
      </c>
      <c r="D163" t="s">
        <v>83</v>
      </c>
      <c r="E163" s="1">
        <v>45803</v>
      </c>
      <c r="F163" s="1">
        <v>45811</v>
      </c>
      <c r="G163" s="1">
        <v>45815</v>
      </c>
      <c r="H163" t="s">
        <v>33</v>
      </c>
      <c r="I163">
        <v>1</v>
      </c>
      <c r="J163" t="s">
        <v>180</v>
      </c>
    </row>
    <row r="164" spans="1:10" x14ac:dyDescent="0.25">
      <c r="A164" t="s">
        <v>302</v>
      </c>
      <c r="B164" t="s">
        <v>39</v>
      </c>
      <c r="C164">
        <v>34.6</v>
      </c>
      <c r="D164" t="s">
        <v>40</v>
      </c>
      <c r="E164" s="1">
        <v>45802</v>
      </c>
      <c r="F164" s="1">
        <v>45809</v>
      </c>
      <c r="G164" s="1">
        <v>45807</v>
      </c>
      <c r="H164" t="s">
        <v>33</v>
      </c>
      <c r="I164">
        <v>4</v>
      </c>
      <c r="J164" t="s">
        <v>166</v>
      </c>
    </row>
    <row r="165" spans="1:10" x14ac:dyDescent="0.25">
      <c r="A165" t="s">
        <v>303</v>
      </c>
      <c r="B165" t="s">
        <v>61</v>
      </c>
      <c r="C165">
        <v>77.75</v>
      </c>
      <c r="D165" t="s">
        <v>99</v>
      </c>
      <c r="E165" s="1">
        <v>45802</v>
      </c>
      <c r="F165" s="1">
        <v>45810</v>
      </c>
      <c r="G165" s="1">
        <v>45808</v>
      </c>
      <c r="H165" t="s">
        <v>33</v>
      </c>
      <c r="I165">
        <v>5</v>
      </c>
      <c r="J165" t="s">
        <v>172</v>
      </c>
    </row>
    <row r="166" spans="1:10" x14ac:dyDescent="0.25">
      <c r="A166" t="s">
        <v>304</v>
      </c>
      <c r="B166" t="s">
        <v>61</v>
      </c>
      <c r="C166">
        <v>98.64</v>
      </c>
      <c r="D166" t="s">
        <v>62</v>
      </c>
      <c r="E166" s="1">
        <v>45804</v>
      </c>
      <c r="F166" s="1">
        <v>45813</v>
      </c>
      <c r="G166" s="1">
        <v>45812</v>
      </c>
      <c r="H166" t="s">
        <v>33</v>
      </c>
      <c r="I166">
        <v>5</v>
      </c>
      <c r="J166" t="s">
        <v>117</v>
      </c>
    </row>
    <row r="167" spans="1:10" x14ac:dyDescent="0.25">
      <c r="A167" t="s">
        <v>305</v>
      </c>
      <c r="B167" t="s">
        <v>61</v>
      </c>
      <c r="C167">
        <v>17.100000000000001</v>
      </c>
      <c r="D167" t="s">
        <v>47</v>
      </c>
      <c r="E167" s="1">
        <v>45804</v>
      </c>
      <c r="F167" s="1">
        <v>45812</v>
      </c>
      <c r="G167" s="1">
        <v>45812</v>
      </c>
      <c r="H167" t="s">
        <v>33</v>
      </c>
      <c r="I167">
        <v>5</v>
      </c>
      <c r="J167" t="s">
        <v>112</v>
      </c>
    </row>
    <row r="168" spans="1:10" x14ac:dyDescent="0.25">
      <c r="A168" t="s">
        <v>306</v>
      </c>
      <c r="B168" t="s">
        <v>61</v>
      </c>
      <c r="C168">
        <v>16.190000000000001</v>
      </c>
      <c r="D168" t="s">
        <v>157</v>
      </c>
      <c r="E168" s="1">
        <v>45805</v>
      </c>
      <c r="F168" s="1">
        <v>45815</v>
      </c>
      <c r="G168" s="1">
        <v>45811</v>
      </c>
      <c r="H168" t="s">
        <v>33</v>
      </c>
      <c r="I168">
        <v>5</v>
      </c>
      <c r="J168" t="s">
        <v>41</v>
      </c>
    </row>
    <row r="169" spans="1:10" x14ac:dyDescent="0.25">
      <c r="A169" t="s">
        <v>307</v>
      </c>
      <c r="B169" t="s">
        <v>76</v>
      </c>
      <c r="C169">
        <v>29.14</v>
      </c>
      <c r="D169" t="s">
        <v>40</v>
      </c>
      <c r="E169" s="1">
        <v>45806</v>
      </c>
      <c r="F169" s="1">
        <v>45814</v>
      </c>
      <c r="G169" s="1">
        <v>45808</v>
      </c>
      <c r="H169" t="s">
        <v>33</v>
      </c>
      <c r="I169">
        <v>4</v>
      </c>
      <c r="J169" t="s">
        <v>84</v>
      </c>
    </row>
    <row r="170" spans="1:10" x14ac:dyDescent="0.25">
      <c r="A170" t="s">
        <v>308</v>
      </c>
      <c r="B170" t="s">
        <v>61</v>
      </c>
      <c r="C170">
        <v>22.58</v>
      </c>
      <c r="D170" t="s">
        <v>47</v>
      </c>
      <c r="E170" s="1">
        <v>45806</v>
      </c>
      <c r="F170" s="1">
        <v>45812</v>
      </c>
      <c r="G170" s="1">
        <v>45809</v>
      </c>
      <c r="H170" t="s">
        <v>33</v>
      </c>
      <c r="I170">
        <v>5</v>
      </c>
      <c r="J170" t="s">
        <v>79</v>
      </c>
    </row>
    <row r="171" spans="1:10" x14ac:dyDescent="0.25">
      <c r="A171" t="s">
        <v>309</v>
      </c>
      <c r="B171" t="s">
        <v>31</v>
      </c>
      <c r="C171">
        <v>47.42</v>
      </c>
      <c r="D171" t="s">
        <v>99</v>
      </c>
      <c r="E171" s="1">
        <v>45806</v>
      </c>
      <c r="F171" s="1">
        <v>45813</v>
      </c>
      <c r="H171" t="s">
        <v>54</v>
      </c>
      <c r="I171">
        <v>4</v>
      </c>
      <c r="J171" t="s">
        <v>48</v>
      </c>
    </row>
    <row r="172" spans="1:10" x14ac:dyDescent="0.25">
      <c r="A172" t="s">
        <v>310</v>
      </c>
      <c r="B172" t="s">
        <v>39</v>
      </c>
      <c r="C172">
        <v>120.36</v>
      </c>
      <c r="D172" t="s">
        <v>68</v>
      </c>
      <c r="E172" s="1">
        <v>45806</v>
      </c>
      <c r="F172" s="1">
        <v>45816</v>
      </c>
      <c r="G172" s="1">
        <v>45808</v>
      </c>
      <c r="H172" t="s">
        <v>33</v>
      </c>
      <c r="I172">
        <v>5</v>
      </c>
      <c r="J172" t="s">
        <v>172</v>
      </c>
    </row>
    <row r="173" spans="1:10" x14ac:dyDescent="0.25">
      <c r="A173" t="s">
        <v>311</v>
      </c>
      <c r="B173" t="s">
        <v>61</v>
      </c>
      <c r="C173">
        <v>52.82</v>
      </c>
      <c r="D173" t="s">
        <v>68</v>
      </c>
      <c r="E173" s="1">
        <v>45807</v>
      </c>
      <c r="F173" s="1">
        <v>45813</v>
      </c>
      <c r="G173" s="1">
        <v>45811</v>
      </c>
      <c r="H173" t="s">
        <v>33</v>
      </c>
      <c r="I173">
        <v>4</v>
      </c>
      <c r="J173" t="s">
        <v>69</v>
      </c>
    </row>
    <row r="174" spans="1:10" x14ac:dyDescent="0.25">
      <c r="A174" t="s">
        <v>312</v>
      </c>
      <c r="B174" t="s">
        <v>39</v>
      </c>
      <c r="C174">
        <v>19.850000000000001</v>
      </c>
      <c r="D174" t="s">
        <v>47</v>
      </c>
      <c r="E174" s="1">
        <v>45807</v>
      </c>
      <c r="F174" s="1">
        <v>45813</v>
      </c>
      <c r="G174" s="1">
        <v>45811</v>
      </c>
      <c r="H174" t="s">
        <v>33</v>
      </c>
      <c r="I174">
        <v>5</v>
      </c>
      <c r="J174" t="s">
        <v>134</v>
      </c>
    </row>
    <row r="175" spans="1:10" x14ac:dyDescent="0.25">
      <c r="A175" t="s">
        <v>313</v>
      </c>
      <c r="B175" t="s">
        <v>39</v>
      </c>
      <c r="C175">
        <v>131.47</v>
      </c>
      <c r="D175" t="s">
        <v>62</v>
      </c>
      <c r="E175" s="1">
        <v>45807</v>
      </c>
      <c r="F175" s="1">
        <v>45815</v>
      </c>
      <c r="G175" s="1">
        <v>45810</v>
      </c>
      <c r="H175" t="s">
        <v>33</v>
      </c>
      <c r="I175">
        <v>5</v>
      </c>
      <c r="J175" t="s">
        <v>166</v>
      </c>
    </row>
    <row r="176" spans="1:10" x14ac:dyDescent="0.25">
      <c r="A176" t="s">
        <v>314</v>
      </c>
      <c r="B176" t="s">
        <v>61</v>
      </c>
      <c r="C176">
        <v>46.03</v>
      </c>
      <c r="D176" t="s">
        <v>47</v>
      </c>
      <c r="E176" s="1">
        <v>45807</v>
      </c>
      <c r="F176" s="1">
        <v>45815</v>
      </c>
      <c r="H176" t="s">
        <v>63</v>
      </c>
      <c r="I176">
        <v>2</v>
      </c>
      <c r="J176" t="s">
        <v>170</v>
      </c>
    </row>
    <row r="177" spans="1:10" x14ac:dyDescent="0.25">
      <c r="A177" t="s">
        <v>315</v>
      </c>
      <c r="B177" t="s">
        <v>39</v>
      </c>
      <c r="C177">
        <v>44.51</v>
      </c>
      <c r="D177" t="s">
        <v>101</v>
      </c>
      <c r="E177" s="1">
        <v>45808</v>
      </c>
      <c r="F177" s="1">
        <v>45813</v>
      </c>
      <c r="G177" s="1">
        <v>45813</v>
      </c>
      <c r="H177" t="s">
        <v>33</v>
      </c>
      <c r="I177">
        <v>4</v>
      </c>
      <c r="J177" t="s">
        <v>119</v>
      </c>
    </row>
    <row r="178" spans="1:10" x14ac:dyDescent="0.25">
      <c r="A178" t="s">
        <v>316</v>
      </c>
      <c r="B178" t="s">
        <v>39</v>
      </c>
      <c r="C178">
        <v>17.04</v>
      </c>
      <c r="D178" t="s">
        <v>62</v>
      </c>
      <c r="E178" s="1">
        <v>45807</v>
      </c>
      <c r="F178" s="1">
        <v>45815</v>
      </c>
      <c r="G178" s="1">
        <v>45814</v>
      </c>
      <c r="H178" t="s">
        <v>33</v>
      </c>
      <c r="I178">
        <v>4</v>
      </c>
      <c r="J178" t="s">
        <v>211</v>
      </c>
    </row>
    <row r="179" spans="1:10" x14ac:dyDescent="0.25">
      <c r="A179" t="s">
        <v>317</v>
      </c>
      <c r="B179" t="s">
        <v>39</v>
      </c>
      <c r="C179">
        <v>83.21</v>
      </c>
      <c r="D179" t="s">
        <v>32</v>
      </c>
      <c r="E179" s="1">
        <v>45809</v>
      </c>
      <c r="F179" s="1">
        <v>45814</v>
      </c>
      <c r="G179" s="1">
        <v>45812</v>
      </c>
      <c r="H179" t="s">
        <v>33</v>
      </c>
      <c r="I179">
        <v>5</v>
      </c>
      <c r="J179" t="s">
        <v>166</v>
      </c>
    </row>
    <row r="180" spans="1:10" x14ac:dyDescent="0.25">
      <c r="A180" t="s">
        <v>318</v>
      </c>
      <c r="B180" t="s">
        <v>61</v>
      </c>
      <c r="C180">
        <v>26.4</v>
      </c>
      <c r="D180" t="s">
        <v>99</v>
      </c>
      <c r="E180" s="1">
        <v>45808</v>
      </c>
      <c r="F180" s="1">
        <v>45816</v>
      </c>
      <c r="G180" s="1">
        <v>45812</v>
      </c>
      <c r="H180" t="s">
        <v>33</v>
      </c>
      <c r="I180">
        <v>4</v>
      </c>
      <c r="J180" t="s">
        <v>69</v>
      </c>
    </row>
    <row r="181" spans="1:10" x14ac:dyDescent="0.25">
      <c r="A181" t="s">
        <v>319</v>
      </c>
      <c r="B181" t="s">
        <v>39</v>
      </c>
      <c r="C181">
        <v>114.04</v>
      </c>
      <c r="D181" t="s">
        <v>47</v>
      </c>
      <c r="E181" s="1">
        <v>45808</v>
      </c>
      <c r="F181" s="1">
        <v>45816</v>
      </c>
      <c r="G181" s="1">
        <v>45814</v>
      </c>
      <c r="H181" t="s">
        <v>33</v>
      </c>
      <c r="I181">
        <v>4</v>
      </c>
      <c r="J181" t="s">
        <v>127</v>
      </c>
    </row>
    <row r="182" spans="1:10" x14ac:dyDescent="0.25">
      <c r="A182" t="s">
        <v>320</v>
      </c>
      <c r="B182" t="s">
        <v>31</v>
      </c>
      <c r="C182">
        <v>46.7</v>
      </c>
      <c r="D182" t="s">
        <v>47</v>
      </c>
      <c r="E182" s="1">
        <v>45810</v>
      </c>
      <c r="F182" s="1">
        <v>45820</v>
      </c>
      <c r="G182" s="1">
        <v>45824</v>
      </c>
      <c r="H182" t="s">
        <v>33</v>
      </c>
      <c r="I182">
        <v>3</v>
      </c>
      <c r="J182" t="s">
        <v>55</v>
      </c>
    </row>
    <row r="183" spans="1:10" x14ac:dyDescent="0.25">
      <c r="A183" t="s">
        <v>321</v>
      </c>
      <c r="B183" t="s">
        <v>76</v>
      </c>
      <c r="C183">
        <v>129.72999999999999</v>
      </c>
      <c r="D183" t="s">
        <v>40</v>
      </c>
      <c r="E183" s="1">
        <v>45810</v>
      </c>
      <c r="F183" s="1">
        <v>45815</v>
      </c>
      <c r="G183" s="1">
        <v>45814</v>
      </c>
      <c r="H183" t="s">
        <v>33</v>
      </c>
      <c r="I183">
        <v>5</v>
      </c>
      <c r="J183" t="s">
        <v>117</v>
      </c>
    </row>
    <row r="184" spans="1:10" x14ac:dyDescent="0.25">
      <c r="A184" t="s">
        <v>322</v>
      </c>
      <c r="B184" t="s">
        <v>31</v>
      </c>
      <c r="C184">
        <v>59.29</v>
      </c>
      <c r="D184" t="s">
        <v>32</v>
      </c>
      <c r="E184" s="1">
        <v>45811</v>
      </c>
      <c r="F184" s="1">
        <v>45818</v>
      </c>
      <c r="H184" t="s">
        <v>54</v>
      </c>
      <c r="I184">
        <v>4</v>
      </c>
      <c r="J184" t="s">
        <v>34</v>
      </c>
    </row>
    <row r="185" spans="1:10" x14ac:dyDescent="0.25">
      <c r="A185" t="s">
        <v>323</v>
      </c>
      <c r="B185" t="s">
        <v>76</v>
      </c>
      <c r="C185">
        <v>38.74</v>
      </c>
      <c r="D185" t="s">
        <v>157</v>
      </c>
      <c r="E185" s="1">
        <v>45810</v>
      </c>
      <c r="F185" s="1">
        <v>45815</v>
      </c>
      <c r="G185" s="1">
        <v>45812</v>
      </c>
      <c r="H185" t="s">
        <v>33</v>
      </c>
      <c r="I185">
        <v>5</v>
      </c>
      <c r="J185" t="s">
        <v>127</v>
      </c>
    </row>
    <row r="186" spans="1:10" x14ac:dyDescent="0.25">
      <c r="A186" t="s">
        <v>324</v>
      </c>
      <c r="B186" t="s">
        <v>61</v>
      </c>
      <c r="C186">
        <v>70.27</v>
      </c>
      <c r="D186" t="s">
        <v>47</v>
      </c>
      <c r="E186" s="1">
        <v>45810</v>
      </c>
      <c r="F186" s="1">
        <v>45819</v>
      </c>
      <c r="G186" s="1">
        <v>45816</v>
      </c>
      <c r="H186" t="s">
        <v>33</v>
      </c>
      <c r="I186">
        <v>4</v>
      </c>
      <c r="J186" t="s">
        <v>117</v>
      </c>
    </row>
    <row r="187" spans="1:10" x14ac:dyDescent="0.25">
      <c r="A187" t="s">
        <v>325</v>
      </c>
      <c r="B187" t="s">
        <v>76</v>
      </c>
      <c r="C187">
        <v>52.97</v>
      </c>
      <c r="D187" t="s">
        <v>47</v>
      </c>
      <c r="E187" s="1">
        <v>45810</v>
      </c>
      <c r="F187" s="1">
        <v>45818</v>
      </c>
      <c r="H187" t="s">
        <v>63</v>
      </c>
      <c r="I187">
        <v>1</v>
      </c>
      <c r="J187" t="s">
        <v>129</v>
      </c>
    </row>
    <row r="188" spans="1:10" x14ac:dyDescent="0.25">
      <c r="A188" t="s">
        <v>326</v>
      </c>
      <c r="B188" t="s">
        <v>61</v>
      </c>
      <c r="C188">
        <v>105.02</v>
      </c>
      <c r="D188" t="s">
        <v>62</v>
      </c>
      <c r="E188" s="1">
        <v>45813</v>
      </c>
      <c r="F188" s="1">
        <v>45821</v>
      </c>
      <c r="G188" s="1">
        <v>45819</v>
      </c>
      <c r="H188" t="s">
        <v>33</v>
      </c>
      <c r="I188">
        <v>5</v>
      </c>
      <c r="J188" t="s">
        <v>127</v>
      </c>
    </row>
    <row r="189" spans="1:10" x14ac:dyDescent="0.25">
      <c r="A189" t="s">
        <v>327</v>
      </c>
      <c r="B189" t="s">
        <v>76</v>
      </c>
      <c r="C189">
        <v>20.63</v>
      </c>
      <c r="D189" t="s">
        <v>157</v>
      </c>
      <c r="E189" s="1">
        <v>45813</v>
      </c>
      <c r="F189" s="1">
        <v>45823</v>
      </c>
      <c r="G189" s="1">
        <v>45815</v>
      </c>
      <c r="H189" t="s">
        <v>33</v>
      </c>
      <c r="I189">
        <v>5</v>
      </c>
      <c r="J189" t="s">
        <v>211</v>
      </c>
    </row>
    <row r="190" spans="1:10" x14ac:dyDescent="0.25">
      <c r="A190" t="s">
        <v>328</v>
      </c>
      <c r="B190" t="s">
        <v>31</v>
      </c>
      <c r="C190">
        <v>46.37</v>
      </c>
      <c r="D190" t="s">
        <v>97</v>
      </c>
      <c r="E190" s="1">
        <v>45812</v>
      </c>
      <c r="F190" s="1">
        <v>45817</v>
      </c>
      <c r="G190" s="1">
        <v>45817</v>
      </c>
      <c r="H190" t="s">
        <v>33</v>
      </c>
      <c r="I190">
        <v>4</v>
      </c>
      <c r="J190" t="s">
        <v>134</v>
      </c>
    </row>
    <row r="191" spans="1:10" x14ac:dyDescent="0.25">
      <c r="A191" t="s">
        <v>329</v>
      </c>
      <c r="B191" t="s">
        <v>61</v>
      </c>
      <c r="C191">
        <v>21.25</v>
      </c>
      <c r="D191" t="s">
        <v>40</v>
      </c>
      <c r="E191" s="1">
        <v>45813</v>
      </c>
      <c r="F191" s="1">
        <v>45823</v>
      </c>
      <c r="G191" s="1">
        <v>45823</v>
      </c>
      <c r="H191" t="s">
        <v>33</v>
      </c>
      <c r="I191">
        <v>4</v>
      </c>
      <c r="J191" t="s">
        <v>79</v>
      </c>
    </row>
    <row r="192" spans="1:10" x14ac:dyDescent="0.25">
      <c r="A192" t="s">
        <v>330</v>
      </c>
      <c r="B192" t="s">
        <v>76</v>
      </c>
      <c r="C192">
        <v>17.98</v>
      </c>
      <c r="D192" t="s">
        <v>99</v>
      </c>
      <c r="E192" s="1">
        <v>45813</v>
      </c>
      <c r="F192" s="1">
        <v>45823</v>
      </c>
      <c r="G192" s="1">
        <v>45818</v>
      </c>
      <c r="H192" t="s">
        <v>33</v>
      </c>
      <c r="I192">
        <v>4</v>
      </c>
      <c r="J192" t="s">
        <v>117</v>
      </c>
    </row>
    <row r="193" spans="1:10" x14ac:dyDescent="0.25">
      <c r="A193" t="s">
        <v>331</v>
      </c>
      <c r="B193" t="s">
        <v>61</v>
      </c>
      <c r="C193">
        <v>23.66</v>
      </c>
      <c r="D193" t="s">
        <v>68</v>
      </c>
      <c r="E193" s="1">
        <v>45813</v>
      </c>
      <c r="F193" s="1">
        <v>45818</v>
      </c>
      <c r="G193" s="1">
        <v>45816</v>
      </c>
      <c r="H193" t="s">
        <v>33</v>
      </c>
      <c r="I193">
        <v>5</v>
      </c>
      <c r="J193" t="s">
        <v>119</v>
      </c>
    </row>
    <row r="194" spans="1:10" x14ac:dyDescent="0.25">
      <c r="A194" t="s">
        <v>332</v>
      </c>
      <c r="B194" t="s">
        <v>39</v>
      </c>
      <c r="C194">
        <v>146.66999999999999</v>
      </c>
      <c r="D194" t="s">
        <v>47</v>
      </c>
      <c r="E194" s="1">
        <v>45815</v>
      </c>
      <c r="F194" s="1">
        <v>45821</v>
      </c>
      <c r="G194" s="1">
        <v>45817</v>
      </c>
      <c r="H194" t="s">
        <v>33</v>
      </c>
      <c r="I194">
        <v>5</v>
      </c>
      <c r="J194" t="s">
        <v>134</v>
      </c>
    </row>
    <row r="195" spans="1:10" x14ac:dyDescent="0.25">
      <c r="A195" t="s">
        <v>333</v>
      </c>
      <c r="B195" t="s">
        <v>61</v>
      </c>
      <c r="C195">
        <v>119.63</v>
      </c>
      <c r="D195" t="s">
        <v>68</v>
      </c>
      <c r="E195" s="1">
        <v>45814</v>
      </c>
      <c r="F195" s="1">
        <v>45819</v>
      </c>
      <c r="G195" s="1">
        <v>45823</v>
      </c>
      <c r="H195" t="s">
        <v>33</v>
      </c>
      <c r="I195">
        <v>3</v>
      </c>
      <c r="J195" t="s">
        <v>238</v>
      </c>
    </row>
    <row r="196" spans="1:10" x14ac:dyDescent="0.25">
      <c r="A196" t="s">
        <v>334</v>
      </c>
      <c r="B196" t="s">
        <v>39</v>
      </c>
      <c r="C196">
        <v>66.94</v>
      </c>
      <c r="D196" t="s">
        <v>47</v>
      </c>
      <c r="E196" s="1">
        <v>45814</v>
      </c>
      <c r="F196" s="1">
        <v>45820</v>
      </c>
      <c r="G196" s="1">
        <v>45817</v>
      </c>
      <c r="H196" t="s">
        <v>33</v>
      </c>
      <c r="I196">
        <v>5</v>
      </c>
      <c r="J196" t="s">
        <v>84</v>
      </c>
    </row>
    <row r="197" spans="1:10" x14ac:dyDescent="0.25">
      <c r="A197" t="s">
        <v>335</v>
      </c>
      <c r="B197" t="s">
        <v>31</v>
      </c>
      <c r="C197">
        <v>32.78</v>
      </c>
      <c r="D197" t="s">
        <v>47</v>
      </c>
      <c r="E197" s="1">
        <v>45815</v>
      </c>
      <c r="F197" s="1">
        <v>45822</v>
      </c>
      <c r="H197" t="s">
        <v>54</v>
      </c>
      <c r="I197">
        <v>4</v>
      </c>
      <c r="J197" t="s">
        <v>41</v>
      </c>
    </row>
    <row r="198" spans="1:10" x14ac:dyDescent="0.25">
      <c r="A198" t="s">
        <v>336</v>
      </c>
      <c r="B198" t="s">
        <v>61</v>
      </c>
      <c r="C198">
        <v>119.2</v>
      </c>
      <c r="D198" t="s">
        <v>99</v>
      </c>
      <c r="E198" s="1">
        <v>45815</v>
      </c>
      <c r="F198" s="1">
        <v>45823</v>
      </c>
      <c r="G198" s="1">
        <v>45823</v>
      </c>
      <c r="H198" t="s">
        <v>33</v>
      </c>
      <c r="I198">
        <v>4</v>
      </c>
      <c r="J198" t="s">
        <v>172</v>
      </c>
    </row>
    <row r="199" spans="1:10" x14ac:dyDescent="0.25">
      <c r="A199" t="s">
        <v>337</v>
      </c>
      <c r="B199" t="s">
        <v>76</v>
      </c>
      <c r="C199">
        <v>46.87</v>
      </c>
      <c r="D199" t="s">
        <v>62</v>
      </c>
      <c r="E199" s="1">
        <v>45815</v>
      </c>
      <c r="F199" s="1">
        <v>45821</v>
      </c>
      <c r="G199" s="1">
        <v>45817</v>
      </c>
      <c r="H199" t="s">
        <v>33</v>
      </c>
      <c r="I199">
        <v>5</v>
      </c>
      <c r="J199" t="s">
        <v>48</v>
      </c>
    </row>
    <row r="200" spans="1:10" x14ac:dyDescent="0.25">
      <c r="A200" t="s">
        <v>338</v>
      </c>
      <c r="B200" t="s">
        <v>39</v>
      </c>
      <c r="C200">
        <v>112.76</v>
      </c>
      <c r="D200" t="s">
        <v>68</v>
      </c>
      <c r="E200" s="1">
        <v>45816</v>
      </c>
      <c r="F200" s="1">
        <v>45822</v>
      </c>
      <c r="G200" s="1">
        <v>45820</v>
      </c>
      <c r="H200" t="s">
        <v>33</v>
      </c>
      <c r="I200">
        <v>4</v>
      </c>
      <c r="J200" t="s">
        <v>69</v>
      </c>
    </row>
    <row r="201" spans="1:10" x14ac:dyDescent="0.25">
      <c r="A201" t="s">
        <v>339</v>
      </c>
      <c r="B201" t="s">
        <v>39</v>
      </c>
      <c r="C201">
        <v>108.45</v>
      </c>
      <c r="D201" t="s">
        <v>101</v>
      </c>
      <c r="E201" s="1">
        <v>45816</v>
      </c>
      <c r="F201" s="1">
        <v>45824</v>
      </c>
      <c r="H201" t="s">
        <v>161</v>
      </c>
      <c r="I201">
        <v>3</v>
      </c>
      <c r="J201" t="s">
        <v>230</v>
      </c>
    </row>
    <row r="202" spans="1:10" x14ac:dyDescent="0.25">
      <c r="A202" t="s">
        <v>340</v>
      </c>
      <c r="B202" t="s">
        <v>76</v>
      </c>
      <c r="C202">
        <v>65.760000000000005</v>
      </c>
      <c r="D202" t="s">
        <v>47</v>
      </c>
      <c r="E202" s="1">
        <v>45817</v>
      </c>
      <c r="F202" s="1">
        <v>45823</v>
      </c>
      <c r="G202" s="1">
        <v>45823</v>
      </c>
      <c r="H202" t="s">
        <v>33</v>
      </c>
      <c r="I202">
        <v>4</v>
      </c>
      <c r="J202" t="s">
        <v>211</v>
      </c>
    </row>
    <row r="203" spans="1:10" x14ac:dyDescent="0.25">
      <c r="A203" t="s">
        <v>341</v>
      </c>
      <c r="B203" t="s">
        <v>76</v>
      </c>
      <c r="C203">
        <v>27.99</v>
      </c>
      <c r="D203" t="s">
        <v>264</v>
      </c>
      <c r="E203" s="1">
        <v>45818</v>
      </c>
      <c r="F203" s="1">
        <v>45825</v>
      </c>
      <c r="G203" s="1">
        <v>45820</v>
      </c>
      <c r="H203" t="s">
        <v>33</v>
      </c>
      <c r="I203">
        <v>5</v>
      </c>
      <c r="J203" t="s">
        <v>166</v>
      </c>
    </row>
    <row r="204" spans="1:10" x14ac:dyDescent="0.25">
      <c r="A204" t="s">
        <v>342</v>
      </c>
      <c r="B204" t="s">
        <v>31</v>
      </c>
      <c r="C204">
        <v>127.24</v>
      </c>
      <c r="D204" t="s">
        <v>157</v>
      </c>
      <c r="E204" s="1">
        <v>45817</v>
      </c>
      <c r="F204" s="1">
        <v>45822</v>
      </c>
      <c r="H204" t="s">
        <v>54</v>
      </c>
      <c r="I204">
        <v>4</v>
      </c>
      <c r="J204" t="s">
        <v>34</v>
      </c>
    </row>
    <row r="205" spans="1:10" x14ac:dyDescent="0.25">
      <c r="A205" t="s">
        <v>343</v>
      </c>
      <c r="B205" t="s">
        <v>76</v>
      </c>
      <c r="C205">
        <v>15.69</v>
      </c>
      <c r="D205" t="s">
        <v>68</v>
      </c>
      <c r="E205" s="1">
        <v>45817</v>
      </c>
      <c r="F205" s="1">
        <v>45823</v>
      </c>
      <c r="G205" s="1">
        <v>45819</v>
      </c>
      <c r="H205" t="s">
        <v>33</v>
      </c>
      <c r="I205">
        <v>5</v>
      </c>
      <c r="J205" t="s">
        <v>172</v>
      </c>
    </row>
    <row r="206" spans="1:10" x14ac:dyDescent="0.25">
      <c r="A206" t="s">
        <v>344</v>
      </c>
      <c r="B206" t="s">
        <v>61</v>
      </c>
      <c r="C206">
        <v>45.02</v>
      </c>
      <c r="D206" t="s">
        <v>97</v>
      </c>
      <c r="E206" s="1">
        <v>45818</v>
      </c>
      <c r="F206" s="1">
        <v>45828</v>
      </c>
      <c r="G206" s="1">
        <v>45826</v>
      </c>
      <c r="H206" t="s">
        <v>33</v>
      </c>
      <c r="I206">
        <v>5</v>
      </c>
      <c r="J206" t="s">
        <v>112</v>
      </c>
    </row>
    <row r="207" spans="1:10" x14ac:dyDescent="0.25">
      <c r="A207" t="s">
        <v>345</v>
      </c>
      <c r="B207" t="s">
        <v>76</v>
      </c>
      <c r="C207">
        <v>28.25</v>
      </c>
      <c r="D207" t="s">
        <v>101</v>
      </c>
      <c r="E207" s="1">
        <v>45819</v>
      </c>
      <c r="F207" s="1">
        <v>45828</v>
      </c>
      <c r="G207" s="1">
        <v>45828</v>
      </c>
      <c r="H207" t="s">
        <v>33</v>
      </c>
      <c r="I207">
        <v>5</v>
      </c>
      <c r="J207" t="s">
        <v>112</v>
      </c>
    </row>
    <row r="208" spans="1:10" x14ac:dyDescent="0.25">
      <c r="A208" t="s">
        <v>346</v>
      </c>
      <c r="B208" t="s">
        <v>61</v>
      </c>
      <c r="C208">
        <v>57.69</v>
      </c>
      <c r="D208" t="s">
        <v>99</v>
      </c>
      <c r="E208" s="1">
        <v>45819</v>
      </c>
      <c r="F208" s="1">
        <v>45825</v>
      </c>
      <c r="G208" s="1">
        <v>45825</v>
      </c>
      <c r="H208" t="s">
        <v>33</v>
      </c>
      <c r="I208">
        <v>5</v>
      </c>
      <c r="J208" t="s">
        <v>172</v>
      </c>
    </row>
    <row r="209" spans="1:10" x14ac:dyDescent="0.25">
      <c r="A209" t="s">
        <v>347</v>
      </c>
      <c r="B209" t="s">
        <v>39</v>
      </c>
      <c r="C209">
        <v>58.7</v>
      </c>
      <c r="D209" t="s">
        <v>47</v>
      </c>
      <c r="E209" s="1">
        <v>45819</v>
      </c>
      <c r="F209" s="1">
        <v>45828</v>
      </c>
      <c r="G209" s="1">
        <v>45830</v>
      </c>
      <c r="H209" t="s">
        <v>33</v>
      </c>
      <c r="I209">
        <v>2</v>
      </c>
      <c r="J209" t="s">
        <v>131</v>
      </c>
    </row>
    <row r="210" spans="1:10" x14ac:dyDescent="0.25">
      <c r="A210" t="s">
        <v>348</v>
      </c>
      <c r="B210" t="s">
        <v>31</v>
      </c>
      <c r="C210">
        <v>121.11</v>
      </c>
      <c r="D210" t="s">
        <v>62</v>
      </c>
      <c r="E210" s="1">
        <v>45818</v>
      </c>
      <c r="F210" s="1">
        <v>45823</v>
      </c>
      <c r="G210" s="1">
        <v>45820</v>
      </c>
      <c r="H210" t="s">
        <v>33</v>
      </c>
      <c r="I210">
        <v>4</v>
      </c>
      <c r="J210" t="s">
        <v>172</v>
      </c>
    </row>
    <row r="211" spans="1:10" x14ac:dyDescent="0.25">
      <c r="A211" t="s">
        <v>349</v>
      </c>
      <c r="B211" t="s">
        <v>31</v>
      </c>
      <c r="C211">
        <v>21.55</v>
      </c>
      <c r="D211" t="s">
        <v>62</v>
      </c>
      <c r="E211" s="1">
        <v>45820</v>
      </c>
      <c r="F211" s="1">
        <v>45829</v>
      </c>
      <c r="G211" s="1">
        <v>45828</v>
      </c>
      <c r="H211" t="s">
        <v>33</v>
      </c>
      <c r="I211">
        <v>5</v>
      </c>
      <c r="J211" t="s">
        <v>211</v>
      </c>
    </row>
    <row r="212" spans="1:10" x14ac:dyDescent="0.25">
      <c r="A212" t="s">
        <v>350</v>
      </c>
      <c r="B212" t="s">
        <v>61</v>
      </c>
      <c r="C212">
        <v>15.87</v>
      </c>
      <c r="D212" t="s">
        <v>97</v>
      </c>
      <c r="E212" s="1">
        <v>45819</v>
      </c>
      <c r="F212" s="1">
        <v>45827</v>
      </c>
      <c r="G212" s="1">
        <v>45832</v>
      </c>
      <c r="H212" t="s">
        <v>33</v>
      </c>
      <c r="I212">
        <v>1</v>
      </c>
      <c r="J212" t="s">
        <v>162</v>
      </c>
    </row>
    <row r="213" spans="1:10" x14ac:dyDescent="0.25">
      <c r="A213" t="s">
        <v>351</v>
      </c>
      <c r="B213" t="s">
        <v>39</v>
      </c>
      <c r="C213">
        <v>33.4</v>
      </c>
      <c r="D213" t="s">
        <v>264</v>
      </c>
      <c r="E213" s="1">
        <v>45819</v>
      </c>
      <c r="F213" s="1">
        <v>45827</v>
      </c>
      <c r="H213" t="s">
        <v>54</v>
      </c>
      <c r="I213">
        <v>3</v>
      </c>
      <c r="J213" t="s">
        <v>352</v>
      </c>
    </row>
    <row r="214" spans="1:10" x14ac:dyDescent="0.25">
      <c r="A214" t="s">
        <v>353</v>
      </c>
      <c r="B214" t="s">
        <v>76</v>
      </c>
      <c r="C214">
        <v>23.79</v>
      </c>
      <c r="D214" t="s">
        <v>157</v>
      </c>
      <c r="E214" s="1">
        <v>45820</v>
      </c>
      <c r="F214" s="1">
        <v>45828</v>
      </c>
      <c r="G214" s="1">
        <v>45828</v>
      </c>
      <c r="H214" t="s">
        <v>33</v>
      </c>
      <c r="I214">
        <v>4</v>
      </c>
      <c r="J214" t="s">
        <v>112</v>
      </c>
    </row>
    <row r="215" spans="1:10" x14ac:dyDescent="0.25">
      <c r="A215" t="s">
        <v>354</v>
      </c>
      <c r="B215" t="s">
        <v>61</v>
      </c>
      <c r="C215">
        <v>47.74</v>
      </c>
      <c r="D215" t="s">
        <v>47</v>
      </c>
      <c r="E215" s="1">
        <v>45820</v>
      </c>
      <c r="F215" s="1">
        <v>45828</v>
      </c>
      <c r="H215" t="s">
        <v>54</v>
      </c>
      <c r="I215">
        <v>3</v>
      </c>
      <c r="J215" t="s">
        <v>238</v>
      </c>
    </row>
    <row r="216" spans="1:10" x14ac:dyDescent="0.25">
      <c r="A216" t="s">
        <v>355</v>
      </c>
      <c r="B216" t="s">
        <v>39</v>
      </c>
      <c r="C216">
        <v>55.54</v>
      </c>
      <c r="D216" t="s">
        <v>99</v>
      </c>
      <c r="E216" s="1">
        <v>45822</v>
      </c>
      <c r="F216" s="1">
        <v>45828</v>
      </c>
      <c r="G216" s="1">
        <v>45824</v>
      </c>
      <c r="H216" t="s">
        <v>33</v>
      </c>
      <c r="I216">
        <v>5</v>
      </c>
      <c r="J216" t="s">
        <v>166</v>
      </c>
    </row>
    <row r="217" spans="1:10" x14ac:dyDescent="0.25">
      <c r="A217" t="s">
        <v>356</v>
      </c>
      <c r="B217" t="s">
        <v>31</v>
      </c>
      <c r="C217">
        <v>29.82</v>
      </c>
      <c r="D217" t="s">
        <v>47</v>
      </c>
      <c r="E217" s="1">
        <v>45822</v>
      </c>
      <c r="F217" s="1">
        <v>45827</v>
      </c>
      <c r="G217" s="1">
        <v>45827</v>
      </c>
      <c r="H217" t="s">
        <v>33</v>
      </c>
      <c r="I217">
        <v>5</v>
      </c>
      <c r="J217" t="s">
        <v>166</v>
      </c>
    </row>
    <row r="218" spans="1:10" x14ac:dyDescent="0.25">
      <c r="A218" t="s">
        <v>357</v>
      </c>
      <c r="B218" t="s">
        <v>39</v>
      </c>
      <c r="C218">
        <v>25.82</v>
      </c>
      <c r="D218" t="s">
        <v>97</v>
      </c>
      <c r="E218" s="1">
        <v>45822</v>
      </c>
      <c r="F218" s="1">
        <v>45830</v>
      </c>
      <c r="G218" s="1">
        <v>45824</v>
      </c>
      <c r="H218" t="s">
        <v>33</v>
      </c>
      <c r="I218">
        <v>5</v>
      </c>
      <c r="J218" t="s">
        <v>117</v>
      </c>
    </row>
    <row r="219" spans="1:10" x14ac:dyDescent="0.25">
      <c r="A219" t="s">
        <v>358</v>
      </c>
      <c r="B219" t="s">
        <v>61</v>
      </c>
      <c r="C219">
        <v>84.12</v>
      </c>
      <c r="D219" t="s">
        <v>47</v>
      </c>
      <c r="E219" s="1">
        <v>45821</v>
      </c>
      <c r="F219" s="1">
        <v>45830</v>
      </c>
      <c r="G219" s="1">
        <v>45833</v>
      </c>
      <c r="H219" t="s">
        <v>33</v>
      </c>
      <c r="I219">
        <v>1</v>
      </c>
      <c r="J219" t="s">
        <v>168</v>
      </c>
    </row>
    <row r="220" spans="1:10" x14ac:dyDescent="0.25">
      <c r="A220" t="s">
        <v>359</v>
      </c>
      <c r="B220" t="s">
        <v>76</v>
      </c>
      <c r="C220">
        <v>24.81</v>
      </c>
      <c r="D220" t="s">
        <v>40</v>
      </c>
      <c r="E220" s="1">
        <v>45821</v>
      </c>
      <c r="F220" s="1">
        <v>45826</v>
      </c>
      <c r="G220" s="1">
        <v>45826</v>
      </c>
      <c r="H220" t="s">
        <v>33</v>
      </c>
      <c r="I220">
        <v>5</v>
      </c>
      <c r="J220" t="s">
        <v>166</v>
      </c>
    </row>
    <row r="221" spans="1:10" x14ac:dyDescent="0.25">
      <c r="A221" t="s">
        <v>360</v>
      </c>
      <c r="B221" t="s">
        <v>76</v>
      </c>
      <c r="C221">
        <v>15.37</v>
      </c>
      <c r="D221" t="s">
        <v>97</v>
      </c>
      <c r="E221" s="1">
        <v>45822</v>
      </c>
      <c r="F221" s="1">
        <v>45828</v>
      </c>
      <c r="H221" t="s">
        <v>54</v>
      </c>
      <c r="I221">
        <v>3</v>
      </c>
      <c r="J221" t="s">
        <v>352</v>
      </c>
    </row>
    <row r="222" spans="1:10" x14ac:dyDescent="0.25">
      <c r="A222" t="s">
        <v>361</v>
      </c>
      <c r="B222" t="s">
        <v>76</v>
      </c>
      <c r="C222">
        <v>69.239999999999995</v>
      </c>
      <c r="D222" t="s">
        <v>62</v>
      </c>
      <c r="E222" s="1">
        <v>45823</v>
      </c>
      <c r="F222" s="1">
        <v>45831</v>
      </c>
      <c r="G222" s="1">
        <v>45830</v>
      </c>
      <c r="H222" t="s">
        <v>33</v>
      </c>
      <c r="I222">
        <v>4</v>
      </c>
      <c r="J222" t="s">
        <v>84</v>
      </c>
    </row>
    <row r="223" spans="1:10" x14ac:dyDescent="0.25">
      <c r="A223" t="s">
        <v>362</v>
      </c>
      <c r="B223" t="s">
        <v>76</v>
      </c>
      <c r="C223">
        <v>21.53</v>
      </c>
      <c r="D223" t="s">
        <v>99</v>
      </c>
      <c r="E223" s="1">
        <v>45822</v>
      </c>
      <c r="F223" s="1">
        <v>45827</v>
      </c>
      <c r="G223" s="1">
        <v>45825</v>
      </c>
      <c r="H223" t="s">
        <v>33</v>
      </c>
      <c r="I223">
        <v>4</v>
      </c>
      <c r="J223" t="s">
        <v>79</v>
      </c>
    </row>
    <row r="224" spans="1:10" x14ac:dyDescent="0.25">
      <c r="A224" t="s">
        <v>363</v>
      </c>
      <c r="B224" t="s">
        <v>76</v>
      </c>
      <c r="C224">
        <v>25.93</v>
      </c>
      <c r="D224" t="s">
        <v>40</v>
      </c>
      <c r="E224" s="1">
        <v>45823</v>
      </c>
      <c r="F224" s="1">
        <v>45830</v>
      </c>
      <c r="G224" s="1">
        <v>45828</v>
      </c>
      <c r="H224" t="s">
        <v>33</v>
      </c>
      <c r="I224">
        <v>4</v>
      </c>
      <c r="J224" t="s">
        <v>119</v>
      </c>
    </row>
    <row r="225" spans="1:10" x14ac:dyDescent="0.25">
      <c r="A225" t="s">
        <v>364</v>
      </c>
      <c r="B225" t="s">
        <v>39</v>
      </c>
      <c r="C225">
        <v>66.19</v>
      </c>
      <c r="D225" t="s">
        <v>97</v>
      </c>
      <c r="E225" s="1">
        <v>45823</v>
      </c>
      <c r="F225" s="1">
        <v>45828</v>
      </c>
      <c r="G225" s="1">
        <v>45826</v>
      </c>
      <c r="H225" t="s">
        <v>33</v>
      </c>
      <c r="I225">
        <v>5</v>
      </c>
      <c r="J225" t="s">
        <v>166</v>
      </c>
    </row>
    <row r="226" spans="1:10" x14ac:dyDescent="0.25">
      <c r="A226" t="s">
        <v>365</v>
      </c>
      <c r="B226" t="s">
        <v>31</v>
      </c>
      <c r="C226">
        <v>72.62</v>
      </c>
      <c r="D226" t="s">
        <v>47</v>
      </c>
      <c r="E226" s="1">
        <v>45824</v>
      </c>
      <c r="F226" s="1">
        <v>45831</v>
      </c>
      <c r="G226" s="1">
        <v>45829</v>
      </c>
      <c r="H226" t="s">
        <v>33</v>
      </c>
      <c r="I226">
        <v>4</v>
      </c>
      <c r="J226" t="s">
        <v>34</v>
      </c>
    </row>
    <row r="227" spans="1:10" x14ac:dyDescent="0.25">
      <c r="A227" t="s">
        <v>366</v>
      </c>
      <c r="B227" t="s">
        <v>39</v>
      </c>
      <c r="C227">
        <v>25.64</v>
      </c>
      <c r="D227" t="s">
        <v>47</v>
      </c>
      <c r="E227" s="1">
        <v>45825</v>
      </c>
      <c r="F227" s="1">
        <v>45835</v>
      </c>
      <c r="G227" s="1">
        <v>45833</v>
      </c>
      <c r="H227" t="s">
        <v>33</v>
      </c>
      <c r="I227">
        <v>4</v>
      </c>
      <c r="J227" t="s">
        <v>119</v>
      </c>
    </row>
    <row r="228" spans="1:10" x14ac:dyDescent="0.25">
      <c r="A228" t="s">
        <v>367</v>
      </c>
      <c r="B228" t="s">
        <v>61</v>
      </c>
      <c r="C228">
        <v>63.48</v>
      </c>
      <c r="D228" t="s">
        <v>62</v>
      </c>
      <c r="E228" s="1">
        <v>45825</v>
      </c>
      <c r="F228" s="1">
        <v>45834</v>
      </c>
      <c r="H228" t="s">
        <v>63</v>
      </c>
      <c r="I228">
        <v>3</v>
      </c>
      <c r="J228" t="s">
        <v>243</v>
      </c>
    </row>
    <row r="229" spans="1:10" x14ac:dyDescent="0.25">
      <c r="A229" t="s">
        <v>368</v>
      </c>
      <c r="B229" t="s">
        <v>31</v>
      </c>
      <c r="C229">
        <v>28.34</v>
      </c>
      <c r="D229" t="s">
        <v>68</v>
      </c>
      <c r="E229" s="1">
        <v>45826</v>
      </c>
      <c r="F229" s="1">
        <v>45836</v>
      </c>
      <c r="H229" t="s">
        <v>63</v>
      </c>
      <c r="I229">
        <v>2</v>
      </c>
      <c r="J229" t="s">
        <v>185</v>
      </c>
    </row>
    <row r="230" spans="1:10" x14ac:dyDescent="0.25">
      <c r="A230" t="s">
        <v>369</v>
      </c>
      <c r="B230" t="s">
        <v>61</v>
      </c>
      <c r="C230">
        <v>28.69</v>
      </c>
      <c r="D230" t="s">
        <v>126</v>
      </c>
      <c r="E230" s="1">
        <v>45826</v>
      </c>
      <c r="F230" s="1">
        <v>45834</v>
      </c>
      <c r="G230" s="1">
        <v>45834</v>
      </c>
      <c r="H230" t="s">
        <v>33</v>
      </c>
      <c r="I230">
        <v>4</v>
      </c>
      <c r="J230" t="s">
        <v>117</v>
      </c>
    </row>
    <row r="231" spans="1:10" x14ac:dyDescent="0.25">
      <c r="A231" t="s">
        <v>370</v>
      </c>
      <c r="B231" t="s">
        <v>61</v>
      </c>
      <c r="C231">
        <v>48.2</v>
      </c>
      <c r="D231" t="s">
        <v>97</v>
      </c>
      <c r="E231" s="1">
        <v>45826</v>
      </c>
      <c r="F231" s="1">
        <v>45834</v>
      </c>
      <c r="G231" s="1">
        <v>45833</v>
      </c>
      <c r="H231" t="s">
        <v>33</v>
      </c>
      <c r="I231">
        <v>4</v>
      </c>
      <c r="J231" t="s">
        <v>172</v>
      </c>
    </row>
    <row r="232" spans="1:10" x14ac:dyDescent="0.25">
      <c r="A232" t="s">
        <v>371</v>
      </c>
      <c r="B232" t="s">
        <v>76</v>
      </c>
      <c r="C232">
        <v>49.79</v>
      </c>
      <c r="D232" t="s">
        <v>62</v>
      </c>
      <c r="E232" s="1">
        <v>45826</v>
      </c>
      <c r="F232" s="1">
        <v>45835</v>
      </c>
      <c r="G232" s="1">
        <v>45834</v>
      </c>
      <c r="H232" t="s">
        <v>33</v>
      </c>
      <c r="I232">
        <v>4</v>
      </c>
      <c r="J232" t="s">
        <v>211</v>
      </c>
    </row>
    <row r="233" spans="1:10" x14ac:dyDescent="0.25">
      <c r="A233" t="s">
        <v>372</v>
      </c>
      <c r="B233" t="s">
        <v>39</v>
      </c>
      <c r="C233">
        <v>59.1</v>
      </c>
      <c r="D233" t="s">
        <v>83</v>
      </c>
      <c r="E233" s="1">
        <v>45827</v>
      </c>
      <c r="F233" s="1">
        <v>45834</v>
      </c>
      <c r="G233" s="1">
        <v>45832</v>
      </c>
      <c r="H233" t="s">
        <v>33</v>
      </c>
      <c r="I233">
        <v>4</v>
      </c>
      <c r="J233" t="s">
        <v>134</v>
      </c>
    </row>
    <row r="234" spans="1:10" x14ac:dyDescent="0.25">
      <c r="A234" t="s">
        <v>373</v>
      </c>
      <c r="B234" t="s">
        <v>76</v>
      </c>
      <c r="C234">
        <v>67.77</v>
      </c>
      <c r="D234" t="s">
        <v>47</v>
      </c>
      <c r="E234" s="1">
        <v>45828</v>
      </c>
      <c r="F234" s="1">
        <v>45835</v>
      </c>
      <c r="G234" s="1">
        <v>45838</v>
      </c>
      <c r="H234" t="s">
        <v>33</v>
      </c>
      <c r="I234">
        <v>1</v>
      </c>
      <c r="J234" t="s">
        <v>185</v>
      </c>
    </row>
    <row r="235" spans="1:10" x14ac:dyDescent="0.25">
      <c r="A235" t="s">
        <v>374</v>
      </c>
      <c r="B235" t="s">
        <v>39</v>
      </c>
      <c r="C235">
        <v>20.66</v>
      </c>
      <c r="D235" t="s">
        <v>68</v>
      </c>
      <c r="E235" s="1">
        <v>45828</v>
      </c>
      <c r="F235" s="1">
        <v>45833</v>
      </c>
      <c r="G235" s="1">
        <v>45832</v>
      </c>
      <c r="H235" t="s">
        <v>33</v>
      </c>
      <c r="I235">
        <v>5</v>
      </c>
      <c r="J235" t="s">
        <v>119</v>
      </c>
    </row>
    <row r="236" spans="1:10" x14ac:dyDescent="0.25">
      <c r="A236" t="s">
        <v>375</v>
      </c>
      <c r="B236" t="s">
        <v>39</v>
      </c>
      <c r="C236">
        <v>26.15</v>
      </c>
      <c r="D236" t="s">
        <v>150</v>
      </c>
      <c r="E236" s="1">
        <v>45830</v>
      </c>
      <c r="F236" s="1">
        <v>45835</v>
      </c>
      <c r="H236" t="s">
        <v>161</v>
      </c>
      <c r="I236">
        <v>3</v>
      </c>
      <c r="J236" t="s">
        <v>230</v>
      </c>
    </row>
    <row r="237" spans="1:10" x14ac:dyDescent="0.25">
      <c r="A237" t="s">
        <v>376</v>
      </c>
      <c r="B237" t="s">
        <v>31</v>
      </c>
      <c r="C237">
        <v>84.93</v>
      </c>
      <c r="D237" t="s">
        <v>99</v>
      </c>
      <c r="E237" s="1">
        <v>45829</v>
      </c>
      <c r="F237" s="1">
        <v>45838</v>
      </c>
      <c r="G237" s="1">
        <v>45836</v>
      </c>
      <c r="H237" t="s">
        <v>33</v>
      </c>
      <c r="I237">
        <v>4</v>
      </c>
      <c r="J237" t="s">
        <v>77</v>
      </c>
    </row>
    <row r="238" spans="1:10" x14ac:dyDescent="0.25">
      <c r="A238" t="s">
        <v>377</v>
      </c>
      <c r="B238" t="s">
        <v>39</v>
      </c>
      <c r="C238">
        <v>70.59</v>
      </c>
      <c r="D238" t="s">
        <v>47</v>
      </c>
      <c r="E238" s="1">
        <v>45830</v>
      </c>
      <c r="F238" s="1">
        <v>45838</v>
      </c>
      <c r="G238" s="1">
        <v>45840</v>
      </c>
      <c r="H238" t="s">
        <v>33</v>
      </c>
      <c r="I238">
        <v>1</v>
      </c>
      <c r="J238" t="s">
        <v>102</v>
      </c>
    </row>
    <row r="239" spans="1:10" x14ac:dyDescent="0.25">
      <c r="A239" t="s">
        <v>378</v>
      </c>
      <c r="B239" t="s">
        <v>61</v>
      </c>
      <c r="C239">
        <v>27.29</v>
      </c>
      <c r="D239" t="s">
        <v>62</v>
      </c>
      <c r="E239" s="1">
        <v>45831</v>
      </c>
      <c r="F239" s="1">
        <v>45836</v>
      </c>
      <c r="G239" s="1">
        <v>45834</v>
      </c>
      <c r="H239" t="s">
        <v>33</v>
      </c>
      <c r="I239">
        <v>5</v>
      </c>
      <c r="J239" t="s">
        <v>172</v>
      </c>
    </row>
    <row r="240" spans="1:10" x14ac:dyDescent="0.25">
      <c r="A240" t="s">
        <v>379</v>
      </c>
      <c r="B240" t="s">
        <v>39</v>
      </c>
      <c r="C240">
        <v>62.96</v>
      </c>
      <c r="D240" t="s">
        <v>47</v>
      </c>
      <c r="E240" s="1">
        <v>45831</v>
      </c>
      <c r="F240" s="1">
        <v>45837</v>
      </c>
      <c r="G240" s="1">
        <v>45833</v>
      </c>
      <c r="H240" t="s">
        <v>33</v>
      </c>
      <c r="I240">
        <v>4</v>
      </c>
      <c r="J240" t="s">
        <v>41</v>
      </c>
    </row>
    <row r="241" spans="1:10" x14ac:dyDescent="0.25">
      <c r="A241" t="s">
        <v>380</v>
      </c>
      <c r="B241" t="s">
        <v>39</v>
      </c>
      <c r="C241">
        <v>133.12</v>
      </c>
      <c r="D241" t="s">
        <v>47</v>
      </c>
      <c r="E241" s="1">
        <v>45830</v>
      </c>
      <c r="F241" s="1">
        <v>45837</v>
      </c>
      <c r="G241" s="1">
        <v>45836</v>
      </c>
      <c r="H241" t="s">
        <v>33</v>
      </c>
      <c r="I241">
        <v>4</v>
      </c>
      <c r="J241" t="s">
        <v>127</v>
      </c>
    </row>
    <row r="242" spans="1:10" x14ac:dyDescent="0.25">
      <c r="A242" t="s">
        <v>381</v>
      </c>
      <c r="B242" t="s">
        <v>39</v>
      </c>
      <c r="C242">
        <v>21.14</v>
      </c>
      <c r="D242" t="s">
        <v>150</v>
      </c>
      <c r="E242" s="1">
        <v>45830</v>
      </c>
      <c r="F242" s="1">
        <v>45835</v>
      </c>
      <c r="H242" t="s">
        <v>54</v>
      </c>
      <c r="I242">
        <v>2</v>
      </c>
      <c r="J242" t="s">
        <v>108</v>
      </c>
    </row>
    <row r="243" spans="1:10" x14ac:dyDescent="0.25">
      <c r="A243" t="s">
        <v>382</v>
      </c>
      <c r="B243" t="s">
        <v>76</v>
      </c>
      <c r="C243">
        <v>45.51</v>
      </c>
      <c r="D243" t="s">
        <v>62</v>
      </c>
      <c r="E243" s="1">
        <v>45833</v>
      </c>
      <c r="F243" s="1">
        <v>45838</v>
      </c>
      <c r="G243" s="1">
        <v>45836</v>
      </c>
      <c r="H243" t="s">
        <v>33</v>
      </c>
      <c r="I243">
        <v>5</v>
      </c>
      <c r="J243" t="s">
        <v>134</v>
      </c>
    </row>
    <row r="244" spans="1:10" x14ac:dyDescent="0.25">
      <c r="A244" t="s">
        <v>383</v>
      </c>
      <c r="B244" t="s">
        <v>39</v>
      </c>
      <c r="C244">
        <v>100.99</v>
      </c>
      <c r="D244" t="s">
        <v>99</v>
      </c>
      <c r="E244" s="1">
        <v>45832</v>
      </c>
      <c r="F244" s="1">
        <v>45839</v>
      </c>
      <c r="G244" s="1">
        <v>45838</v>
      </c>
      <c r="H244" t="s">
        <v>33</v>
      </c>
      <c r="I244">
        <v>5</v>
      </c>
      <c r="J244" t="s">
        <v>48</v>
      </c>
    </row>
    <row r="245" spans="1:10" x14ac:dyDescent="0.25">
      <c r="A245" t="s">
        <v>384</v>
      </c>
      <c r="B245" t="s">
        <v>61</v>
      </c>
      <c r="C245">
        <v>71.989999999999995</v>
      </c>
      <c r="D245" t="s">
        <v>68</v>
      </c>
      <c r="E245" s="1">
        <v>45832</v>
      </c>
      <c r="F245" s="1">
        <v>45837</v>
      </c>
      <c r="G245" s="1">
        <v>45834</v>
      </c>
      <c r="H245" t="s">
        <v>33</v>
      </c>
      <c r="I245">
        <v>4</v>
      </c>
      <c r="J245" t="s">
        <v>112</v>
      </c>
    </row>
    <row r="246" spans="1:10" x14ac:dyDescent="0.25">
      <c r="A246" t="s">
        <v>385</v>
      </c>
      <c r="B246" t="s">
        <v>61</v>
      </c>
      <c r="C246">
        <v>52.44</v>
      </c>
      <c r="D246" t="s">
        <v>47</v>
      </c>
      <c r="E246" s="1">
        <v>45833</v>
      </c>
      <c r="F246" s="1">
        <v>45839</v>
      </c>
      <c r="H246" t="s">
        <v>161</v>
      </c>
      <c r="I246">
        <v>1</v>
      </c>
      <c r="J246" t="s">
        <v>162</v>
      </c>
    </row>
    <row r="247" spans="1:10" x14ac:dyDescent="0.25">
      <c r="A247" t="s">
        <v>386</v>
      </c>
      <c r="B247" t="s">
        <v>76</v>
      </c>
      <c r="C247">
        <v>107.37</v>
      </c>
      <c r="D247" t="s">
        <v>62</v>
      </c>
      <c r="E247" s="1">
        <v>45834</v>
      </c>
      <c r="F247" s="1">
        <v>45839</v>
      </c>
      <c r="G247" s="1">
        <v>45836</v>
      </c>
      <c r="H247" t="s">
        <v>33</v>
      </c>
      <c r="I247">
        <v>4</v>
      </c>
      <c r="J247" t="s">
        <v>166</v>
      </c>
    </row>
    <row r="248" spans="1:10" x14ac:dyDescent="0.25">
      <c r="A248" t="s">
        <v>387</v>
      </c>
      <c r="B248" t="s">
        <v>61</v>
      </c>
      <c r="C248">
        <v>108.98</v>
      </c>
      <c r="D248" t="s">
        <v>40</v>
      </c>
      <c r="E248" s="1">
        <v>45835</v>
      </c>
      <c r="F248" s="1">
        <v>45844</v>
      </c>
      <c r="G248" s="1">
        <v>45848</v>
      </c>
      <c r="H248" t="s">
        <v>33</v>
      </c>
      <c r="I248">
        <v>1</v>
      </c>
      <c r="J248" t="s">
        <v>168</v>
      </c>
    </row>
    <row r="249" spans="1:10" x14ac:dyDescent="0.25">
      <c r="A249" t="s">
        <v>388</v>
      </c>
      <c r="B249" t="s">
        <v>61</v>
      </c>
      <c r="C249">
        <v>72.52</v>
      </c>
      <c r="D249" t="s">
        <v>62</v>
      </c>
      <c r="E249" s="1">
        <v>45834</v>
      </c>
      <c r="F249" s="1">
        <v>45843</v>
      </c>
      <c r="G249" s="1">
        <v>45842</v>
      </c>
      <c r="H249" t="s">
        <v>33</v>
      </c>
      <c r="I249">
        <v>5</v>
      </c>
      <c r="J249" t="s">
        <v>211</v>
      </c>
    </row>
    <row r="250" spans="1:10" x14ac:dyDescent="0.25">
      <c r="A250" t="s">
        <v>389</v>
      </c>
      <c r="B250" t="s">
        <v>31</v>
      </c>
      <c r="C250">
        <v>147.59</v>
      </c>
      <c r="D250" t="s">
        <v>47</v>
      </c>
      <c r="E250" s="1">
        <v>45834</v>
      </c>
      <c r="F250" s="1">
        <v>45842</v>
      </c>
      <c r="G250" s="1">
        <v>45836</v>
      </c>
      <c r="H250" t="s">
        <v>33</v>
      </c>
      <c r="I250">
        <v>5</v>
      </c>
      <c r="J250" t="s">
        <v>77</v>
      </c>
    </row>
    <row r="251" spans="1:10" x14ac:dyDescent="0.25">
      <c r="A251" t="s">
        <v>390</v>
      </c>
      <c r="B251" t="s">
        <v>39</v>
      </c>
      <c r="C251">
        <v>81.45</v>
      </c>
      <c r="D251" t="s">
        <v>68</v>
      </c>
      <c r="E251" s="1">
        <v>45835</v>
      </c>
      <c r="F251" s="1">
        <v>45845</v>
      </c>
      <c r="H251" t="s">
        <v>63</v>
      </c>
      <c r="I251">
        <v>2</v>
      </c>
      <c r="J251" t="s">
        <v>108</v>
      </c>
    </row>
    <row r="252" spans="1:10" x14ac:dyDescent="0.25">
      <c r="A252" t="s">
        <v>391</v>
      </c>
      <c r="B252" t="s">
        <v>61</v>
      </c>
      <c r="C252">
        <v>123.49</v>
      </c>
      <c r="D252" t="s">
        <v>47</v>
      </c>
      <c r="E252" s="1">
        <v>45836</v>
      </c>
      <c r="F252" s="1">
        <v>45844</v>
      </c>
      <c r="H252" t="s">
        <v>54</v>
      </c>
      <c r="I252">
        <v>3</v>
      </c>
      <c r="J252" t="s">
        <v>238</v>
      </c>
    </row>
    <row r="253" spans="1:10" x14ac:dyDescent="0.25">
      <c r="A253" t="s">
        <v>392</v>
      </c>
      <c r="B253" t="s">
        <v>31</v>
      </c>
      <c r="C253">
        <v>24.42</v>
      </c>
      <c r="D253" t="s">
        <v>126</v>
      </c>
      <c r="E253" s="1">
        <v>45837</v>
      </c>
      <c r="F253" s="1">
        <v>45844</v>
      </c>
      <c r="G253" s="1">
        <v>45842</v>
      </c>
      <c r="H253" t="s">
        <v>33</v>
      </c>
      <c r="I253">
        <v>4</v>
      </c>
      <c r="J253" t="s">
        <v>172</v>
      </c>
    </row>
    <row r="254" spans="1:10" x14ac:dyDescent="0.25">
      <c r="A254" t="s">
        <v>393</v>
      </c>
      <c r="B254" t="s">
        <v>76</v>
      </c>
      <c r="C254">
        <v>27.69</v>
      </c>
      <c r="D254" t="s">
        <v>62</v>
      </c>
      <c r="E254" s="1">
        <v>45838</v>
      </c>
      <c r="F254" s="1">
        <v>45844</v>
      </c>
      <c r="G254" s="1">
        <v>45840</v>
      </c>
      <c r="H254" t="s">
        <v>33</v>
      </c>
      <c r="I254">
        <v>5</v>
      </c>
      <c r="J254" t="s">
        <v>166</v>
      </c>
    </row>
    <row r="255" spans="1:10" x14ac:dyDescent="0.25">
      <c r="A255" t="s">
        <v>394</v>
      </c>
      <c r="B255" t="s">
        <v>76</v>
      </c>
      <c r="C255">
        <v>26.41</v>
      </c>
      <c r="D255" t="s">
        <v>32</v>
      </c>
      <c r="E255" s="1">
        <v>45837</v>
      </c>
      <c r="F255" s="1">
        <v>45844</v>
      </c>
      <c r="G255" s="1">
        <v>45842</v>
      </c>
      <c r="H255" t="s">
        <v>33</v>
      </c>
      <c r="I255">
        <v>4</v>
      </c>
      <c r="J255" t="s">
        <v>117</v>
      </c>
    </row>
    <row r="256" spans="1:10" x14ac:dyDescent="0.25">
      <c r="A256" t="s">
        <v>395</v>
      </c>
      <c r="B256" t="s">
        <v>76</v>
      </c>
      <c r="C256">
        <v>89.68</v>
      </c>
      <c r="D256" t="s">
        <v>97</v>
      </c>
      <c r="E256" s="1">
        <v>45837</v>
      </c>
      <c r="F256" s="1">
        <v>45842</v>
      </c>
      <c r="G256" s="1">
        <v>45839</v>
      </c>
      <c r="H256" t="s">
        <v>33</v>
      </c>
      <c r="I256">
        <v>5</v>
      </c>
      <c r="J256" t="s">
        <v>77</v>
      </c>
    </row>
    <row r="257" spans="1:10" x14ac:dyDescent="0.25">
      <c r="A257" t="s">
        <v>396</v>
      </c>
      <c r="B257" t="s">
        <v>61</v>
      </c>
      <c r="C257">
        <v>46.76</v>
      </c>
      <c r="D257" t="s">
        <v>47</v>
      </c>
      <c r="E257" s="1">
        <v>45837</v>
      </c>
      <c r="F257" s="1">
        <v>45842</v>
      </c>
      <c r="G257" s="1">
        <v>45840</v>
      </c>
      <c r="H257" t="s">
        <v>33</v>
      </c>
      <c r="I257">
        <v>4</v>
      </c>
      <c r="J257" t="s">
        <v>84</v>
      </c>
    </row>
    <row r="258" spans="1:10" x14ac:dyDescent="0.25">
      <c r="A258" t="s">
        <v>397</v>
      </c>
      <c r="B258" t="s">
        <v>61</v>
      </c>
      <c r="C258">
        <v>130.63999999999999</v>
      </c>
      <c r="D258" t="s">
        <v>47</v>
      </c>
      <c r="E258" s="1">
        <v>45838</v>
      </c>
      <c r="F258" s="1">
        <v>45847</v>
      </c>
      <c r="G258" s="1">
        <v>45840</v>
      </c>
      <c r="H258" t="s">
        <v>33</v>
      </c>
      <c r="I258">
        <v>5</v>
      </c>
      <c r="J258" t="s">
        <v>41</v>
      </c>
    </row>
    <row r="259" spans="1:10" x14ac:dyDescent="0.25">
      <c r="A259" t="s">
        <v>398</v>
      </c>
      <c r="B259" t="s">
        <v>31</v>
      </c>
      <c r="C259">
        <v>43.02</v>
      </c>
      <c r="D259" t="s">
        <v>157</v>
      </c>
      <c r="E259" s="1">
        <v>45838</v>
      </c>
      <c r="F259" s="1">
        <v>45847</v>
      </c>
      <c r="G259" s="1">
        <v>45851</v>
      </c>
      <c r="H259" t="s">
        <v>33</v>
      </c>
      <c r="I259">
        <v>1</v>
      </c>
      <c r="J259" t="s">
        <v>258</v>
      </c>
    </row>
    <row r="260" spans="1:10" x14ac:dyDescent="0.25">
      <c r="A260" t="s">
        <v>399</v>
      </c>
      <c r="B260" t="s">
        <v>39</v>
      </c>
      <c r="C260">
        <v>143.62</v>
      </c>
      <c r="D260" t="s">
        <v>47</v>
      </c>
      <c r="E260" s="1">
        <v>45838</v>
      </c>
      <c r="F260" s="1">
        <v>45846</v>
      </c>
      <c r="G260" s="1">
        <v>45843</v>
      </c>
      <c r="H260" t="s">
        <v>33</v>
      </c>
      <c r="I260">
        <v>4</v>
      </c>
      <c r="J260" t="s">
        <v>79</v>
      </c>
    </row>
    <row r="261" spans="1:10" x14ac:dyDescent="0.25">
      <c r="A261" t="s">
        <v>400</v>
      </c>
      <c r="B261" t="s">
        <v>61</v>
      </c>
      <c r="C261">
        <v>27.92</v>
      </c>
      <c r="D261" t="s">
        <v>62</v>
      </c>
      <c r="E261" s="1">
        <v>45838</v>
      </c>
      <c r="F261" s="1">
        <v>45848</v>
      </c>
      <c r="G261" s="1">
        <v>45850</v>
      </c>
      <c r="H261" t="s">
        <v>33</v>
      </c>
      <c r="I261">
        <v>1</v>
      </c>
      <c r="J261" t="s">
        <v>258</v>
      </c>
    </row>
    <row r="262" spans="1:10" x14ac:dyDescent="0.25">
      <c r="A262" t="s">
        <v>401</v>
      </c>
      <c r="B262" t="s">
        <v>76</v>
      </c>
      <c r="C262">
        <v>28.71</v>
      </c>
      <c r="D262" t="s">
        <v>97</v>
      </c>
      <c r="E262" s="1">
        <v>45839</v>
      </c>
      <c r="F262" s="1">
        <v>45848</v>
      </c>
      <c r="G262" s="1">
        <v>45846</v>
      </c>
      <c r="H262" t="s">
        <v>33</v>
      </c>
      <c r="I262">
        <v>5</v>
      </c>
      <c r="J262" t="s">
        <v>134</v>
      </c>
    </row>
    <row r="263" spans="1:10" x14ac:dyDescent="0.25">
      <c r="A263" t="s">
        <v>402</v>
      </c>
      <c r="B263" t="s">
        <v>76</v>
      </c>
      <c r="C263">
        <v>65.150000000000006</v>
      </c>
      <c r="D263" t="s">
        <v>47</v>
      </c>
      <c r="E263" s="1">
        <v>45839</v>
      </c>
      <c r="F263" s="1">
        <v>45849</v>
      </c>
      <c r="G263" s="1">
        <v>45848</v>
      </c>
      <c r="H263" t="s">
        <v>33</v>
      </c>
      <c r="I263">
        <v>4</v>
      </c>
      <c r="J263" t="s">
        <v>117</v>
      </c>
    </row>
    <row r="264" spans="1:10" x14ac:dyDescent="0.25">
      <c r="A264" t="s">
        <v>403</v>
      </c>
      <c r="B264" t="s">
        <v>31</v>
      </c>
      <c r="C264">
        <v>135.66</v>
      </c>
      <c r="D264" t="s">
        <v>47</v>
      </c>
      <c r="E264" s="1">
        <v>45839</v>
      </c>
      <c r="F264" s="1">
        <v>45844</v>
      </c>
      <c r="G264" s="1">
        <v>45843</v>
      </c>
      <c r="H264" t="s">
        <v>33</v>
      </c>
      <c r="I264">
        <v>5</v>
      </c>
      <c r="J264" t="s">
        <v>41</v>
      </c>
    </row>
    <row r="265" spans="1:10" x14ac:dyDescent="0.25">
      <c r="A265" t="s">
        <v>404</v>
      </c>
      <c r="B265" t="s">
        <v>76</v>
      </c>
      <c r="C265">
        <v>31.51</v>
      </c>
      <c r="D265" t="s">
        <v>62</v>
      </c>
      <c r="E265" s="1">
        <v>45840</v>
      </c>
      <c r="F265" s="1">
        <v>45846</v>
      </c>
      <c r="H265" t="s">
        <v>161</v>
      </c>
      <c r="I265">
        <v>3</v>
      </c>
      <c r="J265" t="s">
        <v>405</v>
      </c>
    </row>
    <row r="266" spans="1:10" x14ac:dyDescent="0.25">
      <c r="A266" t="s">
        <v>406</v>
      </c>
      <c r="B266" t="s">
        <v>76</v>
      </c>
      <c r="C266">
        <v>22.65</v>
      </c>
      <c r="D266" t="s">
        <v>157</v>
      </c>
      <c r="E266" s="1">
        <v>45841</v>
      </c>
      <c r="F266" s="1">
        <v>45847</v>
      </c>
      <c r="G266" s="1">
        <v>45843</v>
      </c>
      <c r="H266" t="s">
        <v>33</v>
      </c>
      <c r="I266">
        <v>4</v>
      </c>
      <c r="J266" t="s">
        <v>166</v>
      </c>
    </row>
    <row r="267" spans="1:10" x14ac:dyDescent="0.25">
      <c r="A267" t="s">
        <v>407</v>
      </c>
      <c r="B267" t="s">
        <v>76</v>
      </c>
      <c r="C267">
        <v>34.69</v>
      </c>
      <c r="D267" t="s">
        <v>68</v>
      </c>
      <c r="E267" s="1">
        <v>45841</v>
      </c>
      <c r="F267" s="1">
        <v>45847</v>
      </c>
      <c r="H267" t="s">
        <v>54</v>
      </c>
      <c r="I267">
        <v>3</v>
      </c>
      <c r="J267" t="s">
        <v>230</v>
      </c>
    </row>
    <row r="268" spans="1:10" x14ac:dyDescent="0.25">
      <c r="A268" t="s">
        <v>408</v>
      </c>
      <c r="B268" t="s">
        <v>61</v>
      </c>
      <c r="C268">
        <v>147.9</v>
      </c>
      <c r="D268" t="s">
        <v>99</v>
      </c>
      <c r="E268" s="1">
        <v>45841</v>
      </c>
      <c r="F268" s="1">
        <v>45847</v>
      </c>
      <c r="G268" s="1">
        <v>45846</v>
      </c>
      <c r="H268" t="s">
        <v>33</v>
      </c>
      <c r="I268">
        <v>4</v>
      </c>
      <c r="J268" t="s">
        <v>172</v>
      </c>
    </row>
    <row r="269" spans="1:10" x14ac:dyDescent="0.25">
      <c r="A269" t="s">
        <v>409</v>
      </c>
      <c r="B269" t="s">
        <v>31</v>
      </c>
      <c r="C269">
        <v>22.22</v>
      </c>
      <c r="D269" t="s">
        <v>47</v>
      </c>
      <c r="E269" s="1">
        <v>45842</v>
      </c>
      <c r="F269" s="1">
        <v>45848</v>
      </c>
      <c r="G269" s="1">
        <v>45848</v>
      </c>
      <c r="H269" t="s">
        <v>33</v>
      </c>
      <c r="I269">
        <v>4</v>
      </c>
      <c r="J269" t="s">
        <v>117</v>
      </c>
    </row>
    <row r="270" spans="1:10" x14ac:dyDescent="0.25">
      <c r="A270" t="s">
        <v>410</v>
      </c>
      <c r="B270" t="s">
        <v>39</v>
      </c>
      <c r="C270">
        <v>24.19</v>
      </c>
      <c r="D270" t="s">
        <v>40</v>
      </c>
      <c r="E270" s="1">
        <v>45841</v>
      </c>
      <c r="F270" s="1">
        <v>45851</v>
      </c>
      <c r="G270" s="1">
        <v>45849</v>
      </c>
      <c r="H270" t="s">
        <v>33</v>
      </c>
      <c r="I270">
        <v>5</v>
      </c>
      <c r="J270" t="s">
        <v>69</v>
      </c>
    </row>
    <row r="271" spans="1:10" x14ac:dyDescent="0.25">
      <c r="A271" t="s">
        <v>411</v>
      </c>
      <c r="B271" t="s">
        <v>76</v>
      </c>
      <c r="C271">
        <v>17.829999999999998</v>
      </c>
      <c r="D271" t="s">
        <v>62</v>
      </c>
      <c r="E271" s="1">
        <v>45841</v>
      </c>
      <c r="F271" s="1">
        <v>45850</v>
      </c>
      <c r="G271" s="1">
        <v>45847</v>
      </c>
      <c r="H271" t="s">
        <v>33</v>
      </c>
      <c r="I271">
        <v>4</v>
      </c>
      <c r="J271" t="s">
        <v>166</v>
      </c>
    </row>
    <row r="272" spans="1:10" x14ac:dyDescent="0.25">
      <c r="A272" t="s">
        <v>412</v>
      </c>
      <c r="B272" t="s">
        <v>39</v>
      </c>
      <c r="C272">
        <v>28.18</v>
      </c>
      <c r="D272" t="s">
        <v>62</v>
      </c>
      <c r="E272" s="1">
        <v>45842</v>
      </c>
      <c r="F272" s="1">
        <v>45850</v>
      </c>
      <c r="H272" t="s">
        <v>161</v>
      </c>
      <c r="I272">
        <v>1</v>
      </c>
      <c r="J272" t="s">
        <v>258</v>
      </c>
    </row>
    <row r="273" spans="1:10" x14ac:dyDescent="0.25">
      <c r="A273" t="s">
        <v>413</v>
      </c>
      <c r="B273" t="s">
        <v>61</v>
      </c>
      <c r="C273">
        <v>123.85</v>
      </c>
      <c r="D273" t="s">
        <v>40</v>
      </c>
      <c r="E273" s="1">
        <v>45842</v>
      </c>
      <c r="F273" s="1">
        <v>45849</v>
      </c>
      <c r="G273" s="1">
        <v>45847</v>
      </c>
      <c r="H273" t="s">
        <v>33</v>
      </c>
      <c r="I273">
        <v>4</v>
      </c>
      <c r="J273" t="s">
        <v>119</v>
      </c>
    </row>
    <row r="274" spans="1:10" x14ac:dyDescent="0.25">
      <c r="A274" t="s">
        <v>414</v>
      </c>
      <c r="B274" t="s">
        <v>61</v>
      </c>
      <c r="C274">
        <v>127.07</v>
      </c>
      <c r="D274" t="s">
        <v>97</v>
      </c>
      <c r="E274" s="1">
        <v>45842</v>
      </c>
      <c r="F274" s="1">
        <v>45848</v>
      </c>
      <c r="G274" s="1">
        <v>45852</v>
      </c>
      <c r="H274" t="s">
        <v>33</v>
      </c>
      <c r="I274">
        <v>2</v>
      </c>
      <c r="J274" t="s">
        <v>168</v>
      </c>
    </row>
    <row r="275" spans="1:10" x14ac:dyDescent="0.25">
      <c r="A275" t="s">
        <v>415</v>
      </c>
      <c r="B275" t="s">
        <v>76</v>
      </c>
      <c r="C275">
        <v>28.65</v>
      </c>
      <c r="D275" t="s">
        <v>150</v>
      </c>
      <c r="E275" s="1">
        <v>45842</v>
      </c>
      <c r="F275" s="1">
        <v>45850</v>
      </c>
      <c r="G275" s="1">
        <v>45845</v>
      </c>
      <c r="H275" t="s">
        <v>33</v>
      </c>
      <c r="I275">
        <v>4</v>
      </c>
      <c r="J275" t="s">
        <v>84</v>
      </c>
    </row>
    <row r="276" spans="1:10" x14ac:dyDescent="0.25">
      <c r="A276" t="s">
        <v>416</v>
      </c>
      <c r="B276" t="s">
        <v>31</v>
      </c>
      <c r="C276">
        <v>35.74</v>
      </c>
      <c r="D276" t="s">
        <v>40</v>
      </c>
      <c r="E276" s="1">
        <v>45842</v>
      </c>
      <c r="F276" s="1">
        <v>45850</v>
      </c>
      <c r="G276" s="1">
        <v>45850</v>
      </c>
      <c r="H276" t="s">
        <v>33</v>
      </c>
      <c r="I276">
        <v>5</v>
      </c>
      <c r="J276" t="s">
        <v>134</v>
      </c>
    </row>
    <row r="277" spans="1:10" x14ac:dyDescent="0.25">
      <c r="A277" t="s">
        <v>417</v>
      </c>
      <c r="B277" t="s">
        <v>76</v>
      </c>
      <c r="C277">
        <v>104.57</v>
      </c>
      <c r="D277" t="s">
        <v>53</v>
      </c>
      <c r="E277" s="1">
        <v>45842</v>
      </c>
      <c r="F277" s="1">
        <v>45849</v>
      </c>
      <c r="G277" s="1">
        <v>45845</v>
      </c>
      <c r="H277" t="s">
        <v>33</v>
      </c>
      <c r="I277">
        <v>5</v>
      </c>
      <c r="J277" t="s">
        <v>77</v>
      </c>
    </row>
    <row r="278" spans="1:10" x14ac:dyDescent="0.25">
      <c r="A278" t="s">
        <v>418</v>
      </c>
      <c r="B278" t="s">
        <v>39</v>
      </c>
      <c r="C278">
        <v>41.09</v>
      </c>
      <c r="D278" t="s">
        <v>97</v>
      </c>
      <c r="E278" s="1">
        <v>45843</v>
      </c>
      <c r="F278" s="1">
        <v>45852</v>
      </c>
      <c r="G278" s="1">
        <v>45846</v>
      </c>
      <c r="H278" t="s">
        <v>33</v>
      </c>
      <c r="I278">
        <v>4</v>
      </c>
      <c r="J278" t="s">
        <v>77</v>
      </c>
    </row>
    <row r="279" spans="1:10" x14ac:dyDescent="0.25">
      <c r="A279" t="s">
        <v>419</v>
      </c>
      <c r="B279" t="s">
        <v>61</v>
      </c>
      <c r="C279">
        <v>59.68</v>
      </c>
      <c r="D279" t="s">
        <v>126</v>
      </c>
      <c r="E279" s="1">
        <v>45843</v>
      </c>
      <c r="F279" s="1">
        <v>45851</v>
      </c>
      <c r="G279" s="1">
        <v>45847</v>
      </c>
      <c r="H279" t="s">
        <v>33</v>
      </c>
      <c r="I279">
        <v>4</v>
      </c>
      <c r="J279" t="s">
        <v>84</v>
      </c>
    </row>
    <row r="280" spans="1:10" x14ac:dyDescent="0.25">
      <c r="A280" t="s">
        <v>420</v>
      </c>
      <c r="B280" t="s">
        <v>31</v>
      </c>
      <c r="C280">
        <v>28.3</v>
      </c>
      <c r="D280" t="s">
        <v>150</v>
      </c>
      <c r="E280" s="1">
        <v>45844</v>
      </c>
      <c r="F280" s="1">
        <v>45854</v>
      </c>
      <c r="G280" s="1">
        <v>45848</v>
      </c>
      <c r="H280" t="s">
        <v>33</v>
      </c>
      <c r="I280">
        <v>5</v>
      </c>
      <c r="J280" t="s">
        <v>117</v>
      </c>
    </row>
    <row r="281" spans="1:10" x14ac:dyDescent="0.25">
      <c r="A281" t="s">
        <v>421</v>
      </c>
      <c r="B281" t="s">
        <v>39</v>
      </c>
      <c r="C281">
        <v>138.47</v>
      </c>
      <c r="D281" t="s">
        <v>99</v>
      </c>
      <c r="E281" s="1">
        <v>45844</v>
      </c>
      <c r="F281" s="1">
        <v>45854</v>
      </c>
      <c r="G281" s="1">
        <v>45855</v>
      </c>
      <c r="H281" t="s">
        <v>33</v>
      </c>
      <c r="I281">
        <v>1</v>
      </c>
      <c r="J281" t="s">
        <v>108</v>
      </c>
    </row>
    <row r="282" spans="1:10" x14ac:dyDescent="0.25">
      <c r="A282" t="s">
        <v>422</v>
      </c>
      <c r="B282" t="s">
        <v>39</v>
      </c>
      <c r="C282">
        <v>87.22</v>
      </c>
      <c r="D282" t="s">
        <v>62</v>
      </c>
      <c r="E282" s="1">
        <v>45844</v>
      </c>
      <c r="F282" s="1">
        <v>45850</v>
      </c>
      <c r="G282" s="1">
        <v>45849</v>
      </c>
      <c r="H282" t="s">
        <v>33</v>
      </c>
      <c r="I282">
        <v>5</v>
      </c>
      <c r="J282" t="s">
        <v>79</v>
      </c>
    </row>
    <row r="283" spans="1:10" x14ac:dyDescent="0.25">
      <c r="A283" t="s">
        <v>423</v>
      </c>
      <c r="B283" t="s">
        <v>39</v>
      </c>
      <c r="C283">
        <v>17.809999999999999</v>
      </c>
      <c r="D283" t="s">
        <v>97</v>
      </c>
      <c r="E283" s="1">
        <v>45846</v>
      </c>
      <c r="F283" s="1">
        <v>45853</v>
      </c>
      <c r="G283" s="1">
        <v>45850</v>
      </c>
      <c r="H283" t="s">
        <v>33</v>
      </c>
      <c r="I283">
        <v>4</v>
      </c>
      <c r="J283" t="s">
        <v>48</v>
      </c>
    </row>
    <row r="284" spans="1:10" x14ac:dyDescent="0.25">
      <c r="A284" t="s">
        <v>424</v>
      </c>
      <c r="B284" t="s">
        <v>31</v>
      </c>
      <c r="C284">
        <v>67.97</v>
      </c>
      <c r="D284" t="s">
        <v>62</v>
      </c>
      <c r="E284" s="1">
        <v>45846</v>
      </c>
      <c r="F284" s="1">
        <v>45852</v>
      </c>
      <c r="G284" s="1">
        <v>45852</v>
      </c>
      <c r="H284" t="s">
        <v>33</v>
      </c>
      <c r="I284">
        <v>5</v>
      </c>
      <c r="J284" t="s">
        <v>34</v>
      </c>
    </row>
    <row r="285" spans="1:10" x14ac:dyDescent="0.25">
      <c r="A285" t="s">
        <v>425</v>
      </c>
      <c r="B285" t="s">
        <v>31</v>
      </c>
      <c r="C285">
        <v>132.44</v>
      </c>
      <c r="D285" t="s">
        <v>47</v>
      </c>
      <c r="E285" s="1">
        <v>45846</v>
      </c>
      <c r="F285" s="1">
        <v>45851</v>
      </c>
      <c r="G285" s="1">
        <v>45850</v>
      </c>
      <c r="H285" t="s">
        <v>33</v>
      </c>
      <c r="I285">
        <v>5</v>
      </c>
      <c r="J285" t="s">
        <v>211</v>
      </c>
    </row>
    <row r="286" spans="1:10" x14ac:dyDescent="0.25">
      <c r="A286" t="s">
        <v>426</v>
      </c>
      <c r="B286" t="s">
        <v>76</v>
      </c>
      <c r="C286">
        <v>25.7</v>
      </c>
      <c r="D286" t="s">
        <v>40</v>
      </c>
      <c r="E286" s="1">
        <v>45846</v>
      </c>
      <c r="F286" s="1">
        <v>45856</v>
      </c>
      <c r="G286" s="1">
        <v>45850</v>
      </c>
      <c r="H286" t="s">
        <v>33</v>
      </c>
      <c r="I286">
        <v>4</v>
      </c>
      <c r="J286" t="s">
        <v>172</v>
      </c>
    </row>
    <row r="287" spans="1:10" x14ac:dyDescent="0.25">
      <c r="A287" t="s">
        <v>427</v>
      </c>
      <c r="B287" t="s">
        <v>76</v>
      </c>
      <c r="C287">
        <v>16.78</v>
      </c>
      <c r="D287" t="s">
        <v>47</v>
      </c>
      <c r="E287" s="1">
        <v>45845</v>
      </c>
      <c r="F287" s="1">
        <v>45853</v>
      </c>
      <c r="G287" s="1">
        <v>45852</v>
      </c>
      <c r="H287" t="s">
        <v>33</v>
      </c>
      <c r="I287">
        <v>4</v>
      </c>
      <c r="J287" t="s">
        <v>211</v>
      </c>
    </row>
    <row r="288" spans="1:10" x14ac:dyDescent="0.25">
      <c r="A288" t="s">
        <v>428</v>
      </c>
      <c r="B288" t="s">
        <v>61</v>
      </c>
      <c r="C288">
        <v>21.82</v>
      </c>
      <c r="D288" t="s">
        <v>97</v>
      </c>
      <c r="E288" s="1">
        <v>45845</v>
      </c>
      <c r="F288" s="1">
        <v>45850</v>
      </c>
      <c r="G288" s="1">
        <v>45854</v>
      </c>
      <c r="H288" t="s">
        <v>33</v>
      </c>
      <c r="I288">
        <v>1</v>
      </c>
      <c r="J288" t="s">
        <v>168</v>
      </c>
    </row>
    <row r="289" spans="1:10" x14ac:dyDescent="0.25">
      <c r="A289" t="s">
        <v>429</v>
      </c>
      <c r="B289" t="s">
        <v>39</v>
      </c>
      <c r="C289">
        <v>28.5</v>
      </c>
      <c r="D289" t="s">
        <v>97</v>
      </c>
      <c r="E289" s="1">
        <v>45845</v>
      </c>
      <c r="F289" s="1">
        <v>45852</v>
      </c>
      <c r="H289" t="s">
        <v>63</v>
      </c>
      <c r="I289">
        <v>2</v>
      </c>
      <c r="J289" t="s">
        <v>108</v>
      </c>
    </row>
    <row r="290" spans="1:10" x14ac:dyDescent="0.25">
      <c r="A290" t="s">
        <v>430</v>
      </c>
      <c r="B290" t="s">
        <v>61</v>
      </c>
      <c r="C290">
        <v>22.97</v>
      </c>
      <c r="D290" t="s">
        <v>133</v>
      </c>
      <c r="E290" s="1">
        <v>45847</v>
      </c>
      <c r="F290" s="1">
        <v>45854</v>
      </c>
      <c r="G290" s="1">
        <v>45853</v>
      </c>
      <c r="H290" t="s">
        <v>33</v>
      </c>
      <c r="I290">
        <v>4</v>
      </c>
      <c r="J290" t="s">
        <v>34</v>
      </c>
    </row>
    <row r="291" spans="1:10" x14ac:dyDescent="0.25">
      <c r="A291" t="s">
        <v>431</v>
      </c>
      <c r="B291" t="s">
        <v>61</v>
      </c>
      <c r="C291">
        <v>16.920000000000002</v>
      </c>
      <c r="D291" t="s">
        <v>47</v>
      </c>
      <c r="E291" s="1">
        <v>45848</v>
      </c>
      <c r="F291" s="1">
        <v>45855</v>
      </c>
      <c r="G291" s="1">
        <v>45851</v>
      </c>
      <c r="H291" t="s">
        <v>33</v>
      </c>
      <c r="I291">
        <v>5</v>
      </c>
      <c r="J291" t="s">
        <v>166</v>
      </c>
    </row>
    <row r="292" spans="1:10" x14ac:dyDescent="0.25">
      <c r="A292" t="s">
        <v>432</v>
      </c>
      <c r="B292" t="s">
        <v>31</v>
      </c>
      <c r="C292">
        <v>37.32</v>
      </c>
      <c r="D292" t="s">
        <v>47</v>
      </c>
      <c r="E292" s="1">
        <v>45848</v>
      </c>
      <c r="F292" s="1">
        <v>45854</v>
      </c>
      <c r="G292" s="1">
        <v>45856</v>
      </c>
      <c r="H292" t="s">
        <v>33</v>
      </c>
      <c r="I292">
        <v>2</v>
      </c>
      <c r="J292" t="s">
        <v>129</v>
      </c>
    </row>
    <row r="293" spans="1:10" x14ac:dyDescent="0.25">
      <c r="A293" t="s">
        <v>433</v>
      </c>
      <c r="B293" t="s">
        <v>61</v>
      </c>
      <c r="C293">
        <v>54.84</v>
      </c>
      <c r="D293" t="s">
        <v>157</v>
      </c>
      <c r="E293" s="1">
        <v>45848</v>
      </c>
      <c r="F293" s="1">
        <v>45853</v>
      </c>
      <c r="G293" s="1">
        <v>45850</v>
      </c>
      <c r="H293" t="s">
        <v>33</v>
      </c>
      <c r="I293">
        <v>5</v>
      </c>
      <c r="J293" t="s">
        <v>77</v>
      </c>
    </row>
    <row r="294" spans="1:10" x14ac:dyDescent="0.25">
      <c r="A294" t="s">
        <v>434</v>
      </c>
      <c r="B294" t="s">
        <v>31</v>
      </c>
      <c r="C294">
        <v>48.65</v>
      </c>
      <c r="D294" t="s">
        <v>47</v>
      </c>
      <c r="E294" s="1">
        <v>45849</v>
      </c>
      <c r="F294" s="1">
        <v>45855</v>
      </c>
      <c r="G294" s="1">
        <v>45851</v>
      </c>
      <c r="H294" t="s">
        <v>33</v>
      </c>
      <c r="I294">
        <v>4</v>
      </c>
      <c r="J294" t="s">
        <v>84</v>
      </c>
    </row>
    <row r="295" spans="1:10" x14ac:dyDescent="0.25">
      <c r="A295" t="s">
        <v>435</v>
      </c>
      <c r="B295" t="s">
        <v>61</v>
      </c>
      <c r="C295">
        <v>130.97999999999999</v>
      </c>
      <c r="D295" t="s">
        <v>62</v>
      </c>
      <c r="E295" s="1">
        <v>45849</v>
      </c>
      <c r="F295" s="1">
        <v>45857</v>
      </c>
      <c r="G295" s="1">
        <v>45852</v>
      </c>
      <c r="H295" t="s">
        <v>33</v>
      </c>
      <c r="I295">
        <v>5</v>
      </c>
      <c r="J295" t="s">
        <v>77</v>
      </c>
    </row>
    <row r="296" spans="1:10" x14ac:dyDescent="0.25">
      <c r="A296" t="s">
        <v>436</v>
      </c>
      <c r="B296" t="s">
        <v>76</v>
      </c>
      <c r="C296">
        <v>19.510000000000002</v>
      </c>
      <c r="D296" t="s">
        <v>47</v>
      </c>
      <c r="E296" s="1">
        <v>45849</v>
      </c>
      <c r="F296" s="1">
        <v>45855</v>
      </c>
      <c r="G296" s="1">
        <v>45851</v>
      </c>
      <c r="H296" t="s">
        <v>33</v>
      </c>
      <c r="I296">
        <v>4</v>
      </c>
      <c r="J296" t="s">
        <v>117</v>
      </c>
    </row>
    <row r="297" spans="1:10" x14ac:dyDescent="0.25">
      <c r="A297" t="s">
        <v>437</v>
      </c>
      <c r="B297" t="s">
        <v>61</v>
      </c>
      <c r="C297">
        <v>26.45</v>
      </c>
      <c r="D297" t="s">
        <v>101</v>
      </c>
      <c r="E297" s="1">
        <v>45849</v>
      </c>
      <c r="F297" s="1">
        <v>45856</v>
      </c>
      <c r="G297" s="1">
        <v>45853</v>
      </c>
      <c r="H297" t="s">
        <v>33</v>
      </c>
      <c r="I297">
        <v>5</v>
      </c>
      <c r="J297" t="s">
        <v>77</v>
      </c>
    </row>
    <row r="298" spans="1:10" x14ac:dyDescent="0.25">
      <c r="A298" t="s">
        <v>438</v>
      </c>
      <c r="B298" t="s">
        <v>61</v>
      </c>
      <c r="C298">
        <v>22.72</v>
      </c>
      <c r="D298" t="s">
        <v>150</v>
      </c>
      <c r="E298" s="1">
        <v>45848</v>
      </c>
      <c r="F298" s="1">
        <v>45856</v>
      </c>
      <c r="G298" s="1">
        <v>45855</v>
      </c>
      <c r="H298" t="s">
        <v>33</v>
      </c>
      <c r="I298">
        <v>5</v>
      </c>
      <c r="J298" t="s">
        <v>34</v>
      </c>
    </row>
    <row r="299" spans="1:10" x14ac:dyDescent="0.25">
      <c r="A299" t="s">
        <v>439</v>
      </c>
      <c r="B299" t="s">
        <v>61</v>
      </c>
      <c r="C299">
        <v>22.83</v>
      </c>
      <c r="D299" t="s">
        <v>47</v>
      </c>
      <c r="E299" s="1">
        <v>45850</v>
      </c>
      <c r="F299" s="1">
        <v>45860</v>
      </c>
      <c r="G299" s="1">
        <v>45852</v>
      </c>
      <c r="H299" t="s">
        <v>33</v>
      </c>
      <c r="I299">
        <v>5</v>
      </c>
      <c r="J299" t="s">
        <v>119</v>
      </c>
    </row>
    <row r="300" spans="1:10" x14ac:dyDescent="0.25">
      <c r="A300" t="s">
        <v>440</v>
      </c>
      <c r="B300" t="s">
        <v>31</v>
      </c>
      <c r="C300">
        <v>97.25</v>
      </c>
      <c r="D300" t="s">
        <v>68</v>
      </c>
      <c r="E300" s="1">
        <v>45850</v>
      </c>
      <c r="F300" s="1">
        <v>45858</v>
      </c>
      <c r="G300" s="1">
        <v>45860</v>
      </c>
      <c r="H300" t="s">
        <v>33</v>
      </c>
      <c r="I300">
        <v>2</v>
      </c>
      <c r="J300" t="s">
        <v>168</v>
      </c>
    </row>
    <row r="301" spans="1:10" x14ac:dyDescent="0.25">
      <c r="A301" t="s">
        <v>441</v>
      </c>
      <c r="B301" t="s">
        <v>61</v>
      </c>
      <c r="C301">
        <v>28.39</v>
      </c>
      <c r="D301" t="s">
        <v>53</v>
      </c>
      <c r="E301" s="1">
        <v>45849</v>
      </c>
      <c r="F301" s="1">
        <v>45859</v>
      </c>
      <c r="G301" s="1">
        <v>45852</v>
      </c>
      <c r="H301" t="s">
        <v>33</v>
      </c>
      <c r="I301">
        <v>5</v>
      </c>
      <c r="J301" t="s">
        <v>41</v>
      </c>
    </row>
    <row r="302" spans="1:10" x14ac:dyDescent="0.25">
      <c r="A302" t="s">
        <v>442</v>
      </c>
      <c r="B302" t="s">
        <v>61</v>
      </c>
      <c r="C302">
        <v>128.96</v>
      </c>
      <c r="D302" t="s">
        <v>32</v>
      </c>
      <c r="E302" s="1">
        <v>45850</v>
      </c>
      <c r="F302" s="1">
        <v>45858</v>
      </c>
      <c r="H302" t="s">
        <v>54</v>
      </c>
      <c r="I302">
        <v>4</v>
      </c>
      <c r="J302" t="s">
        <v>69</v>
      </c>
    </row>
    <row r="303" spans="1:10" x14ac:dyDescent="0.25">
      <c r="A303" t="s">
        <v>443</v>
      </c>
      <c r="B303" t="s">
        <v>61</v>
      </c>
      <c r="C303">
        <v>59.36</v>
      </c>
      <c r="D303" t="s">
        <v>32</v>
      </c>
      <c r="E303" s="1">
        <v>45849</v>
      </c>
      <c r="F303" s="1">
        <v>45854</v>
      </c>
      <c r="G303" s="1">
        <v>45854</v>
      </c>
      <c r="H303" t="s">
        <v>33</v>
      </c>
      <c r="I303">
        <v>4</v>
      </c>
      <c r="J303" t="s">
        <v>34</v>
      </c>
    </row>
    <row r="304" spans="1:10" x14ac:dyDescent="0.25">
      <c r="A304" t="s">
        <v>444</v>
      </c>
      <c r="B304" t="s">
        <v>61</v>
      </c>
      <c r="C304">
        <v>25.82</v>
      </c>
      <c r="D304" t="s">
        <v>40</v>
      </c>
      <c r="E304" s="1">
        <v>45850</v>
      </c>
      <c r="F304" s="1">
        <v>45855</v>
      </c>
      <c r="G304" s="1">
        <v>45854</v>
      </c>
      <c r="H304" t="s">
        <v>33</v>
      </c>
      <c r="I304">
        <v>4</v>
      </c>
      <c r="J304" t="s">
        <v>166</v>
      </c>
    </row>
    <row r="305" spans="1:10" x14ac:dyDescent="0.25">
      <c r="A305" t="s">
        <v>445</v>
      </c>
      <c r="B305" t="s">
        <v>31</v>
      </c>
      <c r="C305">
        <v>139.69</v>
      </c>
      <c r="D305" t="s">
        <v>97</v>
      </c>
      <c r="E305" s="1">
        <v>45850</v>
      </c>
      <c r="F305" s="1">
        <v>45858</v>
      </c>
      <c r="H305" t="s">
        <v>54</v>
      </c>
      <c r="I305">
        <v>3</v>
      </c>
      <c r="J305" t="s">
        <v>352</v>
      </c>
    </row>
    <row r="306" spans="1:10" x14ac:dyDescent="0.25">
      <c r="A306" t="s">
        <v>446</v>
      </c>
      <c r="B306" t="s">
        <v>76</v>
      </c>
      <c r="C306">
        <v>63.55</v>
      </c>
      <c r="D306" t="s">
        <v>157</v>
      </c>
      <c r="E306" s="1">
        <v>45851</v>
      </c>
      <c r="F306" s="1">
        <v>45859</v>
      </c>
      <c r="H306" t="s">
        <v>63</v>
      </c>
      <c r="I306">
        <v>1</v>
      </c>
      <c r="J306" t="s">
        <v>102</v>
      </c>
    </row>
    <row r="307" spans="1:10" x14ac:dyDescent="0.25">
      <c r="A307" t="s">
        <v>447</v>
      </c>
      <c r="B307" t="s">
        <v>39</v>
      </c>
      <c r="C307">
        <v>59.41</v>
      </c>
      <c r="D307" t="s">
        <v>264</v>
      </c>
      <c r="E307" s="1">
        <v>45850</v>
      </c>
      <c r="F307" s="1">
        <v>45855</v>
      </c>
      <c r="G307" s="1">
        <v>45853</v>
      </c>
      <c r="H307" t="s">
        <v>33</v>
      </c>
      <c r="I307">
        <v>4</v>
      </c>
      <c r="J307" t="s">
        <v>112</v>
      </c>
    </row>
    <row r="308" spans="1:10" x14ac:dyDescent="0.25">
      <c r="A308" t="s">
        <v>448</v>
      </c>
      <c r="B308" t="s">
        <v>39</v>
      </c>
      <c r="C308">
        <v>44.56</v>
      </c>
      <c r="D308" t="s">
        <v>47</v>
      </c>
      <c r="E308" s="1">
        <v>45850</v>
      </c>
      <c r="F308" s="1">
        <v>45858</v>
      </c>
      <c r="G308" s="1">
        <v>45858</v>
      </c>
      <c r="H308" t="s">
        <v>33</v>
      </c>
      <c r="I308">
        <v>5</v>
      </c>
      <c r="J308" t="s">
        <v>166</v>
      </c>
    </row>
    <row r="309" spans="1:10" x14ac:dyDescent="0.25">
      <c r="A309" t="s">
        <v>449</v>
      </c>
      <c r="B309" t="s">
        <v>61</v>
      </c>
      <c r="C309">
        <v>15.57</v>
      </c>
      <c r="D309" t="s">
        <v>32</v>
      </c>
      <c r="E309" s="1">
        <v>45851</v>
      </c>
      <c r="F309" s="1">
        <v>45856</v>
      </c>
      <c r="H309" t="s">
        <v>54</v>
      </c>
      <c r="I309">
        <v>3</v>
      </c>
      <c r="J309" t="s">
        <v>230</v>
      </c>
    </row>
    <row r="310" spans="1:10" x14ac:dyDescent="0.25">
      <c r="A310" t="s">
        <v>450</v>
      </c>
      <c r="B310" t="s">
        <v>31</v>
      </c>
      <c r="C310">
        <v>54.3</v>
      </c>
      <c r="D310" t="s">
        <v>68</v>
      </c>
      <c r="E310" s="1">
        <v>45852</v>
      </c>
      <c r="F310" s="1">
        <v>45857</v>
      </c>
      <c r="G310" s="1">
        <v>45856</v>
      </c>
      <c r="H310" t="s">
        <v>33</v>
      </c>
      <c r="I310">
        <v>4</v>
      </c>
      <c r="J310" t="s">
        <v>48</v>
      </c>
    </row>
    <row r="311" spans="1:10" x14ac:dyDescent="0.25">
      <c r="A311" t="s">
        <v>451</v>
      </c>
      <c r="B311" t="s">
        <v>39</v>
      </c>
      <c r="C311">
        <v>40.56</v>
      </c>
      <c r="D311" t="s">
        <v>133</v>
      </c>
      <c r="E311" s="1">
        <v>45852</v>
      </c>
      <c r="F311" s="1">
        <v>45857</v>
      </c>
      <c r="G311" s="1">
        <v>45854</v>
      </c>
      <c r="H311" t="s">
        <v>33</v>
      </c>
      <c r="I311">
        <v>5</v>
      </c>
      <c r="J311" t="s">
        <v>79</v>
      </c>
    </row>
    <row r="312" spans="1:10" x14ac:dyDescent="0.25">
      <c r="A312" t="s">
        <v>452</v>
      </c>
      <c r="B312" t="s">
        <v>39</v>
      </c>
      <c r="C312">
        <v>26.96</v>
      </c>
      <c r="D312" t="s">
        <v>157</v>
      </c>
      <c r="E312" s="1">
        <v>45852</v>
      </c>
      <c r="F312" s="1">
        <v>45860</v>
      </c>
      <c r="G312" s="1">
        <v>45858</v>
      </c>
      <c r="H312" t="s">
        <v>33</v>
      </c>
      <c r="I312">
        <v>5</v>
      </c>
      <c r="J312" t="s">
        <v>119</v>
      </c>
    </row>
    <row r="313" spans="1:10" x14ac:dyDescent="0.25">
      <c r="A313" t="s">
        <v>453</v>
      </c>
      <c r="B313" t="s">
        <v>31</v>
      </c>
      <c r="C313">
        <v>76.3</v>
      </c>
      <c r="D313" t="s">
        <v>32</v>
      </c>
      <c r="E313" s="1">
        <v>45852</v>
      </c>
      <c r="F313" s="1">
        <v>45858</v>
      </c>
      <c r="G313" s="1">
        <v>45856</v>
      </c>
      <c r="H313" t="s">
        <v>33</v>
      </c>
      <c r="I313">
        <v>4</v>
      </c>
      <c r="J313" t="s">
        <v>211</v>
      </c>
    </row>
    <row r="314" spans="1:10" x14ac:dyDescent="0.25">
      <c r="A314" t="s">
        <v>454</v>
      </c>
      <c r="B314" t="s">
        <v>31</v>
      </c>
      <c r="C314">
        <v>123.21</v>
      </c>
      <c r="D314" t="s">
        <v>264</v>
      </c>
      <c r="E314" s="1">
        <v>45852</v>
      </c>
      <c r="F314" s="1">
        <v>45859</v>
      </c>
      <c r="G314" s="1">
        <v>45854</v>
      </c>
      <c r="H314" t="s">
        <v>33</v>
      </c>
      <c r="I314">
        <v>4</v>
      </c>
      <c r="J314" t="s">
        <v>77</v>
      </c>
    </row>
    <row r="315" spans="1:10" x14ac:dyDescent="0.25">
      <c r="A315" t="s">
        <v>455</v>
      </c>
      <c r="B315" t="s">
        <v>76</v>
      </c>
      <c r="C315">
        <v>20.63</v>
      </c>
      <c r="D315" t="s">
        <v>99</v>
      </c>
      <c r="E315" s="1">
        <v>45854</v>
      </c>
      <c r="F315" s="1">
        <v>45864</v>
      </c>
      <c r="G315" s="1">
        <v>45864</v>
      </c>
      <c r="H315" t="s">
        <v>33</v>
      </c>
      <c r="I315">
        <v>4</v>
      </c>
      <c r="J315" t="s">
        <v>79</v>
      </c>
    </row>
    <row r="316" spans="1:10" x14ac:dyDescent="0.25">
      <c r="A316" t="s">
        <v>456</v>
      </c>
      <c r="B316" t="s">
        <v>39</v>
      </c>
      <c r="C316">
        <v>28.29</v>
      </c>
      <c r="D316" t="s">
        <v>83</v>
      </c>
      <c r="E316" s="1">
        <v>45855</v>
      </c>
      <c r="F316" s="1">
        <v>45863</v>
      </c>
      <c r="G316" s="1">
        <v>45859</v>
      </c>
      <c r="H316" t="s">
        <v>33</v>
      </c>
      <c r="I316">
        <v>5</v>
      </c>
      <c r="J316" t="s">
        <v>41</v>
      </c>
    </row>
    <row r="317" spans="1:10" x14ac:dyDescent="0.25">
      <c r="A317" t="s">
        <v>457</v>
      </c>
      <c r="B317" t="s">
        <v>39</v>
      </c>
      <c r="C317">
        <v>28.91</v>
      </c>
      <c r="D317" t="s">
        <v>47</v>
      </c>
      <c r="E317" s="1">
        <v>45854</v>
      </c>
      <c r="F317" s="1">
        <v>45864</v>
      </c>
      <c r="G317" s="1">
        <v>45856</v>
      </c>
      <c r="H317" t="s">
        <v>33</v>
      </c>
      <c r="I317">
        <v>5</v>
      </c>
      <c r="J317" t="s">
        <v>34</v>
      </c>
    </row>
    <row r="318" spans="1:10" x14ac:dyDescent="0.25">
      <c r="A318" t="s">
        <v>458</v>
      </c>
      <c r="B318" t="s">
        <v>76</v>
      </c>
      <c r="C318">
        <v>15.03</v>
      </c>
      <c r="D318" t="s">
        <v>53</v>
      </c>
      <c r="E318" s="1">
        <v>45855</v>
      </c>
      <c r="F318" s="1">
        <v>45864</v>
      </c>
      <c r="G318" s="1">
        <v>45868</v>
      </c>
      <c r="H318" t="s">
        <v>33</v>
      </c>
      <c r="I318">
        <v>2</v>
      </c>
      <c r="J318" t="s">
        <v>162</v>
      </c>
    </row>
    <row r="319" spans="1:10" x14ac:dyDescent="0.25">
      <c r="A319" t="s">
        <v>459</v>
      </c>
      <c r="B319" t="s">
        <v>61</v>
      </c>
      <c r="C319">
        <v>50.07</v>
      </c>
      <c r="D319" t="s">
        <v>99</v>
      </c>
      <c r="E319" s="1">
        <v>45855</v>
      </c>
      <c r="F319" s="1">
        <v>45863</v>
      </c>
      <c r="H319" t="s">
        <v>54</v>
      </c>
      <c r="I319">
        <v>2</v>
      </c>
      <c r="J319" t="s">
        <v>102</v>
      </c>
    </row>
    <row r="320" spans="1:10" x14ac:dyDescent="0.25">
      <c r="A320" t="s">
        <v>460</v>
      </c>
      <c r="B320" t="s">
        <v>31</v>
      </c>
      <c r="C320">
        <v>37.090000000000003</v>
      </c>
      <c r="D320" t="s">
        <v>97</v>
      </c>
      <c r="E320" s="1">
        <v>45856</v>
      </c>
      <c r="F320" s="1">
        <v>45862</v>
      </c>
      <c r="G320" s="1">
        <v>45867</v>
      </c>
      <c r="H320" t="s">
        <v>33</v>
      </c>
      <c r="I320">
        <v>1</v>
      </c>
      <c r="J320" t="s">
        <v>461</v>
      </c>
    </row>
    <row r="321" spans="1:10" x14ac:dyDescent="0.25">
      <c r="A321" t="s">
        <v>462</v>
      </c>
      <c r="B321" t="s">
        <v>31</v>
      </c>
      <c r="C321">
        <v>50.27</v>
      </c>
      <c r="D321" t="s">
        <v>68</v>
      </c>
      <c r="E321" s="1">
        <v>45857</v>
      </c>
      <c r="F321" s="1">
        <v>45863</v>
      </c>
      <c r="G321" s="1">
        <v>45859</v>
      </c>
      <c r="H321" t="s">
        <v>33</v>
      </c>
      <c r="I321">
        <v>4</v>
      </c>
      <c r="J321" t="s">
        <v>112</v>
      </c>
    </row>
    <row r="322" spans="1:10" x14ac:dyDescent="0.25">
      <c r="A322" t="s">
        <v>463</v>
      </c>
      <c r="B322" t="s">
        <v>61</v>
      </c>
      <c r="C322">
        <v>15.36</v>
      </c>
      <c r="D322" t="s">
        <v>40</v>
      </c>
      <c r="E322" s="1">
        <v>45856</v>
      </c>
      <c r="F322" s="1">
        <v>45861</v>
      </c>
      <c r="G322" s="1">
        <v>45860</v>
      </c>
      <c r="H322" t="s">
        <v>33</v>
      </c>
      <c r="I322">
        <v>5</v>
      </c>
      <c r="J322" t="s">
        <v>119</v>
      </c>
    </row>
    <row r="323" spans="1:10" x14ac:dyDescent="0.25">
      <c r="A323" t="s">
        <v>464</v>
      </c>
      <c r="B323" t="s">
        <v>31</v>
      </c>
      <c r="C323">
        <v>110.92</v>
      </c>
      <c r="D323" t="s">
        <v>40</v>
      </c>
      <c r="E323" s="1">
        <v>45857</v>
      </c>
      <c r="F323" s="1">
        <v>45866</v>
      </c>
      <c r="G323" s="1">
        <v>45865</v>
      </c>
      <c r="H323" t="s">
        <v>33</v>
      </c>
      <c r="I323">
        <v>5</v>
      </c>
      <c r="J323" t="s">
        <v>79</v>
      </c>
    </row>
    <row r="324" spans="1:10" x14ac:dyDescent="0.25">
      <c r="A324" t="s">
        <v>465</v>
      </c>
      <c r="B324" t="s">
        <v>31</v>
      </c>
      <c r="C324">
        <v>54.75</v>
      </c>
      <c r="D324" t="s">
        <v>157</v>
      </c>
      <c r="E324" s="1">
        <v>45859</v>
      </c>
      <c r="F324" s="1">
        <v>45867</v>
      </c>
      <c r="H324" t="s">
        <v>63</v>
      </c>
      <c r="I324">
        <v>1</v>
      </c>
      <c r="J324" t="s">
        <v>129</v>
      </c>
    </row>
    <row r="325" spans="1:10" x14ac:dyDescent="0.25">
      <c r="A325" t="s">
        <v>466</v>
      </c>
      <c r="B325" t="s">
        <v>39</v>
      </c>
      <c r="C325">
        <v>18.75</v>
      </c>
      <c r="D325" t="s">
        <v>264</v>
      </c>
      <c r="E325" s="1">
        <v>45859</v>
      </c>
      <c r="F325" s="1">
        <v>45865</v>
      </c>
      <c r="G325" s="1">
        <v>45862</v>
      </c>
      <c r="H325" t="s">
        <v>33</v>
      </c>
      <c r="I325">
        <v>5</v>
      </c>
      <c r="J325" t="s">
        <v>117</v>
      </c>
    </row>
    <row r="326" spans="1:10" x14ac:dyDescent="0.25">
      <c r="A326" t="s">
        <v>467</v>
      </c>
      <c r="B326" t="s">
        <v>76</v>
      </c>
      <c r="C326">
        <v>34.99</v>
      </c>
      <c r="D326" t="s">
        <v>47</v>
      </c>
      <c r="E326" s="1">
        <v>45859</v>
      </c>
      <c r="F326" s="1">
        <v>45866</v>
      </c>
      <c r="G326" s="1">
        <v>45861</v>
      </c>
      <c r="H326" t="s">
        <v>33</v>
      </c>
      <c r="I326">
        <v>5</v>
      </c>
      <c r="J326" t="s">
        <v>112</v>
      </c>
    </row>
    <row r="327" spans="1:10" x14ac:dyDescent="0.25">
      <c r="A327" t="s">
        <v>468</v>
      </c>
      <c r="B327" t="s">
        <v>76</v>
      </c>
      <c r="C327">
        <v>58.31</v>
      </c>
      <c r="D327" t="s">
        <v>101</v>
      </c>
      <c r="E327" s="1">
        <v>45860</v>
      </c>
      <c r="F327" s="1">
        <v>45868</v>
      </c>
      <c r="H327" t="s">
        <v>63</v>
      </c>
      <c r="I327">
        <v>3</v>
      </c>
      <c r="J327" t="s">
        <v>146</v>
      </c>
    </row>
    <row r="328" spans="1:10" x14ac:dyDescent="0.25">
      <c r="A328" t="s">
        <v>469</v>
      </c>
      <c r="B328" t="s">
        <v>76</v>
      </c>
      <c r="C328">
        <v>105.87</v>
      </c>
      <c r="D328" t="s">
        <v>47</v>
      </c>
      <c r="E328" s="1">
        <v>45859</v>
      </c>
      <c r="F328" s="1">
        <v>45869</v>
      </c>
      <c r="H328" t="s">
        <v>63</v>
      </c>
      <c r="I328">
        <v>1</v>
      </c>
      <c r="J328" t="s">
        <v>170</v>
      </c>
    </row>
    <row r="329" spans="1:10" x14ac:dyDescent="0.25">
      <c r="A329" t="s">
        <v>470</v>
      </c>
      <c r="B329" t="s">
        <v>31</v>
      </c>
      <c r="C329">
        <v>28.98</v>
      </c>
      <c r="D329" t="s">
        <v>99</v>
      </c>
      <c r="E329" s="1">
        <v>45860</v>
      </c>
      <c r="F329" s="1">
        <v>45868</v>
      </c>
      <c r="G329" s="1">
        <v>45867</v>
      </c>
      <c r="H329" t="s">
        <v>33</v>
      </c>
      <c r="I329">
        <v>5</v>
      </c>
      <c r="J329" t="s">
        <v>172</v>
      </c>
    </row>
    <row r="330" spans="1:10" x14ac:dyDescent="0.25">
      <c r="A330" t="s">
        <v>471</v>
      </c>
      <c r="B330" t="s">
        <v>61</v>
      </c>
      <c r="C330">
        <v>62.12</v>
      </c>
      <c r="D330" t="s">
        <v>62</v>
      </c>
      <c r="E330" s="1">
        <v>45860</v>
      </c>
      <c r="F330" s="1">
        <v>45868</v>
      </c>
      <c r="G330" s="1">
        <v>45862</v>
      </c>
      <c r="H330" t="s">
        <v>33</v>
      </c>
      <c r="I330">
        <v>5</v>
      </c>
      <c r="J330" t="s">
        <v>166</v>
      </c>
    </row>
    <row r="331" spans="1:10" x14ac:dyDescent="0.25">
      <c r="A331" t="s">
        <v>472</v>
      </c>
      <c r="B331" t="s">
        <v>39</v>
      </c>
      <c r="C331">
        <v>79.930000000000007</v>
      </c>
      <c r="D331" t="s">
        <v>32</v>
      </c>
      <c r="E331" s="1">
        <v>45861</v>
      </c>
      <c r="F331" s="1">
        <v>45868</v>
      </c>
      <c r="G331" s="1">
        <v>45868</v>
      </c>
      <c r="H331" t="s">
        <v>33</v>
      </c>
      <c r="I331">
        <v>5</v>
      </c>
      <c r="J331" t="s">
        <v>134</v>
      </c>
    </row>
    <row r="332" spans="1:10" x14ac:dyDescent="0.25">
      <c r="A332" t="s">
        <v>473</v>
      </c>
      <c r="B332" t="s">
        <v>39</v>
      </c>
      <c r="C332">
        <v>111.9</v>
      </c>
      <c r="D332" t="s">
        <v>83</v>
      </c>
      <c r="E332" s="1">
        <v>45862</v>
      </c>
      <c r="F332" s="1">
        <v>45872</v>
      </c>
      <c r="G332" s="1">
        <v>45872</v>
      </c>
      <c r="H332" t="s">
        <v>33</v>
      </c>
      <c r="I332">
        <v>5</v>
      </c>
      <c r="J332" t="s">
        <v>119</v>
      </c>
    </row>
    <row r="333" spans="1:10" x14ac:dyDescent="0.25">
      <c r="A333" t="s">
        <v>474</v>
      </c>
      <c r="B333" t="s">
        <v>76</v>
      </c>
      <c r="C333">
        <v>41.46</v>
      </c>
      <c r="D333" t="s">
        <v>126</v>
      </c>
      <c r="E333" s="1">
        <v>45862</v>
      </c>
      <c r="F333" s="1">
        <v>45869</v>
      </c>
      <c r="G333" s="1">
        <v>45866</v>
      </c>
      <c r="H333" t="s">
        <v>33</v>
      </c>
      <c r="I333">
        <v>5</v>
      </c>
      <c r="J333" t="s">
        <v>34</v>
      </c>
    </row>
    <row r="334" spans="1:10" x14ac:dyDescent="0.25">
      <c r="A334" t="s">
        <v>475</v>
      </c>
      <c r="B334" t="s">
        <v>76</v>
      </c>
      <c r="C334">
        <v>25.08</v>
      </c>
      <c r="D334" t="s">
        <v>62</v>
      </c>
      <c r="E334" s="1">
        <v>45862</v>
      </c>
      <c r="F334" s="1">
        <v>45870</v>
      </c>
      <c r="G334" s="1">
        <v>45866</v>
      </c>
      <c r="H334" t="s">
        <v>33</v>
      </c>
      <c r="I334">
        <v>4</v>
      </c>
      <c r="J334" t="s">
        <v>117</v>
      </c>
    </row>
    <row r="335" spans="1:10" x14ac:dyDescent="0.25">
      <c r="A335" t="s">
        <v>476</v>
      </c>
      <c r="B335" t="s">
        <v>76</v>
      </c>
      <c r="C335">
        <v>39.53</v>
      </c>
      <c r="D335" t="s">
        <v>97</v>
      </c>
      <c r="E335" s="1">
        <v>45863</v>
      </c>
      <c r="F335" s="1">
        <v>45868</v>
      </c>
      <c r="H335" t="s">
        <v>54</v>
      </c>
      <c r="I335">
        <v>3</v>
      </c>
      <c r="J335" t="s">
        <v>352</v>
      </c>
    </row>
    <row r="336" spans="1:10" x14ac:dyDescent="0.25">
      <c r="A336" t="s">
        <v>477</v>
      </c>
      <c r="B336" t="s">
        <v>76</v>
      </c>
      <c r="C336">
        <v>23.25</v>
      </c>
      <c r="D336" t="s">
        <v>150</v>
      </c>
      <c r="E336" s="1">
        <v>45862</v>
      </c>
      <c r="F336" s="1">
        <v>45869</v>
      </c>
      <c r="G336" s="1">
        <v>45871</v>
      </c>
      <c r="H336" t="s">
        <v>33</v>
      </c>
      <c r="I336">
        <v>3</v>
      </c>
      <c r="J336" t="s">
        <v>230</v>
      </c>
    </row>
    <row r="337" spans="1:10" x14ac:dyDescent="0.25">
      <c r="A337" t="s">
        <v>478</v>
      </c>
      <c r="B337" t="s">
        <v>61</v>
      </c>
      <c r="C337">
        <v>136.35</v>
      </c>
      <c r="D337" t="s">
        <v>126</v>
      </c>
      <c r="E337" s="1">
        <v>45862</v>
      </c>
      <c r="F337" s="1">
        <v>45868</v>
      </c>
      <c r="G337" s="1">
        <v>45867</v>
      </c>
      <c r="H337" t="s">
        <v>33</v>
      </c>
      <c r="I337">
        <v>5</v>
      </c>
      <c r="J337" t="s">
        <v>134</v>
      </c>
    </row>
    <row r="338" spans="1:10" x14ac:dyDescent="0.25">
      <c r="A338" t="s">
        <v>479</v>
      </c>
      <c r="B338" t="s">
        <v>31</v>
      </c>
      <c r="C338">
        <v>55.28</v>
      </c>
      <c r="D338" t="s">
        <v>99</v>
      </c>
      <c r="E338" s="1">
        <v>45863</v>
      </c>
      <c r="F338" s="1">
        <v>45873</v>
      </c>
      <c r="H338" t="s">
        <v>54</v>
      </c>
      <c r="I338">
        <v>2</v>
      </c>
      <c r="J338" t="s">
        <v>140</v>
      </c>
    </row>
    <row r="339" spans="1:10" x14ac:dyDescent="0.25">
      <c r="A339" t="s">
        <v>480</v>
      </c>
      <c r="B339" t="s">
        <v>39</v>
      </c>
      <c r="C339">
        <v>80.12</v>
      </c>
      <c r="D339" t="s">
        <v>62</v>
      </c>
      <c r="E339" s="1">
        <v>45863</v>
      </c>
      <c r="F339" s="1">
        <v>45868</v>
      </c>
      <c r="G339" s="1">
        <v>45866</v>
      </c>
      <c r="H339" t="s">
        <v>33</v>
      </c>
      <c r="I339">
        <v>4</v>
      </c>
      <c r="J339" t="s">
        <v>84</v>
      </c>
    </row>
    <row r="340" spans="1:10" x14ac:dyDescent="0.25">
      <c r="A340" t="s">
        <v>481</v>
      </c>
      <c r="B340" t="s">
        <v>31</v>
      </c>
      <c r="C340">
        <v>29.48</v>
      </c>
      <c r="D340" t="s">
        <v>97</v>
      </c>
      <c r="E340" s="1">
        <v>45862</v>
      </c>
      <c r="F340" s="1">
        <v>45868</v>
      </c>
      <c r="H340" t="s">
        <v>54</v>
      </c>
      <c r="I340">
        <v>4</v>
      </c>
      <c r="J340" t="s">
        <v>134</v>
      </c>
    </row>
    <row r="341" spans="1:10" x14ac:dyDescent="0.25">
      <c r="A341" t="s">
        <v>482</v>
      </c>
      <c r="B341" t="s">
        <v>31</v>
      </c>
      <c r="C341">
        <v>108.74</v>
      </c>
      <c r="D341" t="s">
        <v>97</v>
      </c>
      <c r="E341" s="1">
        <v>45862</v>
      </c>
      <c r="F341" s="1">
        <v>45869</v>
      </c>
      <c r="G341" s="1">
        <v>45868</v>
      </c>
      <c r="H341" t="s">
        <v>33</v>
      </c>
      <c r="I341">
        <v>4</v>
      </c>
      <c r="J341" t="s">
        <v>84</v>
      </c>
    </row>
    <row r="342" spans="1:10" x14ac:dyDescent="0.25">
      <c r="A342" t="s">
        <v>483</v>
      </c>
      <c r="B342" t="s">
        <v>76</v>
      </c>
      <c r="C342">
        <v>29.81</v>
      </c>
      <c r="D342" t="s">
        <v>99</v>
      </c>
      <c r="E342" s="1">
        <v>45863</v>
      </c>
      <c r="F342" s="1">
        <v>45872</v>
      </c>
      <c r="G342" s="1">
        <v>45872</v>
      </c>
      <c r="H342" t="s">
        <v>33</v>
      </c>
      <c r="I342">
        <v>5</v>
      </c>
      <c r="J342" t="s">
        <v>79</v>
      </c>
    </row>
    <row r="343" spans="1:10" x14ac:dyDescent="0.25">
      <c r="A343" t="s">
        <v>484</v>
      </c>
      <c r="B343" t="s">
        <v>61</v>
      </c>
      <c r="C343">
        <v>46.59</v>
      </c>
      <c r="D343" t="s">
        <v>99</v>
      </c>
      <c r="E343" s="1">
        <v>45863</v>
      </c>
      <c r="F343" s="1">
        <v>45869</v>
      </c>
      <c r="G343" s="1">
        <v>45866</v>
      </c>
      <c r="H343" t="s">
        <v>33</v>
      </c>
      <c r="I343">
        <v>5</v>
      </c>
      <c r="J343" t="s">
        <v>69</v>
      </c>
    </row>
    <row r="344" spans="1:10" x14ac:dyDescent="0.25">
      <c r="A344" t="s">
        <v>485</v>
      </c>
      <c r="B344" t="s">
        <v>76</v>
      </c>
      <c r="C344">
        <v>124.23</v>
      </c>
      <c r="D344" t="s">
        <v>40</v>
      </c>
      <c r="E344" s="1">
        <v>45864</v>
      </c>
      <c r="F344" s="1">
        <v>45871</v>
      </c>
      <c r="G344" s="1">
        <v>45866</v>
      </c>
      <c r="H344" t="s">
        <v>33</v>
      </c>
      <c r="I344">
        <v>5</v>
      </c>
      <c r="J344" t="s">
        <v>211</v>
      </c>
    </row>
    <row r="345" spans="1:10" x14ac:dyDescent="0.25">
      <c r="A345" t="s">
        <v>486</v>
      </c>
      <c r="B345" t="s">
        <v>76</v>
      </c>
      <c r="C345">
        <v>24.37</v>
      </c>
      <c r="D345" t="s">
        <v>62</v>
      </c>
      <c r="E345" s="1">
        <v>45864</v>
      </c>
      <c r="F345" s="1">
        <v>45874</v>
      </c>
      <c r="G345" s="1">
        <v>45870</v>
      </c>
      <c r="H345" t="s">
        <v>33</v>
      </c>
      <c r="I345">
        <v>4</v>
      </c>
      <c r="J345" t="s">
        <v>119</v>
      </c>
    </row>
    <row r="346" spans="1:10" x14ac:dyDescent="0.25">
      <c r="A346" t="s">
        <v>487</v>
      </c>
      <c r="B346" t="s">
        <v>31</v>
      </c>
      <c r="C346">
        <v>116.37</v>
      </c>
      <c r="D346" t="s">
        <v>40</v>
      </c>
      <c r="E346" s="1">
        <v>45864</v>
      </c>
      <c r="F346" s="1">
        <v>45870</v>
      </c>
      <c r="G346" s="1">
        <v>45869</v>
      </c>
      <c r="H346" t="s">
        <v>33</v>
      </c>
      <c r="I346">
        <v>4</v>
      </c>
      <c r="J346" t="s">
        <v>166</v>
      </c>
    </row>
    <row r="347" spans="1:10" x14ac:dyDescent="0.25">
      <c r="A347" t="s">
        <v>488</v>
      </c>
      <c r="B347" t="s">
        <v>76</v>
      </c>
      <c r="C347">
        <v>34.76</v>
      </c>
      <c r="D347" t="s">
        <v>150</v>
      </c>
      <c r="E347" s="1">
        <v>45865</v>
      </c>
      <c r="F347" s="1">
        <v>45874</v>
      </c>
      <c r="G347" s="1">
        <v>45872</v>
      </c>
      <c r="H347" t="s">
        <v>33</v>
      </c>
      <c r="I347">
        <v>5</v>
      </c>
      <c r="J347" t="s">
        <v>117</v>
      </c>
    </row>
    <row r="348" spans="1:10" x14ac:dyDescent="0.25">
      <c r="A348" t="s">
        <v>489</v>
      </c>
      <c r="B348" t="s">
        <v>76</v>
      </c>
      <c r="C348">
        <v>18.95</v>
      </c>
      <c r="D348" t="s">
        <v>97</v>
      </c>
      <c r="E348" s="1">
        <v>45865</v>
      </c>
      <c r="F348" s="1">
        <v>45870</v>
      </c>
      <c r="G348" s="1">
        <v>45868</v>
      </c>
      <c r="H348" t="s">
        <v>33</v>
      </c>
      <c r="I348">
        <v>4</v>
      </c>
      <c r="J348" t="s">
        <v>84</v>
      </c>
    </row>
    <row r="349" spans="1:10" x14ac:dyDescent="0.25">
      <c r="A349" t="s">
        <v>490</v>
      </c>
      <c r="B349" t="s">
        <v>31</v>
      </c>
      <c r="C349">
        <v>21.41</v>
      </c>
      <c r="D349" t="s">
        <v>157</v>
      </c>
      <c r="E349" s="1">
        <v>45866</v>
      </c>
      <c r="F349" s="1">
        <v>45876</v>
      </c>
      <c r="H349" t="s">
        <v>161</v>
      </c>
      <c r="I349">
        <v>1</v>
      </c>
      <c r="J349" t="s">
        <v>64</v>
      </c>
    </row>
    <row r="350" spans="1:10" x14ac:dyDescent="0.25">
      <c r="A350" t="s">
        <v>491</v>
      </c>
      <c r="B350" t="s">
        <v>76</v>
      </c>
      <c r="C350">
        <v>20.83</v>
      </c>
      <c r="D350" t="s">
        <v>62</v>
      </c>
      <c r="E350" s="1">
        <v>45866</v>
      </c>
      <c r="F350" s="1">
        <v>45872</v>
      </c>
      <c r="G350" s="1">
        <v>45873</v>
      </c>
      <c r="H350" t="s">
        <v>33</v>
      </c>
      <c r="I350">
        <v>2</v>
      </c>
      <c r="J350" t="s">
        <v>170</v>
      </c>
    </row>
    <row r="351" spans="1:10" x14ac:dyDescent="0.25">
      <c r="A351" t="s">
        <v>492</v>
      </c>
      <c r="B351" t="s">
        <v>39</v>
      </c>
      <c r="C351">
        <v>56.3</v>
      </c>
      <c r="D351" t="s">
        <v>62</v>
      </c>
      <c r="E351" s="1">
        <v>45867</v>
      </c>
      <c r="F351" s="1">
        <v>45877</v>
      </c>
      <c r="G351" s="1">
        <v>45874</v>
      </c>
      <c r="H351" t="s">
        <v>33</v>
      </c>
      <c r="I351">
        <v>5</v>
      </c>
      <c r="J351" t="s">
        <v>119</v>
      </c>
    </row>
    <row r="352" spans="1:10" x14ac:dyDescent="0.25">
      <c r="A352" t="s">
        <v>493</v>
      </c>
      <c r="B352" t="s">
        <v>39</v>
      </c>
      <c r="C352">
        <v>17.45</v>
      </c>
      <c r="D352" t="s">
        <v>62</v>
      </c>
      <c r="E352" s="1">
        <v>45866</v>
      </c>
      <c r="F352" s="1">
        <v>45872</v>
      </c>
      <c r="G352" s="1">
        <v>45868</v>
      </c>
      <c r="H352" t="s">
        <v>33</v>
      </c>
      <c r="I352">
        <v>5</v>
      </c>
      <c r="J352" t="s">
        <v>166</v>
      </c>
    </row>
    <row r="353" spans="1:10" x14ac:dyDescent="0.25">
      <c r="A353" t="s">
        <v>494</v>
      </c>
      <c r="B353" t="s">
        <v>31</v>
      </c>
      <c r="C353">
        <v>55.59</v>
      </c>
      <c r="D353" t="s">
        <v>47</v>
      </c>
      <c r="E353" s="1">
        <v>45866</v>
      </c>
      <c r="F353" s="1">
        <v>45875</v>
      </c>
      <c r="G353" s="1">
        <v>45873</v>
      </c>
      <c r="H353" t="s">
        <v>33</v>
      </c>
      <c r="I353">
        <v>4</v>
      </c>
      <c r="J353" t="s">
        <v>127</v>
      </c>
    </row>
    <row r="354" spans="1:10" x14ac:dyDescent="0.25">
      <c r="A354" t="s">
        <v>495</v>
      </c>
      <c r="B354" t="s">
        <v>31</v>
      </c>
      <c r="C354">
        <v>29.65</v>
      </c>
      <c r="D354" t="s">
        <v>99</v>
      </c>
      <c r="E354" s="1">
        <v>45866</v>
      </c>
      <c r="F354" s="1">
        <v>45875</v>
      </c>
      <c r="H354" t="s">
        <v>63</v>
      </c>
      <c r="I354">
        <v>3</v>
      </c>
      <c r="J354" t="s">
        <v>352</v>
      </c>
    </row>
    <row r="355" spans="1:10" x14ac:dyDescent="0.25">
      <c r="A355" t="s">
        <v>496</v>
      </c>
      <c r="B355" t="s">
        <v>61</v>
      </c>
      <c r="C355">
        <v>18.47</v>
      </c>
      <c r="D355" t="s">
        <v>97</v>
      </c>
      <c r="E355" s="1">
        <v>45867</v>
      </c>
      <c r="F355" s="1">
        <v>45874</v>
      </c>
      <c r="G355" s="1">
        <v>45874</v>
      </c>
      <c r="H355" t="s">
        <v>33</v>
      </c>
      <c r="I355">
        <v>5</v>
      </c>
      <c r="J355" t="s">
        <v>117</v>
      </c>
    </row>
    <row r="356" spans="1:10" x14ac:dyDescent="0.25">
      <c r="A356" t="s">
        <v>497</v>
      </c>
      <c r="B356" t="s">
        <v>31</v>
      </c>
      <c r="C356">
        <v>47.23</v>
      </c>
      <c r="D356" t="s">
        <v>68</v>
      </c>
      <c r="E356" s="1">
        <v>45868</v>
      </c>
      <c r="F356" s="1">
        <v>45873</v>
      </c>
      <c r="G356" s="1">
        <v>45871</v>
      </c>
      <c r="H356" t="s">
        <v>33</v>
      </c>
      <c r="I356">
        <v>4</v>
      </c>
      <c r="J356" t="s">
        <v>134</v>
      </c>
    </row>
    <row r="357" spans="1:10" x14ac:dyDescent="0.25">
      <c r="A357" t="s">
        <v>498</v>
      </c>
      <c r="B357" t="s">
        <v>76</v>
      </c>
      <c r="C357">
        <v>28.71</v>
      </c>
      <c r="D357" t="s">
        <v>62</v>
      </c>
      <c r="E357" s="1">
        <v>45869</v>
      </c>
      <c r="F357" s="1">
        <v>45879</v>
      </c>
      <c r="H357" t="s">
        <v>63</v>
      </c>
      <c r="I357">
        <v>3</v>
      </c>
      <c r="J357" t="s">
        <v>243</v>
      </c>
    </row>
    <row r="358" spans="1:10" x14ac:dyDescent="0.25">
      <c r="A358" t="s">
        <v>499</v>
      </c>
      <c r="B358" t="s">
        <v>61</v>
      </c>
      <c r="C358">
        <v>136.12</v>
      </c>
      <c r="D358" t="s">
        <v>97</v>
      </c>
      <c r="E358" s="1">
        <v>45868</v>
      </c>
      <c r="F358" s="1">
        <v>45878</v>
      </c>
      <c r="G358" s="1">
        <v>45875</v>
      </c>
      <c r="H358" t="s">
        <v>33</v>
      </c>
      <c r="I358">
        <v>5</v>
      </c>
      <c r="J358" t="s">
        <v>127</v>
      </c>
    </row>
    <row r="359" spans="1:10" x14ac:dyDescent="0.25">
      <c r="A359" t="s">
        <v>500</v>
      </c>
      <c r="B359" t="s">
        <v>39</v>
      </c>
      <c r="C359">
        <v>25.92</v>
      </c>
      <c r="D359" t="s">
        <v>99</v>
      </c>
      <c r="E359" s="1">
        <v>45869</v>
      </c>
      <c r="F359" s="1">
        <v>45876</v>
      </c>
      <c r="G359" s="1">
        <v>45875</v>
      </c>
      <c r="H359" t="s">
        <v>33</v>
      </c>
      <c r="I359">
        <v>5</v>
      </c>
      <c r="J359" t="s">
        <v>172</v>
      </c>
    </row>
    <row r="360" spans="1:10" x14ac:dyDescent="0.25">
      <c r="A360" t="s">
        <v>501</v>
      </c>
      <c r="B360" t="s">
        <v>76</v>
      </c>
      <c r="C360">
        <v>85.35</v>
      </c>
      <c r="D360" t="s">
        <v>68</v>
      </c>
      <c r="E360" s="1">
        <v>45869</v>
      </c>
      <c r="F360" s="1">
        <v>45876</v>
      </c>
      <c r="G360" s="1">
        <v>45871</v>
      </c>
      <c r="H360" t="s">
        <v>33</v>
      </c>
      <c r="I360">
        <v>5</v>
      </c>
      <c r="J360" t="s">
        <v>41</v>
      </c>
    </row>
    <row r="361" spans="1:10" x14ac:dyDescent="0.25">
      <c r="A361" t="s">
        <v>502</v>
      </c>
      <c r="B361" t="s">
        <v>61</v>
      </c>
      <c r="C361">
        <v>126.57</v>
      </c>
      <c r="D361" t="s">
        <v>68</v>
      </c>
      <c r="E361" s="1">
        <v>45870</v>
      </c>
      <c r="F361" s="1">
        <v>45875</v>
      </c>
      <c r="H361" t="s">
        <v>54</v>
      </c>
      <c r="I361">
        <v>4</v>
      </c>
      <c r="J361" t="s">
        <v>127</v>
      </c>
    </row>
    <row r="362" spans="1:10" x14ac:dyDescent="0.25">
      <c r="A362" t="s">
        <v>503</v>
      </c>
      <c r="B362" t="s">
        <v>39</v>
      </c>
      <c r="C362">
        <v>25.43</v>
      </c>
      <c r="D362" t="s">
        <v>40</v>
      </c>
      <c r="E362" s="1">
        <v>45870</v>
      </c>
      <c r="F362" s="1">
        <v>45877</v>
      </c>
      <c r="H362" t="s">
        <v>54</v>
      </c>
      <c r="I362">
        <v>4</v>
      </c>
      <c r="J362" t="s">
        <v>34</v>
      </c>
    </row>
    <row r="363" spans="1:10" x14ac:dyDescent="0.25">
      <c r="A363" t="s">
        <v>504</v>
      </c>
      <c r="B363" t="s">
        <v>76</v>
      </c>
      <c r="C363">
        <v>23.51</v>
      </c>
      <c r="D363" t="s">
        <v>62</v>
      </c>
      <c r="E363" s="1">
        <v>45870</v>
      </c>
      <c r="F363" s="1">
        <v>45875</v>
      </c>
      <c r="H363" t="s">
        <v>54</v>
      </c>
      <c r="I363">
        <v>3</v>
      </c>
      <c r="J363" t="s">
        <v>55</v>
      </c>
    </row>
    <row r="364" spans="1:10" x14ac:dyDescent="0.25">
      <c r="A364" t="s">
        <v>505</v>
      </c>
      <c r="B364" t="s">
        <v>39</v>
      </c>
      <c r="C364">
        <v>21.61</v>
      </c>
      <c r="D364" t="s">
        <v>40</v>
      </c>
      <c r="E364" s="1">
        <v>45870</v>
      </c>
      <c r="F364" s="1">
        <v>45876</v>
      </c>
      <c r="G364" s="1">
        <v>45881</v>
      </c>
      <c r="H364" t="s">
        <v>33</v>
      </c>
      <c r="I364">
        <v>1</v>
      </c>
      <c r="J364" t="s">
        <v>131</v>
      </c>
    </row>
    <row r="365" spans="1:10" x14ac:dyDescent="0.25">
      <c r="A365" t="s">
        <v>506</v>
      </c>
      <c r="B365" t="s">
        <v>61</v>
      </c>
      <c r="C365">
        <v>24.27</v>
      </c>
      <c r="D365" t="s">
        <v>47</v>
      </c>
      <c r="E365" s="1">
        <v>45869</v>
      </c>
      <c r="F365" s="1">
        <v>45879</v>
      </c>
      <c r="H365" t="s">
        <v>54</v>
      </c>
      <c r="I365">
        <v>3</v>
      </c>
      <c r="J365" t="s">
        <v>146</v>
      </c>
    </row>
    <row r="366" spans="1:10" x14ac:dyDescent="0.25">
      <c r="A366" t="s">
        <v>507</v>
      </c>
      <c r="B366" t="s">
        <v>39</v>
      </c>
      <c r="C366">
        <v>24.69</v>
      </c>
      <c r="D366" t="s">
        <v>68</v>
      </c>
      <c r="E366" s="1">
        <v>45870</v>
      </c>
      <c r="F366" s="1">
        <v>45878</v>
      </c>
      <c r="G366" s="1">
        <v>45873</v>
      </c>
      <c r="H366" t="s">
        <v>33</v>
      </c>
      <c r="I366">
        <v>5</v>
      </c>
      <c r="J366" t="s">
        <v>84</v>
      </c>
    </row>
    <row r="367" spans="1:10" x14ac:dyDescent="0.25">
      <c r="A367" t="s">
        <v>508</v>
      </c>
      <c r="B367" t="s">
        <v>61</v>
      </c>
      <c r="C367">
        <v>94.63</v>
      </c>
      <c r="D367" t="s">
        <v>47</v>
      </c>
      <c r="E367" s="1">
        <v>45869</v>
      </c>
      <c r="F367" s="1">
        <v>45877</v>
      </c>
      <c r="H367" t="s">
        <v>63</v>
      </c>
      <c r="I367">
        <v>1</v>
      </c>
      <c r="J367" t="s">
        <v>170</v>
      </c>
    </row>
    <row r="368" spans="1:10" x14ac:dyDescent="0.25">
      <c r="A368" t="s">
        <v>509</v>
      </c>
      <c r="B368" t="s">
        <v>31</v>
      </c>
      <c r="C368">
        <v>108.68</v>
      </c>
      <c r="D368" t="s">
        <v>47</v>
      </c>
      <c r="E368" s="1">
        <v>45871</v>
      </c>
      <c r="F368" s="1">
        <v>45881</v>
      </c>
      <c r="G368" s="1">
        <v>45881</v>
      </c>
      <c r="H368" t="s">
        <v>33</v>
      </c>
      <c r="I368">
        <v>4</v>
      </c>
      <c r="J368" t="s">
        <v>211</v>
      </c>
    </row>
    <row r="369" spans="1:10" x14ac:dyDescent="0.25">
      <c r="A369" t="s">
        <v>510</v>
      </c>
      <c r="B369" t="s">
        <v>76</v>
      </c>
      <c r="C369">
        <v>40.299999999999997</v>
      </c>
      <c r="D369" t="s">
        <v>97</v>
      </c>
      <c r="E369" s="1">
        <v>45871</v>
      </c>
      <c r="F369" s="1">
        <v>45877</v>
      </c>
      <c r="H369" t="s">
        <v>54</v>
      </c>
      <c r="I369">
        <v>3</v>
      </c>
      <c r="J369" t="s">
        <v>243</v>
      </c>
    </row>
    <row r="370" spans="1:10" x14ac:dyDescent="0.25">
      <c r="A370" t="s">
        <v>511</v>
      </c>
      <c r="B370" t="s">
        <v>39</v>
      </c>
      <c r="C370">
        <v>45.17</v>
      </c>
      <c r="D370" t="s">
        <v>97</v>
      </c>
      <c r="E370" s="1">
        <v>45871</v>
      </c>
      <c r="F370" s="1">
        <v>45877</v>
      </c>
      <c r="H370" t="s">
        <v>161</v>
      </c>
      <c r="I370">
        <v>1</v>
      </c>
      <c r="J370" t="s">
        <v>185</v>
      </c>
    </row>
    <row r="371" spans="1:10" x14ac:dyDescent="0.25">
      <c r="A371" t="s">
        <v>512</v>
      </c>
      <c r="B371" t="s">
        <v>76</v>
      </c>
      <c r="C371">
        <v>30.91</v>
      </c>
      <c r="D371" t="s">
        <v>40</v>
      </c>
      <c r="E371" s="1">
        <v>45872</v>
      </c>
      <c r="F371" s="1">
        <v>45879</v>
      </c>
      <c r="H371" t="s">
        <v>161</v>
      </c>
      <c r="I371">
        <v>2</v>
      </c>
      <c r="J371" t="s">
        <v>102</v>
      </c>
    </row>
    <row r="372" spans="1:10" x14ac:dyDescent="0.25">
      <c r="A372" t="s">
        <v>513</v>
      </c>
      <c r="B372" t="s">
        <v>31</v>
      </c>
      <c r="C372">
        <v>23.7</v>
      </c>
      <c r="D372" t="s">
        <v>83</v>
      </c>
      <c r="E372" s="1">
        <v>45872</v>
      </c>
      <c r="F372" s="1">
        <v>45877</v>
      </c>
      <c r="G372" s="1">
        <v>45879</v>
      </c>
      <c r="H372" t="s">
        <v>33</v>
      </c>
      <c r="I372">
        <v>3</v>
      </c>
      <c r="J372" t="s">
        <v>405</v>
      </c>
    </row>
    <row r="373" spans="1:10" x14ac:dyDescent="0.25">
      <c r="A373" t="s">
        <v>514</v>
      </c>
      <c r="B373" t="s">
        <v>76</v>
      </c>
      <c r="C373">
        <v>21.22</v>
      </c>
      <c r="D373" t="s">
        <v>47</v>
      </c>
      <c r="E373" s="1">
        <v>45872</v>
      </c>
      <c r="F373" s="1">
        <v>45877</v>
      </c>
      <c r="H373" t="s">
        <v>63</v>
      </c>
      <c r="I373">
        <v>3</v>
      </c>
      <c r="J373" t="s">
        <v>121</v>
      </c>
    </row>
    <row r="374" spans="1:10" x14ac:dyDescent="0.25">
      <c r="A374" t="s">
        <v>515</v>
      </c>
      <c r="B374" t="s">
        <v>31</v>
      </c>
      <c r="C374">
        <v>23.97</v>
      </c>
      <c r="D374" t="s">
        <v>47</v>
      </c>
      <c r="E374" s="1">
        <v>45873</v>
      </c>
      <c r="F374" s="1">
        <v>45880</v>
      </c>
      <c r="G374" s="1">
        <v>45885</v>
      </c>
      <c r="H374" t="s">
        <v>33</v>
      </c>
      <c r="I374">
        <v>3</v>
      </c>
      <c r="J374" t="s">
        <v>230</v>
      </c>
    </row>
    <row r="375" spans="1:10" x14ac:dyDescent="0.25">
      <c r="A375" t="s">
        <v>516</v>
      </c>
      <c r="B375" t="s">
        <v>31</v>
      </c>
      <c r="C375">
        <v>39.65</v>
      </c>
      <c r="D375" t="s">
        <v>68</v>
      </c>
      <c r="E375" s="1">
        <v>45874</v>
      </c>
      <c r="F375" s="1">
        <v>45882</v>
      </c>
      <c r="G375" s="1">
        <v>45879</v>
      </c>
      <c r="H375" t="s">
        <v>33</v>
      </c>
      <c r="I375">
        <v>5</v>
      </c>
      <c r="J375" t="s">
        <v>79</v>
      </c>
    </row>
    <row r="376" spans="1:10" x14ac:dyDescent="0.25">
      <c r="A376" t="s">
        <v>517</v>
      </c>
      <c r="B376" t="s">
        <v>76</v>
      </c>
      <c r="C376">
        <v>55.62</v>
      </c>
      <c r="D376" t="s">
        <v>150</v>
      </c>
      <c r="E376" s="1">
        <v>45873</v>
      </c>
      <c r="F376" s="1">
        <v>45882</v>
      </c>
      <c r="G376" s="1">
        <v>45886</v>
      </c>
      <c r="H376" t="s">
        <v>33</v>
      </c>
      <c r="I376">
        <v>2</v>
      </c>
      <c r="J376" t="s">
        <v>162</v>
      </c>
    </row>
    <row r="377" spans="1:10" x14ac:dyDescent="0.25">
      <c r="A377" t="s">
        <v>518</v>
      </c>
      <c r="B377" t="s">
        <v>76</v>
      </c>
      <c r="C377">
        <v>124.13</v>
      </c>
      <c r="D377" t="s">
        <v>47</v>
      </c>
      <c r="E377" s="1">
        <v>45875</v>
      </c>
      <c r="F377" s="1">
        <v>45883</v>
      </c>
      <c r="H377" t="s">
        <v>54</v>
      </c>
      <c r="I377">
        <v>3</v>
      </c>
      <c r="J377" t="s">
        <v>238</v>
      </c>
    </row>
    <row r="378" spans="1:10" x14ac:dyDescent="0.25">
      <c r="A378" t="s">
        <v>519</v>
      </c>
      <c r="B378" t="s">
        <v>61</v>
      </c>
      <c r="C378">
        <v>27.96</v>
      </c>
      <c r="D378" t="s">
        <v>150</v>
      </c>
      <c r="E378" s="1">
        <v>45875</v>
      </c>
      <c r="F378" s="1">
        <v>45881</v>
      </c>
      <c r="G378" s="1">
        <v>45880</v>
      </c>
      <c r="H378" t="s">
        <v>33</v>
      </c>
      <c r="I378">
        <v>4</v>
      </c>
      <c r="J378" t="s">
        <v>127</v>
      </c>
    </row>
    <row r="379" spans="1:10" x14ac:dyDescent="0.25">
      <c r="A379" t="s">
        <v>520</v>
      </c>
      <c r="B379" t="s">
        <v>76</v>
      </c>
      <c r="C379">
        <v>24.04</v>
      </c>
      <c r="D379" t="s">
        <v>40</v>
      </c>
      <c r="E379" s="1">
        <v>45876</v>
      </c>
      <c r="F379" s="1">
        <v>45884</v>
      </c>
      <c r="H379" t="s">
        <v>63</v>
      </c>
      <c r="I379">
        <v>1</v>
      </c>
      <c r="J379" t="s">
        <v>129</v>
      </c>
    </row>
    <row r="380" spans="1:10" x14ac:dyDescent="0.25">
      <c r="A380" t="s">
        <v>521</v>
      </c>
      <c r="B380" t="s">
        <v>39</v>
      </c>
      <c r="C380">
        <v>28.3</v>
      </c>
      <c r="D380" t="s">
        <v>62</v>
      </c>
      <c r="E380" s="1">
        <v>45875</v>
      </c>
      <c r="F380" s="1">
        <v>45883</v>
      </c>
      <c r="G380" s="1">
        <v>45882</v>
      </c>
      <c r="H380" t="s">
        <v>33</v>
      </c>
      <c r="I380">
        <v>5</v>
      </c>
      <c r="J380" t="s">
        <v>69</v>
      </c>
    </row>
    <row r="381" spans="1:10" x14ac:dyDescent="0.25">
      <c r="A381" t="s">
        <v>522</v>
      </c>
      <c r="B381" t="s">
        <v>76</v>
      </c>
      <c r="C381">
        <v>66.23</v>
      </c>
      <c r="D381" t="s">
        <v>68</v>
      </c>
      <c r="E381" s="1">
        <v>45877</v>
      </c>
      <c r="F381" s="1">
        <v>45883</v>
      </c>
      <c r="G381" s="1">
        <v>45879</v>
      </c>
      <c r="H381" t="s">
        <v>33</v>
      </c>
      <c r="I381">
        <v>4</v>
      </c>
      <c r="J381" t="s">
        <v>34</v>
      </c>
    </row>
    <row r="382" spans="1:10" x14ac:dyDescent="0.25">
      <c r="A382" t="s">
        <v>523</v>
      </c>
      <c r="B382" t="s">
        <v>31</v>
      </c>
      <c r="C382">
        <v>15.43</v>
      </c>
      <c r="D382" t="s">
        <v>62</v>
      </c>
      <c r="E382" s="1">
        <v>45878</v>
      </c>
      <c r="F382" s="1">
        <v>45887</v>
      </c>
      <c r="H382" t="s">
        <v>63</v>
      </c>
      <c r="I382">
        <v>2</v>
      </c>
      <c r="J382" t="s">
        <v>180</v>
      </c>
    </row>
    <row r="383" spans="1:10" x14ac:dyDescent="0.25">
      <c r="A383" t="s">
        <v>524</v>
      </c>
      <c r="B383" t="s">
        <v>39</v>
      </c>
      <c r="C383">
        <v>45.45</v>
      </c>
      <c r="D383" t="s">
        <v>47</v>
      </c>
      <c r="E383" s="1">
        <v>45878</v>
      </c>
      <c r="F383" s="1">
        <v>45883</v>
      </c>
      <c r="G383" s="1">
        <v>45880</v>
      </c>
      <c r="H383" t="s">
        <v>33</v>
      </c>
      <c r="I383">
        <v>5</v>
      </c>
      <c r="J383" t="s">
        <v>69</v>
      </c>
    </row>
    <row r="384" spans="1:10" x14ac:dyDescent="0.25">
      <c r="A384" t="s">
        <v>525</v>
      </c>
      <c r="B384" t="s">
        <v>76</v>
      </c>
      <c r="C384">
        <v>53.38</v>
      </c>
      <c r="D384" t="s">
        <v>40</v>
      </c>
      <c r="E384" s="1">
        <v>45877</v>
      </c>
      <c r="F384" s="1">
        <v>45883</v>
      </c>
      <c r="H384" t="s">
        <v>54</v>
      </c>
      <c r="I384">
        <v>2</v>
      </c>
      <c r="J384" t="s">
        <v>258</v>
      </c>
    </row>
    <row r="385" spans="1:10" x14ac:dyDescent="0.25">
      <c r="A385" t="s">
        <v>526</v>
      </c>
      <c r="B385" t="s">
        <v>76</v>
      </c>
      <c r="C385">
        <v>32.840000000000003</v>
      </c>
      <c r="D385" t="s">
        <v>68</v>
      </c>
      <c r="E385" s="1">
        <v>45879</v>
      </c>
      <c r="F385" s="1">
        <v>45889</v>
      </c>
      <c r="G385" s="1">
        <v>45888</v>
      </c>
      <c r="H385" t="s">
        <v>33</v>
      </c>
      <c r="I385">
        <v>5</v>
      </c>
      <c r="J385" t="s">
        <v>119</v>
      </c>
    </row>
    <row r="386" spans="1:10" x14ac:dyDescent="0.25">
      <c r="A386" t="s">
        <v>527</v>
      </c>
      <c r="B386" t="s">
        <v>39</v>
      </c>
      <c r="C386">
        <v>120.47</v>
      </c>
      <c r="D386" t="s">
        <v>150</v>
      </c>
      <c r="E386" s="1">
        <v>45878</v>
      </c>
      <c r="F386" s="1">
        <v>45887</v>
      </c>
      <c r="G386" s="1">
        <v>45886</v>
      </c>
      <c r="H386" t="s">
        <v>33</v>
      </c>
      <c r="I386">
        <v>5</v>
      </c>
      <c r="J386" t="s">
        <v>34</v>
      </c>
    </row>
    <row r="387" spans="1:10" x14ac:dyDescent="0.25">
      <c r="A387" t="s">
        <v>528</v>
      </c>
      <c r="B387" t="s">
        <v>39</v>
      </c>
      <c r="C387">
        <v>19.82</v>
      </c>
      <c r="D387" t="s">
        <v>40</v>
      </c>
      <c r="E387" s="1">
        <v>45879</v>
      </c>
      <c r="F387" s="1">
        <v>45887</v>
      </c>
      <c r="G387" s="1">
        <v>45886</v>
      </c>
      <c r="H387" t="s">
        <v>33</v>
      </c>
      <c r="I387">
        <v>5</v>
      </c>
      <c r="J387" t="s">
        <v>48</v>
      </c>
    </row>
    <row r="388" spans="1:10" x14ac:dyDescent="0.25">
      <c r="A388" t="s">
        <v>529</v>
      </c>
      <c r="B388" t="s">
        <v>31</v>
      </c>
      <c r="C388">
        <v>91.93</v>
      </c>
      <c r="D388" t="s">
        <v>40</v>
      </c>
      <c r="E388" s="1">
        <v>45879</v>
      </c>
      <c r="F388" s="1">
        <v>45887</v>
      </c>
      <c r="G388" s="1">
        <v>45885</v>
      </c>
      <c r="H388" t="s">
        <v>33</v>
      </c>
      <c r="I388">
        <v>5</v>
      </c>
      <c r="J388" t="s">
        <v>134</v>
      </c>
    </row>
    <row r="389" spans="1:10" x14ac:dyDescent="0.25">
      <c r="A389" t="s">
        <v>530</v>
      </c>
      <c r="B389" t="s">
        <v>39</v>
      </c>
      <c r="C389">
        <v>68.55</v>
      </c>
      <c r="D389" t="s">
        <v>97</v>
      </c>
      <c r="E389" s="1">
        <v>45878</v>
      </c>
      <c r="F389" s="1">
        <v>45886</v>
      </c>
      <c r="G389" s="1">
        <v>45885</v>
      </c>
      <c r="H389" t="s">
        <v>33</v>
      </c>
      <c r="I389">
        <v>4</v>
      </c>
      <c r="J389" t="s">
        <v>34</v>
      </c>
    </row>
    <row r="390" spans="1:10" x14ac:dyDescent="0.25">
      <c r="A390" t="s">
        <v>531</v>
      </c>
      <c r="B390" t="s">
        <v>76</v>
      </c>
      <c r="C390">
        <v>69.56</v>
      </c>
      <c r="D390" t="s">
        <v>68</v>
      </c>
      <c r="E390" s="1">
        <v>45880</v>
      </c>
      <c r="F390" s="1">
        <v>45888</v>
      </c>
      <c r="H390" t="s">
        <v>54</v>
      </c>
      <c r="I390">
        <v>4</v>
      </c>
      <c r="J390" t="s">
        <v>77</v>
      </c>
    </row>
    <row r="391" spans="1:10" x14ac:dyDescent="0.25">
      <c r="A391" t="s">
        <v>532</v>
      </c>
      <c r="B391" t="s">
        <v>39</v>
      </c>
      <c r="C391">
        <v>53.15</v>
      </c>
      <c r="D391" t="s">
        <v>68</v>
      </c>
      <c r="E391" s="1">
        <v>45880</v>
      </c>
      <c r="F391" s="1">
        <v>45886</v>
      </c>
      <c r="G391" s="1">
        <v>45885</v>
      </c>
      <c r="H391" t="s">
        <v>33</v>
      </c>
      <c r="I391">
        <v>5</v>
      </c>
      <c r="J391" t="s">
        <v>211</v>
      </c>
    </row>
    <row r="392" spans="1:10" x14ac:dyDescent="0.25">
      <c r="A392" t="s">
        <v>533</v>
      </c>
      <c r="B392" t="s">
        <v>76</v>
      </c>
      <c r="C392">
        <v>40.880000000000003</v>
      </c>
      <c r="D392" t="s">
        <v>264</v>
      </c>
      <c r="E392" s="1">
        <v>45879</v>
      </c>
      <c r="F392" s="1">
        <v>45885</v>
      </c>
      <c r="G392" s="1">
        <v>45890</v>
      </c>
      <c r="H392" t="s">
        <v>33</v>
      </c>
      <c r="I392">
        <v>1</v>
      </c>
      <c r="J392" t="s">
        <v>185</v>
      </c>
    </row>
    <row r="393" spans="1:10" x14ac:dyDescent="0.25">
      <c r="A393" t="s">
        <v>534</v>
      </c>
      <c r="B393" t="s">
        <v>76</v>
      </c>
      <c r="C393">
        <v>17.149999999999999</v>
      </c>
      <c r="D393" t="s">
        <v>47</v>
      </c>
      <c r="E393" s="1">
        <v>45880</v>
      </c>
      <c r="F393" s="1">
        <v>45888</v>
      </c>
      <c r="H393" t="s">
        <v>54</v>
      </c>
      <c r="I393">
        <v>3</v>
      </c>
      <c r="J393" t="s">
        <v>121</v>
      </c>
    </row>
    <row r="394" spans="1:10" x14ac:dyDescent="0.25">
      <c r="A394" t="s">
        <v>535</v>
      </c>
      <c r="B394" t="s">
        <v>31</v>
      </c>
      <c r="C394">
        <v>121.96</v>
      </c>
      <c r="D394" t="s">
        <v>264</v>
      </c>
      <c r="E394" s="1">
        <v>45881</v>
      </c>
      <c r="F394" s="1">
        <v>45889</v>
      </c>
      <c r="G394" s="1">
        <v>45888</v>
      </c>
      <c r="H394" t="s">
        <v>33</v>
      </c>
      <c r="I394">
        <v>5</v>
      </c>
      <c r="J394" t="s">
        <v>134</v>
      </c>
    </row>
    <row r="395" spans="1:10" x14ac:dyDescent="0.25">
      <c r="A395" t="s">
        <v>536</v>
      </c>
      <c r="B395" t="s">
        <v>61</v>
      </c>
      <c r="C395">
        <v>39.08</v>
      </c>
      <c r="D395" t="s">
        <v>133</v>
      </c>
      <c r="E395" s="1">
        <v>45880</v>
      </c>
      <c r="F395" s="1">
        <v>45885</v>
      </c>
      <c r="G395" s="1">
        <v>45883</v>
      </c>
      <c r="H395" t="s">
        <v>33</v>
      </c>
      <c r="I395">
        <v>4</v>
      </c>
      <c r="J395" t="s">
        <v>172</v>
      </c>
    </row>
    <row r="396" spans="1:10" x14ac:dyDescent="0.25">
      <c r="A396" t="s">
        <v>537</v>
      </c>
      <c r="B396" t="s">
        <v>31</v>
      </c>
      <c r="C396">
        <v>57.85</v>
      </c>
      <c r="D396" t="s">
        <v>97</v>
      </c>
      <c r="E396" s="1">
        <v>45881</v>
      </c>
      <c r="F396" s="1">
        <v>45891</v>
      </c>
      <c r="G396" s="1">
        <v>45886</v>
      </c>
      <c r="H396" t="s">
        <v>33</v>
      </c>
      <c r="I396">
        <v>4</v>
      </c>
      <c r="J396" t="s">
        <v>117</v>
      </c>
    </row>
    <row r="397" spans="1:10" x14ac:dyDescent="0.25">
      <c r="A397" t="s">
        <v>538</v>
      </c>
      <c r="B397" t="s">
        <v>61</v>
      </c>
      <c r="C397">
        <v>111.12</v>
      </c>
      <c r="D397" t="s">
        <v>62</v>
      </c>
      <c r="E397" s="1">
        <v>45880</v>
      </c>
      <c r="F397" s="1">
        <v>45890</v>
      </c>
      <c r="G397" s="1">
        <v>45889</v>
      </c>
      <c r="H397" t="s">
        <v>33</v>
      </c>
      <c r="I397">
        <v>5</v>
      </c>
      <c r="J397" t="s">
        <v>117</v>
      </c>
    </row>
    <row r="398" spans="1:10" x14ac:dyDescent="0.25">
      <c r="A398" t="s">
        <v>539</v>
      </c>
      <c r="B398" t="s">
        <v>76</v>
      </c>
      <c r="C398">
        <v>84.2</v>
      </c>
      <c r="D398" t="s">
        <v>47</v>
      </c>
      <c r="E398" s="1">
        <v>45881</v>
      </c>
      <c r="F398" s="1">
        <v>45887</v>
      </c>
      <c r="G398" s="1">
        <v>45887</v>
      </c>
      <c r="H398" t="s">
        <v>33</v>
      </c>
      <c r="I398">
        <v>4</v>
      </c>
      <c r="J398" t="s">
        <v>172</v>
      </c>
    </row>
    <row r="399" spans="1:10" x14ac:dyDescent="0.25">
      <c r="A399" t="s">
        <v>540</v>
      </c>
      <c r="B399" t="s">
        <v>31</v>
      </c>
      <c r="C399">
        <v>135.15</v>
      </c>
      <c r="D399" t="s">
        <v>47</v>
      </c>
      <c r="E399" s="1">
        <v>45882</v>
      </c>
      <c r="F399" s="1">
        <v>45889</v>
      </c>
      <c r="G399" s="1">
        <v>45888</v>
      </c>
      <c r="H399" t="s">
        <v>33</v>
      </c>
      <c r="I399">
        <v>4</v>
      </c>
      <c r="J399" t="s">
        <v>134</v>
      </c>
    </row>
    <row r="400" spans="1:10" x14ac:dyDescent="0.25">
      <c r="A400" t="s">
        <v>541</v>
      </c>
      <c r="B400" t="s">
        <v>31</v>
      </c>
      <c r="C400">
        <v>75.819999999999993</v>
      </c>
      <c r="D400" t="s">
        <v>264</v>
      </c>
      <c r="E400" s="1">
        <v>45882</v>
      </c>
      <c r="F400" s="1">
        <v>45887</v>
      </c>
      <c r="H400" t="s">
        <v>54</v>
      </c>
      <c r="I400">
        <v>4</v>
      </c>
      <c r="J400" t="s">
        <v>48</v>
      </c>
    </row>
    <row r="401" spans="1:10" x14ac:dyDescent="0.25">
      <c r="A401" t="s">
        <v>542</v>
      </c>
      <c r="B401" t="s">
        <v>61</v>
      </c>
      <c r="C401">
        <v>88.14</v>
      </c>
      <c r="D401" t="s">
        <v>62</v>
      </c>
      <c r="E401" s="1">
        <v>45882</v>
      </c>
      <c r="F401" s="1">
        <v>45889</v>
      </c>
      <c r="G401" s="1">
        <v>45886</v>
      </c>
      <c r="H401" t="s">
        <v>33</v>
      </c>
      <c r="I401">
        <v>4</v>
      </c>
      <c r="J401" t="s">
        <v>112</v>
      </c>
    </row>
    <row r="402" spans="1:10" x14ac:dyDescent="0.25">
      <c r="A402" t="s">
        <v>543</v>
      </c>
      <c r="B402" t="s">
        <v>61</v>
      </c>
      <c r="C402">
        <v>24.35</v>
      </c>
      <c r="D402" t="s">
        <v>47</v>
      </c>
      <c r="E402" s="1">
        <v>45882</v>
      </c>
      <c r="F402" s="1">
        <v>45888</v>
      </c>
      <c r="H402" t="s">
        <v>63</v>
      </c>
      <c r="I402">
        <v>3</v>
      </c>
      <c r="J402" t="s">
        <v>243</v>
      </c>
    </row>
    <row r="403" spans="1:10" x14ac:dyDescent="0.25">
      <c r="A403" t="s">
        <v>544</v>
      </c>
      <c r="B403" t="s">
        <v>76</v>
      </c>
      <c r="C403">
        <v>19.059999999999999</v>
      </c>
      <c r="D403" t="s">
        <v>150</v>
      </c>
      <c r="E403" s="1">
        <v>45882</v>
      </c>
      <c r="F403" s="1">
        <v>45889</v>
      </c>
      <c r="G403" s="1">
        <v>45886</v>
      </c>
      <c r="H403" t="s">
        <v>33</v>
      </c>
      <c r="I403">
        <v>5</v>
      </c>
      <c r="J403" t="s">
        <v>34</v>
      </c>
    </row>
    <row r="404" spans="1:10" x14ac:dyDescent="0.25">
      <c r="A404" t="s">
        <v>545</v>
      </c>
      <c r="B404" t="s">
        <v>76</v>
      </c>
      <c r="C404">
        <v>49.65</v>
      </c>
      <c r="D404" t="s">
        <v>40</v>
      </c>
      <c r="E404" s="1">
        <v>45881</v>
      </c>
      <c r="F404" s="1">
        <v>45887</v>
      </c>
      <c r="G404" s="1">
        <v>45883</v>
      </c>
      <c r="H404" t="s">
        <v>33</v>
      </c>
      <c r="I404">
        <v>4</v>
      </c>
      <c r="J404" t="s">
        <v>117</v>
      </c>
    </row>
    <row r="405" spans="1:10" x14ac:dyDescent="0.25">
      <c r="A405" t="s">
        <v>546</v>
      </c>
      <c r="B405" t="s">
        <v>61</v>
      </c>
      <c r="C405">
        <v>31.38</v>
      </c>
      <c r="D405" t="s">
        <v>150</v>
      </c>
      <c r="E405" s="1">
        <v>45882</v>
      </c>
      <c r="F405" s="1">
        <v>45887</v>
      </c>
      <c r="H405" t="s">
        <v>54</v>
      </c>
      <c r="I405">
        <v>4</v>
      </c>
      <c r="J405" t="s">
        <v>84</v>
      </c>
    </row>
    <row r="406" spans="1:10" x14ac:dyDescent="0.25">
      <c r="A406" t="s">
        <v>547</v>
      </c>
      <c r="B406" t="s">
        <v>76</v>
      </c>
      <c r="C406">
        <v>65.260000000000005</v>
      </c>
      <c r="D406" t="s">
        <v>47</v>
      </c>
      <c r="E406" s="1">
        <v>45882</v>
      </c>
      <c r="F406" s="1">
        <v>45892</v>
      </c>
      <c r="G406" s="1">
        <v>45886</v>
      </c>
      <c r="H406" t="s">
        <v>33</v>
      </c>
      <c r="I406">
        <v>5</v>
      </c>
      <c r="J406" t="s">
        <v>77</v>
      </c>
    </row>
    <row r="407" spans="1:10" x14ac:dyDescent="0.25">
      <c r="A407" t="s">
        <v>548</v>
      </c>
      <c r="B407" t="s">
        <v>31</v>
      </c>
      <c r="C407">
        <v>33.44</v>
      </c>
      <c r="D407" t="s">
        <v>47</v>
      </c>
      <c r="E407" s="1">
        <v>45883</v>
      </c>
      <c r="F407" s="1">
        <v>45892</v>
      </c>
      <c r="G407" s="1">
        <v>45886</v>
      </c>
      <c r="H407" t="s">
        <v>33</v>
      </c>
      <c r="I407">
        <v>5</v>
      </c>
      <c r="J407" t="s">
        <v>134</v>
      </c>
    </row>
    <row r="408" spans="1:10" x14ac:dyDescent="0.25">
      <c r="A408" t="s">
        <v>549</v>
      </c>
      <c r="B408" t="s">
        <v>39</v>
      </c>
      <c r="C408">
        <v>88</v>
      </c>
      <c r="D408" t="s">
        <v>99</v>
      </c>
      <c r="E408" s="1">
        <v>45882</v>
      </c>
      <c r="F408" s="1">
        <v>45892</v>
      </c>
      <c r="H408" t="s">
        <v>63</v>
      </c>
      <c r="I408">
        <v>2</v>
      </c>
      <c r="J408" t="s">
        <v>64</v>
      </c>
    </row>
    <row r="409" spans="1:10" x14ac:dyDescent="0.25">
      <c r="A409" t="s">
        <v>550</v>
      </c>
      <c r="B409" t="s">
        <v>39</v>
      </c>
      <c r="C409">
        <v>21.14</v>
      </c>
      <c r="D409" t="s">
        <v>47</v>
      </c>
      <c r="E409" s="1">
        <v>45882</v>
      </c>
      <c r="F409" s="1">
        <v>45887</v>
      </c>
      <c r="G409" s="1">
        <v>45887</v>
      </c>
      <c r="H409" t="s">
        <v>33</v>
      </c>
      <c r="I409">
        <v>5</v>
      </c>
      <c r="J409" t="s">
        <v>34</v>
      </c>
    </row>
    <row r="410" spans="1:10" x14ac:dyDescent="0.25">
      <c r="A410" t="s">
        <v>551</v>
      </c>
      <c r="B410" t="s">
        <v>31</v>
      </c>
      <c r="C410">
        <v>57.25</v>
      </c>
      <c r="D410" t="s">
        <v>126</v>
      </c>
      <c r="E410" s="1">
        <v>45882</v>
      </c>
      <c r="F410" s="1">
        <v>45892</v>
      </c>
      <c r="G410" s="1">
        <v>45885</v>
      </c>
      <c r="H410" t="s">
        <v>33</v>
      </c>
      <c r="I410">
        <v>5</v>
      </c>
      <c r="J410" t="s">
        <v>69</v>
      </c>
    </row>
    <row r="411" spans="1:10" x14ac:dyDescent="0.25">
      <c r="A411" t="s">
        <v>552</v>
      </c>
      <c r="B411" t="s">
        <v>61</v>
      </c>
      <c r="C411">
        <v>90.66</v>
      </c>
      <c r="D411" t="s">
        <v>97</v>
      </c>
      <c r="E411" s="1">
        <v>45882</v>
      </c>
      <c r="F411" s="1">
        <v>45887</v>
      </c>
      <c r="G411" s="1">
        <v>45886</v>
      </c>
      <c r="H411" t="s">
        <v>33</v>
      </c>
      <c r="I411">
        <v>4</v>
      </c>
      <c r="J411" t="s">
        <v>211</v>
      </c>
    </row>
    <row r="412" spans="1:10" x14ac:dyDescent="0.25">
      <c r="A412" t="s">
        <v>553</v>
      </c>
      <c r="B412" t="s">
        <v>76</v>
      </c>
      <c r="C412">
        <v>115.53</v>
      </c>
      <c r="D412" t="s">
        <v>97</v>
      </c>
      <c r="E412" s="1">
        <v>45882</v>
      </c>
      <c r="F412" s="1">
        <v>45889</v>
      </c>
      <c r="G412" s="1">
        <v>45890</v>
      </c>
      <c r="H412" t="s">
        <v>33</v>
      </c>
      <c r="I412">
        <v>3</v>
      </c>
      <c r="J412" t="s">
        <v>352</v>
      </c>
    </row>
    <row r="413" spans="1:10" x14ac:dyDescent="0.25">
      <c r="A413" t="s">
        <v>554</v>
      </c>
      <c r="B413" t="s">
        <v>61</v>
      </c>
      <c r="C413">
        <v>83</v>
      </c>
      <c r="D413" t="s">
        <v>157</v>
      </c>
      <c r="E413" s="1">
        <v>45884</v>
      </c>
      <c r="F413" s="1">
        <v>45889</v>
      </c>
      <c r="G413" s="1">
        <v>45886</v>
      </c>
      <c r="H413" t="s">
        <v>33</v>
      </c>
      <c r="I413">
        <v>5</v>
      </c>
      <c r="J413" t="s">
        <v>119</v>
      </c>
    </row>
    <row r="414" spans="1:10" x14ac:dyDescent="0.25">
      <c r="A414" t="s">
        <v>555</v>
      </c>
      <c r="B414" t="s">
        <v>76</v>
      </c>
      <c r="C414">
        <v>48.1</v>
      </c>
      <c r="D414" t="s">
        <v>99</v>
      </c>
      <c r="E414" s="1">
        <v>45883</v>
      </c>
      <c r="F414" s="1">
        <v>45888</v>
      </c>
      <c r="G414" s="1">
        <v>45887</v>
      </c>
      <c r="H414" t="s">
        <v>33</v>
      </c>
      <c r="I414">
        <v>4</v>
      </c>
      <c r="J414" t="s">
        <v>69</v>
      </c>
    </row>
    <row r="415" spans="1:10" x14ac:dyDescent="0.25">
      <c r="A415" t="s">
        <v>556</v>
      </c>
      <c r="B415" t="s">
        <v>31</v>
      </c>
      <c r="C415">
        <v>59.25</v>
      </c>
      <c r="D415" t="s">
        <v>97</v>
      </c>
      <c r="E415" s="1">
        <v>45884</v>
      </c>
      <c r="F415" s="1">
        <v>45892</v>
      </c>
      <c r="G415" s="1">
        <v>45892</v>
      </c>
      <c r="H415" t="s">
        <v>33</v>
      </c>
      <c r="I415">
        <v>4</v>
      </c>
      <c r="J415" t="s">
        <v>127</v>
      </c>
    </row>
    <row r="416" spans="1:10" x14ac:dyDescent="0.25">
      <c r="A416" t="s">
        <v>557</v>
      </c>
      <c r="B416" t="s">
        <v>61</v>
      </c>
      <c r="C416">
        <v>29.7</v>
      </c>
      <c r="D416" t="s">
        <v>97</v>
      </c>
      <c r="E416" s="1">
        <v>45885</v>
      </c>
      <c r="F416" s="1">
        <v>45892</v>
      </c>
      <c r="G416" s="1">
        <v>45888</v>
      </c>
      <c r="H416" t="s">
        <v>33</v>
      </c>
      <c r="I416">
        <v>4</v>
      </c>
      <c r="J416" t="s">
        <v>127</v>
      </c>
    </row>
    <row r="417" spans="1:10" x14ac:dyDescent="0.25">
      <c r="A417" t="s">
        <v>558</v>
      </c>
      <c r="B417" t="s">
        <v>76</v>
      </c>
      <c r="C417">
        <v>21.76</v>
      </c>
      <c r="D417" t="s">
        <v>40</v>
      </c>
      <c r="E417" s="1">
        <v>45887</v>
      </c>
      <c r="F417" s="1">
        <v>45895</v>
      </c>
      <c r="H417" t="s">
        <v>161</v>
      </c>
      <c r="I417">
        <v>1</v>
      </c>
      <c r="J417" t="s">
        <v>102</v>
      </c>
    </row>
    <row r="418" spans="1:10" x14ac:dyDescent="0.25">
      <c r="A418" t="s">
        <v>559</v>
      </c>
      <c r="B418" t="s">
        <v>31</v>
      </c>
      <c r="C418">
        <v>46.45</v>
      </c>
      <c r="D418" t="s">
        <v>47</v>
      </c>
      <c r="E418" s="1">
        <v>45886</v>
      </c>
      <c r="F418" s="1">
        <v>45894</v>
      </c>
      <c r="G418" s="1">
        <v>45898</v>
      </c>
      <c r="H418" t="s">
        <v>33</v>
      </c>
      <c r="I418">
        <v>1</v>
      </c>
      <c r="J418" t="s">
        <v>168</v>
      </c>
    </row>
    <row r="419" spans="1:10" x14ac:dyDescent="0.25">
      <c r="A419" t="s">
        <v>560</v>
      </c>
      <c r="B419" t="s">
        <v>39</v>
      </c>
      <c r="C419">
        <v>116.83</v>
      </c>
      <c r="D419" t="s">
        <v>53</v>
      </c>
      <c r="E419" s="1">
        <v>45888</v>
      </c>
      <c r="F419" s="1">
        <v>45898</v>
      </c>
      <c r="G419" s="1">
        <v>45896</v>
      </c>
      <c r="H419" t="s">
        <v>33</v>
      </c>
      <c r="I419">
        <v>5</v>
      </c>
      <c r="J419" t="s">
        <v>119</v>
      </c>
    </row>
    <row r="420" spans="1:10" x14ac:dyDescent="0.25">
      <c r="A420" t="s">
        <v>561</v>
      </c>
      <c r="B420" t="s">
        <v>31</v>
      </c>
      <c r="C420">
        <v>29.82</v>
      </c>
      <c r="D420" t="s">
        <v>47</v>
      </c>
      <c r="E420" s="1">
        <v>45887</v>
      </c>
      <c r="F420" s="1">
        <v>45896</v>
      </c>
      <c r="G420" s="1">
        <v>45889</v>
      </c>
      <c r="H420" t="s">
        <v>33</v>
      </c>
      <c r="I420">
        <v>5</v>
      </c>
      <c r="J420" t="s">
        <v>69</v>
      </c>
    </row>
    <row r="421" spans="1:10" x14ac:dyDescent="0.25">
      <c r="A421" t="s">
        <v>562</v>
      </c>
      <c r="B421" t="s">
        <v>61</v>
      </c>
      <c r="C421">
        <v>111.16</v>
      </c>
      <c r="D421" t="s">
        <v>40</v>
      </c>
      <c r="E421" s="1">
        <v>45889</v>
      </c>
      <c r="F421" s="1">
        <v>45895</v>
      </c>
      <c r="H421" t="s">
        <v>63</v>
      </c>
      <c r="I421">
        <v>1</v>
      </c>
      <c r="J421" t="s">
        <v>140</v>
      </c>
    </row>
    <row r="422" spans="1:10" x14ac:dyDescent="0.25">
      <c r="A422" t="s">
        <v>563</v>
      </c>
      <c r="B422" t="s">
        <v>61</v>
      </c>
      <c r="C422">
        <v>133.19</v>
      </c>
      <c r="D422" t="s">
        <v>68</v>
      </c>
      <c r="E422" s="1">
        <v>45888</v>
      </c>
      <c r="F422" s="1">
        <v>45895</v>
      </c>
      <c r="H422" t="s">
        <v>54</v>
      </c>
      <c r="I422">
        <v>4</v>
      </c>
      <c r="J422" t="s">
        <v>134</v>
      </c>
    </row>
    <row r="423" spans="1:10" x14ac:dyDescent="0.25">
      <c r="A423" t="s">
        <v>564</v>
      </c>
      <c r="B423" t="s">
        <v>39</v>
      </c>
      <c r="C423">
        <v>16.8</v>
      </c>
      <c r="D423" t="s">
        <v>99</v>
      </c>
      <c r="E423" s="1">
        <v>45888</v>
      </c>
      <c r="F423" s="1">
        <v>45898</v>
      </c>
      <c r="G423" s="1">
        <v>45896</v>
      </c>
      <c r="H423" t="s">
        <v>33</v>
      </c>
      <c r="I423">
        <v>5</v>
      </c>
      <c r="J423" t="s">
        <v>119</v>
      </c>
    </row>
    <row r="424" spans="1:10" x14ac:dyDescent="0.25">
      <c r="A424" t="s">
        <v>565</v>
      </c>
      <c r="B424" t="s">
        <v>39</v>
      </c>
      <c r="C424">
        <v>21.67</v>
      </c>
      <c r="D424" t="s">
        <v>99</v>
      </c>
      <c r="E424" s="1">
        <v>45888</v>
      </c>
      <c r="F424" s="1">
        <v>45895</v>
      </c>
      <c r="G424" s="1">
        <v>45894</v>
      </c>
      <c r="H424" t="s">
        <v>33</v>
      </c>
      <c r="I424">
        <v>4</v>
      </c>
      <c r="J424" t="s">
        <v>48</v>
      </c>
    </row>
    <row r="425" spans="1:10" x14ac:dyDescent="0.25">
      <c r="A425" t="s">
        <v>566</v>
      </c>
      <c r="B425" t="s">
        <v>31</v>
      </c>
      <c r="C425">
        <v>29.84</v>
      </c>
      <c r="D425" t="s">
        <v>97</v>
      </c>
      <c r="E425" s="1">
        <v>45888</v>
      </c>
      <c r="F425" s="1">
        <v>45898</v>
      </c>
      <c r="G425" s="1">
        <v>45891</v>
      </c>
      <c r="H425" t="s">
        <v>33</v>
      </c>
      <c r="I425">
        <v>4</v>
      </c>
      <c r="J425" t="s">
        <v>211</v>
      </c>
    </row>
    <row r="426" spans="1:10" x14ac:dyDescent="0.25">
      <c r="A426" t="s">
        <v>567</v>
      </c>
      <c r="B426" t="s">
        <v>61</v>
      </c>
      <c r="C426">
        <v>113.54</v>
      </c>
      <c r="D426" t="s">
        <v>53</v>
      </c>
      <c r="E426" s="1">
        <v>45888</v>
      </c>
      <c r="F426" s="1">
        <v>45897</v>
      </c>
      <c r="G426" s="1">
        <v>45895</v>
      </c>
      <c r="H426" t="s">
        <v>33</v>
      </c>
      <c r="I426">
        <v>4</v>
      </c>
      <c r="J426" t="s">
        <v>127</v>
      </c>
    </row>
    <row r="427" spans="1:10" x14ac:dyDescent="0.25">
      <c r="A427" t="s">
        <v>568</v>
      </c>
      <c r="B427" t="s">
        <v>31</v>
      </c>
      <c r="C427">
        <v>29.73</v>
      </c>
      <c r="D427" t="s">
        <v>47</v>
      </c>
      <c r="E427" s="1">
        <v>45890</v>
      </c>
      <c r="F427" s="1">
        <v>45895</v>
      </c>
      <c r="G427" s="1">
        <v>45895</v>
      </c>
      <c r="H427" t="s">
        <v>33</v>
      </c>
      <c r="I427">
        <v>4</v>
      </c>
      <c r="J427" t="s">
        <v>41</v>
      </c>
    </row>
    <row r="428" spans="1:10" x14ac:dyDescent="0.25">
      <c r="A428" t="s">
        <v>569</v>
      </c>
      <c r="B428" t="s">
        <v>31</v>
      </c>
      <c r="C428">
        <v>74.22</v>
      </c>
      <c r="D428" t="s">
        <v>157</v>
      </c>
      <c r="E428" s="1">
        <v>45889</v>
      </c>
      <c r="F428" s="1">
        <v>45898</v>
      </c>
      <c r="G428" s="1">
        <v>45894</v>
      </c>
      <c r="H428" t="s">
        <v>33</v>
      </c>
      <c r="I428">
        <v>5</v>
      </c>
      <c r="J428" t="s">
        <v>117</v>
      </c>
    </row>
    <row r="429" spans="1:10" x14ac:dyDescent="0.25">
      <c r="A429" t="s">
        <v>570</v>
      </c>
      <c r="B429" t="s">
        <v>76</v>
      </c>
      <c r="C429">
        <v>28.37</v>
      </c>
      <c r="D429" t="s">
        <v>133</v>
      </c>
      <c r="E429" s="1">
        <v>45889</v>
      </c>
      <c r="F429" s="1">
        <v>45895</v>
      </c>
      <c r="G429" s="1">
        <v>45892</v>
      </c>
      <c r="H429" t="s">
        <v>33</v>
      </c>
      <c r="I429">
        <v>4</v>
      </c>
      <c r="J429" t="s">
        <v>41</v>
      </c>
    </row>
    <row r="430" spans="1:10" x14ac:dyDescent="0.25">
      <c r="A430" t="s">
        <v>571</v>
      </c>
      <c r="B430" t="s">
        <v>31</v>
      </c>
      <c r="C430">
        <v>134.57</v>
      </c>
      <c r="D430" t="s">
        <v>40</v>
      </c>
      <c r="E430" s="1">
        <v>45890</v>
      </c>
      <c r="F430" s="1">
        <v>45899</v>
      </c>
      <c r="G430" s="1">
        <v>45903</v>
      </c>
      <c r="H430" t="s">
        <v>33</v>
      </c>
      <c r="I430">
        <v>3</v>
      </c>
      <c r="J430" t="s">
        <v>405</v>
      </c>
    </row>
    <row r="431" spans="1:10" x14ac:dyDescent="0.25">
      <c r="A431" t="s">
        <v>572</v>
      </c>
      <c r="B431" t="s">
        <v>31</v>
      </c>
      <c r="C431">
        <v>26.63</v>
      </c>
      <c r="D431" t="s">
        <v>40</v>
      </c>
      <c r="E431" s="1">
        <v>45891</v>
      </c>
      <c r="F431" s="1">
        <v>45899</v>
      </c>
      <c r="G431" s="1">
        <v>45894</v>
      </c>
      <c r="H431" t="s">
        <v>33</v>
      </c>
      <c r="I431">
        <v>5</v>
      </c>
      <c r="J431" t="s">
        <v>79</v>
      </c>
    </row>
    <row r="432" spans="1:10" x14ac:dyDescent="0.25">
      <c r="A432" t="s">
        <v>573</v>
      </c>
      <c r="B432" t="s">
        <v>76</v>
      </c>
      <c r="C432">
        <v>20.149999999999999</v>
      </c>
      <c r="D432" t="s">
        <v>47</v>
      </c>
      <c r="E432" s="1">
        <v>45891</v>
      </c>
      <c r="F432" s="1">
        <v>45896</v>
      </c>
      <c r="G432" s="1">
        <v>45894</v>
      </c>
      <c r="H432" t="s">
        <v>33</v>
      </c>
      <c r="I432">
        <v>5</v>
      </c>
      <c r="J432" t="s">
        <v>79</v>
      </c>
    </row>
    <row r="433" spans="1:10" x14ac:dyDescent="0.25">
      <c r="A433" t="s">
        <v>574</v>
      </c>
      <c r="B433" t="s">
        <v>39</v>
      </c>
      <c r="C433">
        <v>55.8</v>
      </c>
      <c r="D433" t="s">
        <v>47</v>
      </c>
      <c r="E433" s="1">
        <v>45892</v>
      </c>
      <c r="F433" s="1">
        <v>45899</v>
      </c>
      <c r="G433" s="1">
        <v>45898</v>
      </c>
      <c r="H433" t="s">
        <v>33</v>
      </c>
      <c r="I433">
        <v>5</v>
      </c>
      <c r="J433" t="s">
        <v>127</v>
      </c>
    </row>
    <row r="434" spans="1:10" x14ac:dyDescent="0.25">
      <c r="A434" t="s">
        <v>575</v>
      </c>
      <c r="B434" t="s">
        <v>76</v>
      </c>
      <c r="C434">
        <v>33.54</v>
      </c>
      <c r="D434" t="s">
        <v>97</v>
      </c>
      <c r="E434" s="1">
        <v>45893</v>
      </c>
      <c r="F434" s="1">
        <v>45903</v>
      </c>
      <c r="G434" s="1">
        <v>45903</v>
      </c>
      <c r="H434" t="s">
        <v>33</v>
      </c>
      <c r="I434">
        <v>5</v>
      </c>
      <c r="J434" t="s">
        <v>127</v>
      </c>
    </row>
    <row r="435" spans="1:10" x14ac:dyDescent="0.25">
      <c r="A435" t="s">
        <v>576</v>
      </c>
      <c r="B435" t="s">
        <v>31</v>
      </c>
      <c r="C435">
        <v>105.51</v>
      </c>
      <c r="D435" t="s">
        <v>97</v>
      </c>
      <c r="E435" s="1">
        <v>45893</v>
      </c>
      <c r="F435" s="1">
        <v>45902</v>
      </c>
      <c r="H435" t="s">
        <v>54</v>
      </c>
      <c r="I435">
        <v>2</v>
      </c>
      <c r="J435" t="s">
        <v>108</v>
      </c>
    </row>
    <row r="436" spans="1:10" x14ac:dyDescent="0.25">
      <c r="A436" t="s">
        <v>577</v>
      </c>
      <c r="B436" t="s">
        <v>61</v>
      </c>
      <c r="C436">
        <v>15.54</v>
      </c>
      <c r="D436" t="s">
        <v>264</v>
      </c>
      <c r="E436" s="1">
        <v>45893</v>
      </c>
      <c r="F436" s="1">
        <v>45901</v>
      </c>
      <c r="G436" s="1">
        <v>45899</v>
      </c>
      <c r="H436" t="s">
        <v>33</v>
      </c>
      <c r="I436">
        <v>4</v>
      </c>
      <c r="J436" t="s">
        <v>117</v>
      </c>
    </row>
    <row r="437" spans="1:10" x14ac:dyDescent="0.25">
      <c r="A437" t="s">
        <v>578</v>
      </c>
      <c r="B437" t="s">
        <v>76</v>
      </c>
      <c r="C437">
        <v>142.77000000000001</v>
      </c>
      <c r="D437" t="s">
        <v>68</v>
      </c>
      <c r="E437" s="1">
        <v>45893</v>
      </c>
      <c r="F437" s="1">
        <v>45902</v>
      </c>
      <c r="H437" t="s">
        <v>161</v>
      </c>
      <c r="I437">
        <v>2</v>
      </c>
      <c r="J437" t="s">
        <v>461</v>
      </c>
    </row>
    <row r="438" spans="1:10" x14ac:dyDescent="0.25">
      <c r="A438" t="s">
        <v>579</v>
      </c>
      <c r="B438" t="s">
        <v>76</v>
      </c>
      <c r="C438">
        <v>93.56</v>
      </c>
      <c r="D438" t="s">
        <v>157</v>
      </c>
      <c r="E438" s="1">
        <v>45894</v>
      </c>
      <c r="F438" s="1">
        <v>45903</v>
      </c>
      <c r="G438" s="1">
        <v>45902</v>
      </c>
      <c r="H438" t="s">
        <v>33</v>
      </c>
      <c r="I438">
        <v>4</v>
      </c>
      <c r="J438" t="s">
        <v>41</v>
      </c>
    </row>
    <row r="439" spans="1:10" x14ac:dyDescent="0.25">
      <c r="A439" t="s">
        <v>580</v>
      </c>
      <c r="B439" t="s">
        <v>61</v>
      </c>
      <c r="C439">
        <v>57.98</v>
      </c>
      <c r="D439" t="s">
        <v>99</v>
      </c>
      <c r="E439" s="1">
        <v>45894</v>
      </c>
      <c r="F439" s="1">
        <v>45904</v>
      </c>
      <c r="G439" s="1">
        <v>45902</v>
      </c>
      <c r="H439" t="s">
        <v>33</v>
      </c>
      <c r="I439">
        <v>4</v>
      </c>
      <c r="J439" t="s">
        <v>134</v>
      </c>
    </row>
    <row r="440" spans="1:10" x14ac:dyDescent="0.25">
      <c r="A440" t="s">
        <v>581</v>
      </c>
      <c r="B440" t="s">
        <v>61</v>
      </c>
      <c r="C440">
        <v>83.16</v>
      </c>
      <c r="D440" t="s">
        <v>62</v>
      </c>
      <c r="E440" s="1">
        <v>45893</v>
      </c>
      <c r="F440" s="1">
        <v>45902</v>
      </c>
      <c r="G440" s="1">
        <v>45895</v>
      </c>
      <c r="H440" t="s">
        <v>33</v>
      </c>
      <c r="I440">
        <v>5</v>
      </c>
      <c r="J440" t="s">
        <v>134</v>
      </c>
    </row>
    <row r="441" spans="1:10" x14ac:dyDescent="0.25">
      <c r="A441" t="s">
        <v>582</v>
      </c>
      <c r="B441" t="s">
        <v>31</v>
      </c>
      <c r="C441">
        <v>128.34</v>
      </c>
      <c r="D441" t="s">
        <v>53</v>
      </c>
      <c r="E441" s="1">
        <v>45893</v>
      </c>
      <c r="F441" s="1">
        <v>45901</v>
      </c>
      <c r="G441" s="1">
        <v>45897</v>
      </c>
      <c r="H441" t="s">
        <v>33</v>
      </c>
      <c r="I441">
        <v>4</v>
      </c>
      <c r="J441" t="s">
        <v>134</v>
      </c>
    </row>
    <row r="442" spans="1:10" x14ac:dyDescent="0.25">
      <c r="A442" t="s">
        <v>583</v>
      </c>
      <c r="B442" t="s">
        <v>31</v>
      </c>
      <c r="C442">
        <v>59.79</v>
      </c>
      <c r="D442" t="s">
        <v>47</v>
      </c>
      <c r="E442" s="1">
        <v>45893</v>
      </c>
      <c r="F442" s="1">
        <v>45902</v>
      </c>
      <c r="G442" s="1">
        <v>45900</v>
      </c>
      <c r="H442" t="s">
        <v>33</v>
      </c>
      <c r="I442">
        <v>4</v>
      </c>
      <c r="J442" t="s">
        <v>112</v>
      </c>
    </row>
    <row r="443" spans="1:10" x14ac:dyDescent="0.25">
      <c r="A443" t="s">
        <v>584</v>
      </c>
      <c r="B443" t="s">
        <v>31</v>
      </c>
      <c r="C443">
        <v>85.54</v>
      </c>
      <c r="D443" t="s">
        <v>47</v>
      </c>
      <c r="E443" s="1">
        <v>45894</v>
      </c>
      <c r="F443" s="1">
        <v>45901</v>
      </c>
      <c r="G443" s="1">
        <v>45906</v>
      </c>
      <c r="H443" t="s">
        <v>33</v>
      </c>
      <c r="I443">
        <v>1</v>
      </c>
      <c r="J443" t="s">
        <v>185</v>
      </c>
    </row>
    <row r="444" spans="1:10" x14ac:dyDescent="0.25">
      <c r="A444" t="s">
        <v>585</v>
      </c>
      <c r="B444" t="s">
        <v>61</v>
      </c>
      <c r="C444">
        <v>19.27</v>
      </c>
      <c r="D444" t="s">
        <v>40</v>
      </c>
      <c r="E444" s="1">
        <v>45895</v>
      </c>
      <c r="F444" s="1">
        <v>45901</v>
      </c>
      <c r="G444" s="1">
        <v>45898</v>
      </c>
      <c r="H444" t="s">
        <v>33</v>
      </c>
      <c r="I444">
        <v>5</v>
      </c>
      <c r="J444" t="s">
        <v>69</v>
      </c>
    </row>
    <row r="445" spans="1:10" x14ac:dyDescent="0.25">
      <c r="A445" t="s">
        <v>586</v>
      </c>
      <c r="B445" t="s">
        <v>31</v>
      </c>
      <c r="C445">
        <v>138.77000000000001</v>
      </c>
      <c r="D445" t="s">
        <v>68</v>
      </c>
      <c r="E445" s="1">
        <v>45895</v>
      </c>
      <c r="F445" s="1">
        <v>45901</v>
      </c>
      <c r="G445" s="1">
        <v>45899</v>
      </c>
      <c r="H445" t="s">
        <v>33</v>
      </c>
      <c r="I445">
        <v>5</v>
      </c>
      <c r="J445" t="s">
        <v>48</v>
      </c>
    </row>
    <row r="446" spans="1:10" x14ac:dyDescent="0.25">
      <c r="A446" t="s">
        <v>587</v>
      </c>
      <c r="B446" t="s">
        <v>61</v>
      </c>
      <c r="C446">
        <v>19.86</v>
      </c>
      <c r="D446" t="s">
        <v>47</v>
      </c>
      <c r="E446" s="1">
        <v>45894</v>
      </c>
      <c r="F446" s="1">
        <v>45899</v>
      </c>
      <c r="H446" t="s">
        <v>63</v>
      </c>
      <c r="I446">
        <v>3</v>
      </c>
      <c r="J446" t="s">
        <v>146</v>
      </c>
    </row>
    <row r="447" spans="1:10" x14ac:dyDescent="0.25">
      <c r="A447" t="s">
        <v>588</v>
      </c>
      <c r="B447" t="s">
        <v>61</v>
      </c>
      <c r="C447">
        <v>50.65</v>
      </c>
      <c r="D447" t="s">
        <v>32</v>
      </c>
      <c r="E447" s="1">
        <v>45895</v>
      </c>
      <c r="F447" s="1">
        <v>45905</v>
      </c>
      <c r="G447" s="1">
        <v>45908</v>
      </c>
      <c r="H447" t="s">
        <v>33</v>
      </c>
      <c r="I447">
        <v>3</v>
      </c>
      <c r="J447" t="s">
        <v>238</v>
      </c>
    </row>
    <row r="448" spans="1:10" x14ac:dyDescent="0.25">
      <c r="A448" t="s">
        <v>589</v>
      </c>
      <c r="B448" t="s">
        <v>61</v>
      </c>
      <c r="C448">
        <v>28.02</v>
      </c>
      <c r="D448" t="s">
        <v>53</v>
      </c>
      <c r="E448" s="1">
        <v>45896</v>
      </c>
      <c r="F448" s="1">
        <v>45901</v>
      </c>
      <c r="G448" s="1">
        <v>45898</v>
      </c>
      <c r="H448" t="s">
        <v>33</v>
      </c>
      <c r="I448">
        <v>4</v>
      </c>
      <c r="J448" t="s">
        <v>77</v>
      </c>
    </row>
    <row r="449" spans="1:10" x14ac:dyDescent="0.25">
      <c r="A449" t="s">
        <v>590</v>
      </c>
      <c r="B449" t="s">
        <v>61</v>
      </c>
      <c r="C449">
        <v>57.19</v>
      </c>
      <c r="D449" t="s">
        <v>157</v>
      </c>
      <c r="E449" s="1">
        <v>45895</v>
      </c>
      <c r="F449" s="1">
        <v>45901</v>
      </c>
      <c r="G449" s="1">
        <v>45897</v>
      </c>
      <c r="H449" t="s">
        <v>33</v>
      </c>
      <c r="I449">
        <v>4</v>
      </c>
      <c r="J449" t="s">
        <v>117</v>
      </c>
    </row>
    <row r="450" spans="1:10" x14ac:dyDescent="0.25">
      <c r="A450" t="s">
        <v>591</v>
      </c>
      <c r="B450" t="s">
        <v>61</v>
      </c>
      <c r="C450">
        <v>66.67</v>
      </c>
      <c r="D450" t="s">
        <v>40</v>
      </c>
      <c r="E450" s="1">
        <v>45897</v>
      </c>
      <c r="F450" s="1">
        <v>45907</v>
      </c>
      <c r="G450" s="1">
        <v>45908</v>
      </c>
      <c r="H450" t="s">
        <v>33</v>
      </c>
      <c r="I450">
        <v>2</v>
      </c>
      <c r="J450" t="s">
        <v>129</v>
      </c>
    </row>
    <row r="451" spans="1:10" x14ac:dyDescent="0.25">
      <c r="A451" t="s">
        <v>592</v>
      </c>
      <c r="B451" t="s">
        <v>39</v>
      </c>
      <c r="C451">
        <v>51.63</v>
      </c>
      <c r="D451" t="s">
        <v>68</v>
      </c>
      <c r="E451" s="1">
        <v>45897</v>
      </c>
      <c r="F451" s="1">
        <v>45904</v>
      </c>
      <c r="G451" s="1">
        <v>45900</v>
      </c>
      <c r="H451" t="s">
        <v>33</v>
      </c>
      <c r="I451">
        <v>5</v>
      </c>
      <c r="J451" t="s">
        <v>166</v>
      </c>
    </row>
    <row r="452" spans="1:10" x14ac:dyDescent="0.25">
      <c r="A452" t="s">
        <v>593</v>
      </c>
      <c r="B452" t="s">
        <v>76</v>
      </c>
      <c r="C452">
        <v>17.559999999999999</v>
      </c>
      <c r="D452" t="s">
        <v>47</v>
      </c>
      <c r="E452" s="1">
        <v>45897</v>
      </c>
      <c r="F452" s="1">
        <v>45905</v>
      </c>
      <c r="G452" s="1">
        <v>45910</v>
      </c>
      <c r="H452" t="s">
        <v>33</v>
      </c>
      <c r="I452">
        <v>3</v>
      </c>
      <c r="J452" t="s">
        <v>243</v>
      </c>
    </row>
    <row r="453" spans="1:10" x14ac:dyDescent="0.25">
      <c r="A453" t="s">
        <v>594</v>
      </c>
      <c r="B453" t="s">
        <v>39</v>
      </c>
      <c r="C453">
        <v>45.98</v>
      </c>
      <c r="D453" t="s">
        <v>99</v>
      </c>
      <c r="E453" s="1">
        <v>45897</v>
      </c>
      <c r="F453" s="1">
        <v>45907</v>
      </c>
      <c r="G453" s="1">
        <v>45905</v>
      </c>
      <c r="H453" t="s">
        <v>33</v>
      </c>
      <c r="I453">
        <v>5</v>
      </c>
      <c r="J453" t="s">
        <v>41</v>
      </c>
    </row>
    <row r="454" spans="1:10" x14ac:dyDescent="0.25">
      <c r="A454" t="s">
        <v>595</v>
      </c>
      <c r="B454" t="s">
        <v>31</v>
      </c>
      <c r="C454">
        <v>109.4</v>
      </c>
      <c r="D454" t="s">
        <v>40</v>
      </c>
      <c r="E454" s="1">
        <v>45897</v>
      </c>
      <c r="F454" s="1">
        <v>45906</v>
      </c>
      <c r="G454" s="1">
        <v>45901</v>
      </c>
      <c r="H454" t="s">
        <v>33</v>
      </c>
      <c r="I454">
        <v>5</v>
      </c>
      <c r="J454" t="s">
        <v>77</v>
      </c>
    </row>
    <row r="455" spans="1:10" x14ac:dyDescent="0.25">
      <c r="A455" t="s">
        <v>596</v>
      </c>
      <c r="B455" t="s">
        <v>76</v>
      </c>
      <c r="C455">
        <v>29.12</v>
      </c>
      <c r="D455" t="s">
        <v>40</v>
      </c>
      <c r="E455" s="1">
        <v>45898</v>
      </c>
      <c r="F455" s="1">
        <v>45905</v>
      </c>
      <c r="G455" s="1">
        <v>45900</v>
      </c>
      <c r="H455" t="s">
        <v>33</v>
      </c>
      <c r="I455">
        <v>4</v>
      </c>
      <c r="J455" t="s">
        <v>134</v>
      </c>
    </row>
    <row r="456" spans="1:10" x14ac:dyDescent="0.25">
      <c r="A456" t="s">
        <v>597</v>
      </c>
      <c r="B456" t="s">
        <v>31</v>
      </c>
      <c r="C456">
        <v>16.95</v>
      </c>
      <c r="D456" t="s">
        <v>40</v>
      </c>
      <c r="E456" s="1">
        <v>45899</v>
      </c>
      <c r="F456" s="1">
        <v>45906</v>
      </c>
      <c r="G456" s="1">
        <v>45907</v>
      </c>
      <c r="H456" t="s">
        <v>33</v>
      </c>
      <c r="I456">
        <v>3</v>
      </c>
      <c r="J456" t="s">
        <v>243</v>
      </c>
    </row>
    <row r="457" spans="1:10" x14ac:dyDescent="0.25">
      <c r="A457" t="s">
        <v>598</v>
      </c>
      <c r="B457" t="s">
        <v>31</v>
      </c>
      <c r="C457">
        <v>43.76</v>
      </c>
      <c r="D457" t="s">
        <v>40</v>
      </c>
      <c r="E457" s="1">
        <v>45898</v>
      </c>
      <c r="F457" s="1">
        <v>45908</v>
      </c>
      <c r="H457" t="s">
        <v>54</v>
      </c>
      <c r="I457">
        <v>4</v>
      </c>
      <c r="J457" t="s">
        <v>79</v>
      </c>
    </row>
    <row r="458" spans="1:10" x14ac:dyDescent="0.25">
      <c r="A458" t="s">
        <v>599</v>
      </c>
      <c r="B458" t="s">
        <v>61</v>
      </c>
      <c r="C458">
        <v>34.17</v>
      </c>
      <c r="D458" t="s">
        <v>157</v>
      </c>
      <c r="E458" s="1">
        <v>45898</v>
      </c>
      <c r="F458" s="1">
        <v>45903</v>
      </c>
      <c r="G458" s="1">
        <v>45900</v>
      </c>
      <c r="H458" t="s">
        <v>33</v>
      </c>
      <c r="I458">
        <v>4</v>
      </c>
      <c r="J458" t="s">
        <v>69</v>
      </c>
    </row>
    <row r="459" spans="1:10" x14ac:dyDescent="0.25">
      <c r="A459" t="s">
        <v>600</v>
      </c>
      <c r="B459" t="s">
        <v>61</v>
      </c>
      <c r="C459">
        <v>143.15</v>
      </c>
      <c r="D459" t="s">
        <v>126</v>
      </c>
      <c r="E459" s="1">
        <v>45898</v>
      </c>
      <c r="F459" s="1">
        <v>45906</v>
      </c>
      <c r="G459" s="1">
        <v>45908</v>
      </c>
      <c r="H459" t="s">
        <v>33</v>
      </c>
      <c r="I459">
        <v>3</v>
      </c>
      <c r="J459" t="s">
        <v>238</v>
      </c>
    </row>
    <row r="460" spans="1:10" x14ac:dyDescent="0.25">
      <c r="A460" t="s">
        <v>601</v>
      </c>
      <c r="B460" t="s">
        <v>39</v>
      </c>
      <c r="C460">
        <v>107.29</v>
      </c>
      <c r="D460" t="s">
        <v>47</v>
      </c>
      <c r="E460" s="1">
        <v>45899</v>
      </c>
      <c r="F460" s="1">
        <v>45904</v>
      </c>
      <c r="G460" s="1">
        <v>45903</v>
      </c>
      <c r="H460" t="s">
        <v>33</v>
      </c>
      <c r="I460">
        <v>5</v>
      </c>
      <c r="J460" t="s">
        <v>34</v>
      </c>
    </row>
    <row r="461" spans="1:10" x14ac:dyDescent="0.25">
      <c r="A461" t="s">
        <v>602</v>
      </c>
      <c r="B461" t="s">
        <v>39</v>
      </c>
      <c r="C461">
        <v>30.85</v>
      </c>
      <c r="D461" t="s">
        <v>62</v>
      </c>
      <c r="E461" s="1">
        <v>45900</v>
      </c>
      <c r="F461" s="1">
        <v>45905</v>
      </c>
      <c r="G461" s="1">
        <v>45909</v>
      </c>
      <c r="H461" t="s">
        <v>33</v>
      </c>
      <c r="I461">
        <v>2</v>
      </c>
      <c r="J461" t="s">
        <v>461</v>
      </c>
    </row>
    <row r="462" spans="1:10" x14ac:dyDescent="0.25">
      <c r="A462" t="s">
        <v>603</v>
      </c>
      <c r="B462" t="s">
        <v>31</v>
      </c>
      <c r="C462">
        <v>50.67</v>
      </c>
      <c r="D462" t="s">
        <v>47</v>
      </c>
      <c r="E462" s="1">
        <v>45900</v>
      </c>
      <c r="F462" s="1">
        <v>45910</v>
      </c>
      <c r="G462" s="1">
        <v>45908</v>
      </c>
      <c r="H462" t="s">
        <v>33</v>
      </c>
      <c r="I462">
        <v>5</v>
      </c>
      <c r="J462" t="s">
        <v>127</v>
      </c>
    </row>
    <row r="463" spans="1:10" x14ac:dyDescent="0.25">
      <c r="A463" t="s">
        <v>604</v>
      </c>
      <c r="B463" t="s">
        <v>76</v>
      </c>
      <c r="C463">
        <v>24.29</v>
      </c>
      <c r="D463" t="s">
        <v>47</v>
      </c>
      <c r="E463" s="1">
        <v>45900</v>
      </c>
      <c r="F463" s="1">
        <v>45907</v>
      </c>
      <c r="G463" s="1">
        <v>45902</v>
      </c>
      <c r="H463" t="s">
        <v>33</v>
      </c>
      <c r="I463">
        <v>5</v>
      </c>
      <c r="J463" t="s">
        <v>69</v>
      </c>
    </row>
    <row r="464" spans="1:10" x14ac:dyDescent="0.25">
      <c r="A464" t="s">
        <v>605</v>
      </c>
      <c r="B464" t="s">
        <v>31</v>
      </c>
      <c r="C464">
        <v>78.36</v>
      </c>
      <c r="D464" t="s">
        <v>157</v>
      </c>
      <c r="E464" s="1">
        <v>45900</v>
      </c>
      <c r="F464" s="1">
        <v>45907</v>
      </c>
      <c r="G464" s="1">
        <v>45904</v>
      </c>
      <c r="H464" t="s">
        <v>33</v>
      </c>
      <c r="I464">
        <v>5</v>
      </c>
      <c r="J464" t="s">
        <v>166</v>
      </c>
    </row>
    <row r="465" spans="1:10" x14ac:dyDescent="0.25">
      <c r="A465" t="s">
        <v>606</v>
      </c>
      <c r="B465" t="s">
        <v>31</v>
      </c>
      <c r="C465">
        <v>17.32</v>
      </c>
      <c r="D465" t="s">
        <v>62</v>
      </c>
      <c r="E465" s="1">
        <v>45901</v>
      </c>
      <c r="F465" s="1">
        <v>45906</v>
      </c>
      <c r="G465" s="1">
        <v>45906</v>
      </c>
      <c r="H465" t="s">
        <v>33</v>
      </c>
      <c r="I465">
        <v>5</v>
      </c>
      <c r="J465" t="s">
        <v>48</v>
      </c>
    </row>
    <row r="466" spans="1:10" x14ac:dyDescent="0.25">
      <c r="A466" t="s">
        <v>607</v>
      </c>
      <c r="B466" t="s">
        <v>76</v>
      </c>
      <c r="C466">
        <v>100.84</v>
      </c>
      <c r="D466" t="s">
        <v>47</v>
      </c>
      <c r="E466" s="1">
        <v>45901</v>
      </c>
      <c r="F466" s="1">
        <v>45911</v>
      </c>
      <c r="G466" s="1">
        <v>45910</v>
      </c>
      <c r="H466" t="s">
        <v>33</v>
      </c>
      <c r="I466">
        <v>5</v>
      </c>
      <c r="J466" t="s">
        <v>127</v>
      </c>
    </row>
    <row r="467" spans="1:10" x14ac:dyDescent="0.25">
      <c r="A467" t="s">
        <v>608</v>
      </c>
      <c r="B467" t="s">
        <v>39</v>
      </c>
      <c r="C467">
        <v>28.53</v>
      </c>
      <c r="D467" t="s">
        <v>157</v>
      </c>
      <c r="E467" s="1">
        <v>45901</v>
      </c>
      <c r="F467" s="1">
        <v>45909</v>
      </c>
      <c r="G467" s="1">
        <v>45909</v>
      </c>
      <c r="H467" t="s">
        <v>33</v>
      </c>
      <c r="I467">
        <v>5</v>
      </c>
      <c r="J467" t="s">
        <v>211</v>
      </c>
    </row>
    <row r="468" spans="1:10" x14ac:dyDescent="0.25">
      <c r="A468" t="s">
        <v>609</v>
      </c>
      <c r="B468" t="s">
        <v>31</v>
      </c>
      <c r="C468">
        <v>92.97</v>
      </c>
      <c r="D468" t="s">
        <v>83</v>
      </c>
      <c r="E468" s="1">
        <v>45902</v>
      </c>
      <c r="F468" s="1">
        <v>45910</v>
      </c>
      <c r="G468" s="1">
        <v>45905</v>
      </c>
      <c r="H468" t="s">
        <v>33</v>
      </c>
      <c r="I468">
        <v>4</v>
      </c>
      <c r="J468" t="s">
        <v>166</v>
      </c>
    </row>
    <row r="469" spans="1:10" x14ac:dyDescent="0.25">
      <c r="A469" t="s">
        <v>610</v>
      </c>
      <c r="B469" t="s">
        <v>31</v>
      </c>
      <c r="C469">
        <v>28.82</v>
      </c>
      <c r="D469" t="s">
        <v>99</v>
      </c>
      <c r="E469" s="1">
        <v>45902</v>
      </c>
      <c r="F469" s="1">
        <v>45907</v>
      </c>
      <c r="G469" s="1">
        <v>45905</v>
      </c>
      <c r="H469" t="s">
        <v>33</v>
      </c>
      <c r="I469">
        <v>5</v>
      </c>
      <c r="J469" t="s">
        <v>48</v>
      </c>
    </row>
    <row r="470" spans="1:10" x14ac:dyDescent="0.25">
      <c r="A470" t="s">
        <v>611</v>
      </c>
      <c r="B470" t="s">
        <v>31</v>
      </c>
      <c r="C470">
        <v>59.18</v>
      </c>
      <c r="D470" t="s">
        <v>97</v>
      </c>
      <c r="E470" s="1">
        <v>45904</v>
      </c>
      <c r="F470" s="1">
        <v>45909</v>
      </c>
      <c r="G470" s="1">
        <v>45909</v>
      </c>
      <c r="H470" t="s">
        <v>33</v>
      </c>
      <c r="I470">
        <v>4</v>
      </c>
      <c r="J470" t="s">
        <v>79</v>
      </c>
    </row>
    <row r="471" spans="1:10" x14ac:dyDescent="0.25">
      <c r="A471" t="s">
        <v>612</v>
      </c>
      <c r="B471" t="s">
        <v>39</v>
      </c>
      <c r="C471">
        <v>19.25</v>
      </c>
      <c r="D471" t="s">
        <v>47</v>
      </c>
      <c r="E471" s="1">
        <v>45903</v>
      </c>
      <c r="F471" s="1">
        <v>45910</v>
      </c>
      <c r="G471" s="1">
        <v>45905</v>
      </c>
      <c r="H471" t="s">
        <v>33</v>
      </c>
      <c r="I471">
        <v>5</v>
      </c>
      <c r="J471" t="s">
        <v>48</v>
      </c>
    </row>
    <row r="472" spans="1:10" x14ac:dyDescent="0.25">
      <c r="A472" t="s">
        <v>613</v>
      </c>
      <c r="B472" t="s">
        <v>76</v>
      </c>
      <c r="C472">
        <v>20.07</v>
      </c>
      <c r="D472" t="s">
        <v>32</v>
      </c>
      <c r="E472" s="1">
        <v>45903</v>
      </c>
      <c r="F472" s="1">
        <v>45911</v>
      </c>
      <c r="H472" t="s">
        <v>63</v>
      </c>
      <c r="I472">
        <v>1</v>
      </c>
      <c r="J472" t="s">
        <v>170</v>
      </c>
    </row>
    <row r="473" spans="1:10" x14ac:dyDescent="0.25">
      <c r="A473" t="s">
        <v>614</v>
      </c>
      <c r="B473" t="s">
        <v>39</v>
      </c>
      <c r="C473">
        <v>107.47</v>
      </c>
      <c r="D473" t="s">
        <v>150</v>
      </c>
      <c r="E473" s="1">
        <v>45904</v>
      </c>
      <c r="F473" s="1">
        <v>45914</v>
      </c>
      <c r="G473" s="1">
        <v>45906</v>
      </c>
      <c r="H473" t="s">
        <v>33</v>
      </c>
      <c r="I473">
        <v>4</v>
      </c>
      <c r="J473" t="s">
        <v>172</v>
      </c>
    </row>
    <row r="474" spans="1:10" x14ac:dyDescent="0.25">
      <c r="A474" t="s">
        <v>615</v>
      </c>
      <c r="B474" t="s">
        <v>39</v>
      </c>
      <c r="C474">
        <v>20.76</v>
      </c>
      <c r="D474" t="s">
        <v>150</v>
      </c>
      <c r="E474" s="1">
        <v>45905</v>
      </c>
      <c r="F474" s="1">
        <v>45915</v>
      </c>
      <c r="H474" t="s">
        <v>54</v>
      </c>
      <c r="I474">
        <v>3</v>
      </c>
      <c r="J474" t="s">
        <v>230</v>
      </c>
    </row>
    <row r="475" spans="1:10" x14ac:dyDescent="0.25">
      <c r="A475" t="s">
        <v>616</v>
      </c>
      <c r="B475" t="s">
        <v>76</v>
      </c>
      <c r="C475">
        <v>86.84</v>
      </c>
      <c r="D475" t="s">
        <v>97</v>
      </c>
      <c r="E475" s="1">
        <v>45904</v>
      </c>
      <c r="F475" s="1">
        <v>45912</v>
      </c>
      <c r="G475" s="1">
        <v>45910</v>
      </c>
      <c r="H475" t="s">
        <v>33</v>
      </c>
      <c r="I475">
        <v>5</v>
      </c>
      <c r="J475" t="s">
        <v>34</v>
      </c>
    </row>
    <row r="476" spans="1:10" x14ac:dyDescent="0.25">
      <c r="A476" t="s">
        <v>617</v>
      </c>
      <c r="B476" t="s">
        <v>61</v>
      </c>
      <c r="C476">
        <v>146.88999999999999</v>
      </c>
      <c r="D476" t="s">
        <v>40</v>
      </c>
      <c r="E476" s="1">
        <v>45904</v>
      </c>
      <c r="F476" s="1">
        <v>45911</v>
      </c>
      <c r="H476" t="s">
        <v>63</v>
      </c>
      <c r="I476">
        <v>2</v>
      </c>
      <c r="J476" t="s">
        <v>185</v>
      </c>
    </row>
    <row r="477" spans="1:10" x14ac:dyDescent="0.25">
      <c r="A477" t="s">
        <v>618</v>
      </c>
      <c r="B477" t="s">
        <v>61</v>
      </c>
      <c r="C477">
        <v>27.66</v>
      </c>
      <c r="D477" t="s">
        <v>101</v>
      </c>
      <c r="E477" s="1">
        <v>45905</v>
      </c>
      <c r="F477" s="1">
        <v>45914</v>
      </c>
      <c r="G477" s="1">
        <v>45914</v>
      </c>
      <c r="H477" t="s">
        <v>33</v>
      </c>
      <c r="I477">
        <v>4</v>
      </c>
      <c r="J477" t="s">
        <v>119</v>
      </c>
    </row>
    <row r="478" spans="1:10" x14ac:dyDescent="0.25">
      <c r="A478" t="s">
        <v>619</v>
      </c>
      <c r="B478" t="s">
        <v>39</v>
      </c>
      <c r="C478">
        <v>18.690000000000001</v>
      </c>
      <c r="D478" t="s">
        <v>97</v>
      </c>
      <c r="E478" s="1">
        <v>45904</v>
      </c>
      <c r="F478" s="1">
        <v>45911</v>
      </c>
      <c r="G478" s="1">
        <v>45911</v>
      </c>
      <c r="H478" t="s">
        <v>33</v>
      </c>
      <c r="I478">
        <v>4</v>
      </c>
      <c r="J478" t="s">
        <v>79</v>
      </c>
    </row>
    <row r="479" spans="1:10" x14ac:dyDescent="0.25">
      <c r="A479" t="s">
        <v>620</v>
      </c>
      <c r="B479" t="s">
        <v>31</v>
      </c>
      <c r="C479">
        <v>50.62</v>
      </c>
      <c r="D479" t="s">
        <v>32</v>
      </c>
      <c r="E479" s="1">
        <v>45906</v>
      </c>
      <c r="F479" s="1">
        <v>45911</v>
      </c>
      <c r="G479" s="1">
        <v>45913</v>
      </c>
      <c r="H479" t="s">
        <v>33</v>
      </c>
      <c r="I479">
        <v>2</v>
      </c>
      <c r="J479" t="s">
        <v>140</v>
      </c>
    </row>
    <row r="480" spans="1:10" x14ac:dyDescent="0.25">
      <c r="A480" t="s">
        <v>621</v>
      </c>
      <c r="B480" t="s">
        <v>31</v>
      </c>
      <c r="C480">
        <v>19.559999999999999</v>
      </c>
      <c r="D480" t="s">
        <v>264</v>
      </c>
      <c r="E480" s="1">
        <v>45906</v>
      </c>
      <c r="F480" s="1">
        <v>45913</v>
      </c>
      <c r="G480" s="1">
        <v>45912</v>
      </c>
      <c r="H480" t="s">
        <v>33</v>
      </c>
      <c r="I480">
        <v>4</v>
      </c>
      <c r="J480" t="s">
        <v>117</v>
      </c>
    </row>
    <row r="481" spans="1:10" x14ac:dyDescent="0.25">
      <c r="A481" t="s">
        <v>622</v>
      </c>
      <c r="B481" t="s">
        <v>61</v>
      </c>
      <c r="C481">
        <v>58.59</v>
      </c>
      <c r="D481" t="s">
        <v>150</v>
      </c>
      <c r="E481" s="1">
        <v>45905</v>
      </c>
      <c r="F481" s="1">
        <v>45912</v>
      </c>
      <c r="G481" s="1">
        <v>45908</v>
      </c>
      <c r="H481" t="s">
        <v>33</v>
      </c>
      <c r="I481">
        <v>4</v>
      </c>
      <c r="J481" t="s">
        <v>48</v>
      </c>
    </row>
    <row r="482" spans="1:10" x14ac:dyDescent="0.25">
      <c r="A482" t="s">
        <v>623</v>
      </c>
      <c r="B482" t="s">
        <v>76</v>
      </c>
      <c r="C482">
        <v>20.260000000000002</v>
      </c>
      <c r="D482" t="s">
        <v>97</v>
      </c>
      <c r="E482" s="1">
        <v>45906</v>
      </c>
      <c r="F482" s="1">
        <v>45912</v>
      </c>
      <c r="G482" s="1">
        <v>45911</v>
      </c>
      <c r="H482" t="s">
        <v>33</v>
      </c>
      <c r="I482">
        <v>4</v>
      </c>
      <c r="J482" t="s">
        <v>79</v>
      </c>
    </row>
    <row r="483" spans="1:10" x14ac:dyDescent="0.25">
      <c r="A483" t="s">
        <v>624</v>
      </c>
      <c r="B483" t="s">
        <v>61</v>
      </c>
      <c r="C483">
        <v>46.36</v>
      </c>
      <c r="D483" t="s">
        <v>264</v>
      </c>
      <c r="E483" s="1">
        <v>45907</v>
      </c>
      <c r="F483" s="1">
        <v>45914</v>
      </c>
      <c r="G483" s="1">
        <v>45911</v>
      </c>
      <c r="H483" t="s">
        <v>33</v>
      </c>
      <c r="I483">
        <v>5</v>
      </c>
      <c r="J483" t="s">
        <v>79</v>
      </c>
    </row>
    <row r="484" spans="1:10" x14ac:dyDescent="0.25">
      <c r="A484" t="s">
        <v>625</v>
      </c>
      <c r="B484" t="s">
        <v>61</v>
      </c>
      <c r="C484">
        <v>136.66</v>
      </c>
      <c r="D484" t="s">
        <v>47</v>
      </c>
      <c r="E484" s="1">
        <v>45907</v>
      </c>
      <c r="F484" s="1">
        <v>45914</v>
      </c>
      <c r="H484" t="s">
        <v>54</v>
      </c>
      <c r="I484">
        <v>2</v>
      </c>
      <c r="J484" t="s">
        <v>180</v>
      </c>
    </row>
    <row r="485" spans="1:10" x14ac:dyDescent="0.25">
      <c r="A485" t="s">
        <v>626</v>
      </c>
      <c r="B485" t="s">
        <v>61</v>
      </c>
      <c r="C485">
        <v>30.47</v>
      </c>
      <c r="D485" t="s">
        <v>32</v>
      </c>
      <c r="E485" s="1">
        <v>45907</v>
      </c>
      <c r="F485" s="1">
        <v>45917</v>
      </c>
      <c r="G485" s="1">
        <v>45917</v>
      </c>
      <c r="H485" t="s">
        <v>33</v>
      </c>
      <c r="I485">
        <v>4</v>
      </c>
      <c r="J485" t="s">
        <v>112</v>
      </c>
    </row>
    <row r="486" spans="1:10" x14ac:dyDescent="0.25">
      <c r="A486" t="s">
        <v>627</v>
      </c>
      <c r="B486" t="s">
        <v>31</v>
      </c>
      <c r="C486">
        <v>17.38</v>
      </c>
      <c r="D486" t="s">
        <v>157</v>
      </c>
      <c r="E486" s="1">
        <v>45908</v>
      </c>
      <c r="F486" s="1">
        <v>45913</v>
      </c>
      <c r="G486" s="1">
        <v>45910</v>
      </c>
      <c r="H486" t="s">
        <v>33</v>
      </c>
      <c r="I486">
        <v>4</v>
      </c>
      <c r="J486" t="s">
        <v>166</v>
      </c>
    </row>
    <row r="487" spans="1:10" x14ac:dyDescent="0.25">
      <c r="A487" t="s">
        <v>628</v>
      </c>
      <c r="B487" t="s">
        <v>76</v>
      </c>
      <c r="C487">
        <v>41.76</v>
      </c>
      <c r="D487" t="s">
        <v>47</v>
      </c>
      <c r="E487" s="1">
        <v>45908</v>
      </c>
      <c r="F487" s="1">
        <v>45916</v>
      </c>
      <c r="G487" s="1">
        <v>45913</v>
      </c>
      <c r="H487" t="s">
        <v>33</v>
      </c>
      <c r="I487">
        <v>4</v>
      </c>
      <c r="J487" t="s">
        <v>166</v>
      </c>
    </row>
    <row r="488" spans="1:10" x14ac:dyDescent="0.25">
      <c r="A488" t="s">
        <v>629</v>
      </c>
      <c r="B488" t="s">
        <v>61</v>
      </c>
      <c r="C488">
        <v>29.43</v>
      </c>
      <c r="D488" t="s">
        <v>62</v>
      </c>
      <c r="E488" s="1">
        <v>45910</v>
      </c>
      <c r="F488" s="1">
        <v>45915</v>
      </c>
      <c r="G488" s="1">
        <v>45914</v>
      </c>
      <c r="H488" t="s">
        <v>33</v>
      </c>
      <c r="I488">
        <v>5</v>
      </c>
      <c r="J488" t="s">
        <v>172</v>
      </c>
    </row>
    <row r="489" spans="1:10" x14ac:dyDescent="0.25">
      <c r="A489" t="s">
        <v>630</v>
      </c>
      <c r="B489" t="s">
        <v>61</v>
      </c>
      <c r="C489">
        <v>47.56</v>
      </c>
      <c r="D489" t="s">
        <v>99</v>
      </c>
      <c r="E489" s="1">
        <v>45910</v>
      </c>
      <c r="F489" s="1">
        <v>45917</v>
      </c>
      <c r="G489" s="1">
        <v>45915</v>
      </c>
      <c r="H489" t="s">
        <v>33</v>
      </c>
      <c r="I489">
        <v>4</v>
      </c>
      <c r="J489" t="s">
        <v>48</v>
      </c>
    </row>
    <row r="490" spans="1:10" x14ac:dyDescent="0.25">
      <c r="A490" t="s">
        <v>631</v>
      </c>
      <c r="B490" t="s">
        <v>76</v>
      </c>
      <c r="C490">
        <v>120.79</v>
      </c>
      <c r="D490" t="s">
        <v>97</v>
      </c>
      <c r="E490" s="1">
        <v>45910</v>
      </c>
      <c r="F490" s="1">
        <v>45920</v>
      </c>
      <c r="H490" t="s">
        <v>54</v>
      </c>
      <c r="I490">
        <v>3</v>
      </c>
      <c r="J490" t="s">
        <v>243</v>
      </c>
    </row>
    <row r="491" spans="1:10" x14ac:dyDescent="0.25">
      <c r="A491" t="s">
        <v>632</v>
      </c>
      <c r="B491" t="s">
        <v>61</v>
      </c>
      <c r="C491">
        <v>40.69</v>
      </c>
      <c r="D491" t="s">
        <v>40</v>
      </c>
      <c r="E491" s="1">
        <v>45911</v>
      </c>
      <c r="F491" s="1">
        <v>45921</v>
      </c>
      <c r="G491" s="1">
        <v>45919</v>
      </c>
      <c r="H491" t="s">
        <v>33</v>
      </c>
      <c r="I491">
        <v>4</v>
      </c>
      <c r="J491" t="s">
        <v>48</v>
      </c>
    </row>
    <row r="492" spans="1:10" x14ac:dyDescent="0.25">
      <c r="A492" t="s">
        <v>633</v>
      </c>
      <c r="B492" t="s">
        <v>31</v>
      </c>
      <c r="C492">
        <v>27.96</v>
      </c>
      <c r="D492" t="s">
        <v>40</v>
      </c>
      <c r="E492" s="1">
        <v>45910</v>
      </c>
      <c r="F492" s="1">
        <v>45917</v>
      </c>
      <c r="H492" t="s">
        <v>54</v>
      </c>
      <c r="I492">
        <v>2</v>
      </c>
      <c r="J492" t="s">
        <v>185</v>
      </c>
    </row>
    <row r="493" spans="1:10" x14ac:dyDescent="0.25">
      <c r="A493" t="s">
        <v>634</v>
      </c>
      <c r="B493" t="s">
        <v>61</v>
      </c>
      <c r="C493">
        <v>29.79</v>
      </c>
      <c r="D493" t="s">
        <v>40</v>
      </c>
      <c r="E493" s="1">
        <v>45910</v>
      </c>
      <c r="F493" s="1">
        <v>45917</v>
      </c>
      <c r="G493" s="1">
        <v>45915</v>
      </c>
      <c r="H493" t="s">
        <v>33</v>
      </c>
      <c r="I493">
        <v>4</v>
      </c>
      <c r="J493" t="s">
        <v>172</v>
      </c>
    </row>
    <row r="494" spans="1:10" x14ac:dyDescent="0.25">
      <c r="A494" t="s">
        <v>635</v>
      </c>
      <c r="B494" t="s">
        <v>76</v>
      </c>
      <c r="C494">
        <v>19.39</v>
      </c>
      <c r="D494" t="s">
        <v>62</v>
      </c>
      <c r="E494" s="1">
        <v>45910</v>
      </c>
      <c r="F494" s="1">
        <v>45920</v>
      </c>
      <c r="G494" s="1">
        <v>45918</v>
      </c>
      <c r="H494" t="s">
        <v>33</v>
      </c>
      <c r="I494">
        <v>5</v>
      </c>
      <c r="J494" t="s">
        <v>48</v>
      </c>
    </row>
    <row r="495" spans="1:10" x14ac:dyDescent="0.25">
      <c r="A495" t="s">
        <v>636</v>
      </c>
      <c r="B495" t="s">
        <v>61</v>
      </c>
      <c r="C495">
        <v>107.69</v>
      </c>
      <c r="D495" t="s">
        <v>53</v>
      </c>
      <c r="E495" s="1">
        <v>45912</v>
      </c>
      <c r="F495" s="1">
        <v>45922</v>
      </c>
      <c r="H495" t="s">
        <v>54</v>
      </c>
      <c r="I495">
        <v>3</v>
      </c>
      <c r="J495" t="s">
        <v>121</v>
      </c>
    </row>
    <row r="496" spans="1:10" x14ac:dyDescent="0.25">
      <c r="A496" t="s">
        <v>637</v>
      </c>
      <c r="B496" t="s">
        <v>31</v>
      </c>
      <c r="C496">
        <v>134.87</v>
      </c>
      <c r="D496" t="s">
        <v>62</v>
      </c>
      <c r="E496" s="1">
        <v>45911</v>
      </c>
      <c r="F496" s="1">
        <v>45917</v>
      </c>
      <c r="G496" s="1">
        <v>45917</v>
      </c>
      <c r="H496" t="s">
        <v>33</v>
      </c>
      <c r="I496">
        <v>4</v>
      </c>
      <c r="J496" t="s">
        <v>112</v>
      </c>
    </row>
    <row r="497" spans="1:10" x14ac:dyDescent="0.25">
      <c r="A497" t="s">
        <v>638</v>
      </c>
      <c r="B497" t="s">
        <v>61</v>
      </c>
      <c r="C497">
        <v>40.28</v>
      </c>
      <c r="D497" t="s">
        <v>62</v>
      </c>
      <c r="E497" s="1">
        <v>45912</v>
      </c>
      <c r="F497" s="1">
        <v>45920</v>
      </c>
      <c r="H497" t="s">
        <v>63</v>
      </c>
      <c r="I497">
        <v>1</v>
      </c>
      <c r="J497" t="s">
        <v>64</v>
      </c>
    </row>
    <row r="498" spans="1:10" x14ac:dyDescent="0.25">
      <c r="A498" t="s">
        <v>639</v>
      </c>
      <c r="B498" t="s">
        <v>76</v>
      </c>
      <c r="C498">
        <v>47.93</v>
      </c>
      <c r="D498" t="s">
        <v>62</v>
      </c>
      <c r="E498" s="1">
        <v>45912</v>
      </c>
      <c r="F498" s="1">
        <v>45922</v>
      </c>
      <c r="G498" s="1">
        <v>45914</v>
      </c>
      <c r="H498" t="s">
        <v>33</v>
      </c>
      <c r="I498">
        <v>4</v>
      </c>
      <c r="J498" t="s">
        <v>48</v>
      </c>
    </row>
    <row r="499" spans="1:10" x14ac:dyDescent="0.25">
      <c r="A499" t="s">
        <v>640</v>
      </c>
      <c r="B499" t="s">
        <v>61</v>
      </c>
      <c r="C499">
        <v>35.159999999999997</v>
      </c>
      <c r="D499" t="s">
        <v>47</v>
      </c>
      <c r="E499" s="1">
        <v>45912</v>
      </c>
      <c r="F499" s="1">
        <v>45918</v>
      </c>
      <c r="G499" s="1">
        <v>45919</v>
      </c>
      <c r="H499" t="s">
        <v>33</v>
      </c>
      <c r="I499">
        <v>2</v>
      </c>
      <c r="J499" t="s">
        <v>180</v>
      </c>
    </row>
    <row r="500" spans="1:10" x14ac:dyDescent="0.25">
      <c r="A500" t="s">
        <v>641</v>
      </c>
      <c r="B500" t="s">
        <v>31</v>
      </c>
      <c r="C500">
        <v>57.36</v>
      </c>
      <c r="D500" t="s">
        <v>62</v>
      </c>
      <c r="E500" s="1">
        <v>45912</v>
      </c>
      <c r="F500" s="1">
        <v>45918</v>
      </c>
      <c r="H500" t="s">
        <v>54</v>
      </c>
      <c r="I500">
        <v>4</v>
      </c>
      <c r="J500" t="s">
        <v>48</v>
      </c>
    </row>
    <row r="501" spans="1:10" x14ac:dyDescent="0.25">
      <c r="A501" t="s">
        <v>642</v>
      </c>
      <c r="B501" t="s">
        <v>61</v>
      </c>
      <c r="C501">
        <v>106.24</v>
      </c>
      <c r="D501" t="s">
        <v>47</v>
      </c>
      <c r="E501" s="1">
        <v>45914</v>
      </c>
      <c r="F501" s="1">
        <v>45920</v>
      </c>
      <c r="H501" t="s">
        <v>54</v>
      </c>
      <c r="I501">
        <v>2</v>
      </c>
      <c r="J501" t="s">
        <v>180</v>
      </c>
    </row>
    <row r="502" spans="1:10" x14ac:dyDescent="0.25">
      <c r="A502" t="s">
        <v>643</v>
      </c>
      <c r="B502" t="s">
        <v>31</v>
      </c>
      <c r="C502">
        <v>119.54</v>
      </c>
      <c r="D502" t="s">
        <v>157</v>
      </c>
      <c r="E502" s="1">
        <v>45914</v>
      </c>
      <c r="F502" s="1">
        <v>45920</v>
      </c>
      <c r="G502" s="1">
        <v>45920</v>
      </c>
      <c r="H502" t="s">
        <v>33</v>
      </c>
      <c r="I502">
        <v>5</v>
      </c>
      <c r="J502" t="s">
        <v>166</v>
      </c>
    </row>
    <row r="503" spans="1:10" x14ac:dyDescent="0.25">
      <c r="A503" t="s">
        <v>644</v>
      </c>
      <c r="B503" t="s">
        <v>31</v>
      </c>
      <c r="C503">
        <v>49.3</v>
      </c>
      <c r="D503" t="s">
        <v>47</v>
      </c>
      <c r="E503" s="1">
        <v>45914</v>
      </c>
      <c r="F503" s="1">
        <v>45922</v>
      </c>
      <c r="G503" s="1">
        <v>45917</v>
      </c>
      <c r="H503" t="s">
        <v>33</v>
      </c>
      <c r="I503">
        <v>5</v>
      </c>
      <c r="J503" t="s">
        <v>166</v>
      </c>
    </row>
    <row r="504" spans="1:10" x14ac:dyDescent="0.25">
      <c r="A504" t="s">
        <v>645</v>
      </c>
      <c r="B504" t="s">
        <v>31</v>
      </c>
      <c r="C504">
        <v>18.5</v>
      </c>
      <c r="D504" t="s">
        <v>97</v>
      </c>
      <c r="E504" s="1">
        <v>45914</v>
      </c>
      <c r="F504" s="1">
        <v>45924</v>
      </c>
      <c r="G504" s="1">
        <v>45920</v>
      </c>
      <c r="H504" t="s">
        <v>33</v>
      </c>
      <c r="I504">
        <v>5</v>
      </c>
      <c r="J504" t="s">
        <v>112</v>
      </c>
    </row>
    <row r="505" spans="1:10" x14ac:dyDescent="0.25">
      <c r="A505" t="s">
        <v>646</v>
      </c>
      <c r="B505" t="s">
        <v>31</v>
      </c>
      <c r="C505">
        <v>118.41</v>
      </c>
      <c r="D505" t="s">
        <v>150</v>
      </c>
      <c r="E505" s="1">
        <v>45915</v>
      </c>
      <c r="F505" s="1">
        <v>45925</v>
      </c>
      <c r="H505" t="s">
        <v>63</v>
      </c>
      <c r="I505">
        <v>1</v>
      </c>
      <c r="J505" t="s">
        <v>162</v>
      </c>
    </row>
    <row r="506" spans="1:10" x14ac:dyDescent="0.25">
      <c r="A506" t="s">
        <v>647</v>
      </c>
      <c r="B506" t="s">
        <v>31</v>
      </c>
      <c r="C506">
        <v>121.76</v>
      </c>
      <c r="D506" t="s">
        <v>101</v>
      </c>
      <c r="E506" s="1">
        <v>45914</v>
      </c>
      <c r="F506" s="1">
        <v>45923</v>
      </c>
      <c r="G506" s="1">
        <v>45918</v>
      </c>
      <c r="H506" t="s">
        <v>33</v>
      </c>
      <c r="I506">
        <v>4</v>
      </c>
      <c r="J506" t="s">
        <v>172</v>
      </c>
    </row>
    <row r="507" spans="1:10" x14ac:dyDescent="0.25">
      <c r="A507" t="s">
        <v>648</v>
      </c>
      <c r="B507" t="s">
        <v>31</v>
      </c>
      <c r="C507">
        <v>22.33</v>
      </c>
      <c r="D507" t="s">
        <v>47</v>
      </c>
      <c r="E507" s="1">
        <v>45914</v>
      </c>
      <c r="F507" s="1">
        <v>45923</v>
      </c>
      <c r="G507" s="1">
        <v>45922</v>
      </c>
      <c r="H507" t="s">
        <v>33</v>
      </c>
      <c r="I507">
        <v>4</v>
      </c>
      <c r="J507" t="s">
        <v>77</v>
      </c>
    </row>
    <row r="508" spans="1:10" x14ac:dyDescent="0.25">
      <c r="A508" t="s">
        <v>649</v>
      </c>
      <c r="B508" t="s">
        <v>31</v>
      </c>
      <c r="C508">
        <v>82.97</v>
      </c>
      <c r="D508" t="s">
        <v>133</v>
      </c>
      <c r="E508" s="1">
        <v>45916</v>
      </c>
      <c r="F508" s="1">
        <v>45921</v>
      </c>
      <c r="G508" s="1">
        <v>45920</v>
      </c>
      <c r="H508" t="s">
        <v>33</v>
      </c>
      <c r="I508">
        <v>5</v>
      </c>
      <c r="J508" t="s">
        <v>79</v>
      </c>
    </row>
    <row r="509" spans="1:10" x14ac:dyDescent="0.25">
      <c r="A509" t="s">
        <v>650</v>
      </c>
      <c r="B509" t="s">
        <v>31</v>
      </c>
      <c r="C509">
        <v>76.87</v>
      </c>
      <c r="D509" t="s">
        <v>62</v>
      </c>
      <c r="E509" s="1">
        <v>45916</v>
      </c>
      <c r="F509" s="1">
        <v>45926</v>
      </c>
      <c r="H509" t="s">
        <v>63</v>
      </c>
      <c r="I509">
        <v>3</v>
      </c>
      <c r="J509" t="s">
        <v>55</v>
      </c>
    </row>
    <row r="510" spans="1:10" x14ac:dyDescent="0.25">
      <c r="A510" t="s">
        <v>651</v>
      </c>
      <c r="B510" t="s">
        <v>76</v>
      </c>
      <c r="C510">
        <v>49.2</v>
      </c>
      <c r="D510" t="s">
        <v>47</v>
      </c>
      <c r="E510" s="1">
        <v>45916</v>
      </c>
      <c r="F510" s="1">
        <v>45924</v>
      </c>
      <c r="G510" s="1">
        <v>45919</v>
      </c>
      <c r="H510" t="s">
        <v>33</v>
      </c>
      <c r="I510">
        <v>4</v>
      </c>
      <c r="J510" t="s">
        <v>34</v>
      </c>
    </row>
    <row r="511" spans="1:10" x14ac:dyDescent="0.25">
      <c r="A511" t="s">
        <v>652</v>
      </c>
      <c r="B511" t="s">
        <v>39</v>
      </c>
      <c r="C511">
        <v>57.91</v>
      </c>
      <c r="D511" t="s">
        <v>97</v>
      </c>
      <c r="E511" s="1">
        <v>45917</v>
      </c>
      <c r="F511" s="1">
        <v>45925</v>
      </c>
      <c r="G511" s="1">
        <v>45921</v>
      </c>
      <c r="H511" t="s">
        <v>33</v>
      </c>
      <c r="I511">
        <v>5</v>
      </c>
      <c r="J511" t="s">
        <v>48</v>
      </c>
    </row>
    <row r="512" spans="1:10" x14ac:dyDescent="0.25">
      <c r="A512" t="s">
        <v>653</v>
      </c>
      <c r="B512" t="s">
        <v>61</v>
      </c>
      <c r="C512">
        <v>123.2</v>
      </c>
      <c r="D512" t="s">
        <v>62</v>
      </c>
      <c r="E512" s="1">
        <v>45917</v>
      </c>
      <c r="F512" s="1">
        <v>45923</v>
      </c>
      <c r="G512" s="1">
        <v>45921</v>
      </c>
      <c r="H512" t="s">
        <v>33</v>
      </c>
      <c r="I512">
        <v>5</v>
      </c>
      <c r="J512" t="s">
        <v>41</v>
      </c>
    </row>
    <row r="513" spans="1:10" x14ac:dyDescent="0.25">
      <c r="A513" t="s">
        <v>654</v>
      </c>
      <c r="B513" t="s">
        <v>31</v>
      </c>
      <c r="C513">
        <v>25.91</v>
      </c>
      <c r="D513" t="s">
        <v>97</v>
      </c>
      <c r="E513" s="1">
        <v>45917</v>
      </c>
      <c r="F513" s="1">
        <v>45926</v>
      </c>
      <c r="G513" s="1">
        <v>45926</v>
      </c>
      <c r="H513" t="s">
        <v>33</v>
      </c>
      <c r="I513">
        <v>5</v>
      </c>
      <c r="J513" t="s">
        <v>172</v>
      </c>
    </row>
    <row r="514" spans="1:10" x14ac:dyDescent="0.25">
      <c r="A514" t="s">
        <v>655</v>
      </c>
      <c r="B514" t="s">
        <v>31</v>
      </c>
      <c r="C514">
        <v>27.34</v>
      </c>
      <c r="D514" t="s">
        <v>83</v>
      </c>
      <c r="E514" s="1">
        <v>45917</v>
      </c>
      <c r="F514" s="1">
        <v>45924</v>
      </c>
      <c r="G514" s="1">
        <v>45924</v>
      </c>
      <c r="H514" t="s">
        <v>33</v>
      </c>
      <c r="I514">
        <v>4</v>
      </c>
      <c r="J514" t="s">
        <v>117</v>
      </c>
    </row>
    <row r="515" spans="1:10" x14ac:dyDescent="0.25">
      <c r="A515" t="s">
        <v>656</v>
      </c>
      <c r="B515" t="s">
        <v>76</v>
      </c>
      <c r="C515">
        <v>19.190000000000001</v>
      </c>
      <c r="D515" t="s">
        <v>68</v>
      </c>
      <c r="E515" s="1">
        <v>45916</v>
      </c>
      <c r="F515" s="1">
        <v>45922</v>
      </c>
      <c r="G515" s="1">
        <v>45919</v>
      </c>
      <c r="H515" t="s">
        <v>33</v>
      </c>
      <c r="I515">
        <v>5</v>
      </c>
      <c r="J515" t="s">
        <v>172</v>
      </c>
    </row>
    <row r="516" spans="1:10" x14ac:dyDescent="0.25">
      <c r="A516" t="s">
        <v>657</v>
      </c>
      <c r="B516" t="s">
        <v>76</v>
      </c>
      <c r="C516">
        <v>30.22</v>
      </c>
      <c r="D516" t="s">
        <v>157</v>
      </c>
      <c r="E516" s="1">
        <v>45917</v>
      </c>
      <c r="F516" s="1">
        <v>45922</v>
      </c>
      <c r="G516" s="1">
        <v>45921</v>
      </c>
      <c r="H516" t="s">
        <v>33</v>
      </c>
      <c r="I516">
        <v>4</v>
      </c>
      <c r="J516" t="s">
        <v>84</v>
      </c>
    </row>
    <row r="517" spans="1:10" x14ac:dyDescent="0.25">
      <c r="A517" t="s">
        <v>658</v>
      </c>
      <c r="B517" t="s">
        <v>31</v>
      </c>
      <c r="C517">
        <v>44.26</v>
      </c>
      <c r="D517" t="s">
        <v>32</v>
      </c>
      <c r="E517" s="1">
        <v>45918</v>
      </c>
      <c r="F517" s="1">
        <v>45923</v>
      </c>
      <c r="G517" s="1">
        <v>45921</v>
      </c>
      <c r="H517" t="s">
        <v>33</v>
      </c>
      <c r="I517">
        <v>5</v>
      </c>
      <c r="J517" t="s">
        <v>77</v>
      </c>
    </row>
    <row r="518" spans="1:10" x14ac:dyDescent="0.25">
      <c r="A518" t="s">
        <v>659</v>
      </c>
      <c r="B518" t="s">
        <v>76</v>
      </c>
      <c r="C518">
        <v>15.9</v>
      </c>
      <c r="D518" t="s">
        <v>53</v>
      </c>
      <c r="E518" s="1">
        <v>45917</v>
      </c>
      <c r="F518" s="1">
        <v>45926</v>
      </c>
      <c r="G518" s="1">
        <v>45921</v>
      </c>
      <c r="H518" t="s">
        <v>33</v>
      </c>
      <c r="I518">
        <v>5</v>
      </c>
      <c r="J518" t="s">
        <v>69</v>
      </c>
    </row>
    <row r="519" spans="1:10" x14ac:dyDescent="0.25">
      <c r="A519" t="s">
        <v>660</v>
      </c>
      <c r="B519" t="s">
        <v>61</v>
      </c>
      <c r="C519">
        <v>121.41</v>
      </c>
      <c r="D519" t="s">
        <v>83</v>
      </c>
      <c r="E519" s="1">
        <v>45917</v>
      </c>
      <c r="F519" s="1">
        <v>45927</v>
      </c>
      <c r="G519" s="1">
        <v>45923</v>
      </c>
      <c r="H519" t="s">
        <v>33</v>
      </c>
      <c r="I519">
        <v>5</v>
      </c>
      <c r="J519" t="s">
        <v>211</v>
      </c>
    </row>
    <row r="520" spans="1:10" x14ac:dyDescent="0.25">
      <c r="A520" t="s">
        <v>661</v>
      </c>
      <c r="B520" t="s">
        <v>76</v>
      </c>
      <c r="C520">
        <v>146.80000000000001</v>
      </c>
      <c r="D520" t="s">
        <v>97</v>
      </c>
      <c r="E520" s="1">
        <v>45917</v>
      </c>
      <c r="F520" s="1">
        <v>45927</v>
      </c>
      <c r="H520" t="s">
        <v>54</v>
      </c>
      <c r="I520">
        <v>3</v>
      </c>
      <c r="J520" t="s">
        <v>352</v>
      </c>
    </row>
    <row r="521" spans="1:10" x14ac:dyDescent="0.25">
      <c r="A521" t="s">
        <v>662</v>
      </c>
      <c r="B521" t="s">
        <v>39</v>
      </c>
      <c r="C521">
        <v>26.31</v>
      </c>
      <c r="D521" t="s">
        <v>47</v>
      </c>
      <c r="E521" s="1">
        <v>45917</v>
      </c>
      <c r="F521" s="1">
        <v>45924</v>
      </c>
      <c r="G521" s="1">
        <v>45921</v>
      </c>
      <c r="H521" t="s">
        <v>33</v>
      </c>
      <c r="I521">
        <v>5</v>
      </c>
      <c r="J521" t="s">
        <v>117</v>
      </c>
    </row>
    <row r="522" spans="1:10" x14ac:dyDescent="0.25">
      <c r="A522" t="s">
        <v>663</v>
      </c>
      <c r="B522" t="s">
        <v>39</v>
      </c>
      <c r="C522">
        <v>91.58</v>
      </c>
      <c r="D522" t="s">
        <v>68</v>
      </c>
      <c r="E522" s="1">
        <v>45918</v>
      </c>
      <c r="F522" s="1">
        <v>45924</v>
      </c>
      <c r="G522" s="1">
        <v>45924</v>
      </c>
      <c r="H522" t="s">
        <v>33</v>
      </c>
      <c r="I522">
        <v>4</v>
      </c>
      <c r="J522" t="s">
        <v>166</v>
      </c>
    </row>
    <row r="523" spans="1:10" x14ac:dyDescent="0.25">
      <c r="A523" t="s">
        <v>664</v>
      </c>
      <c r="B523" t="s">
        <v>76</v>
      </c>
      <c r="C523">
        <v>76.319999999999993</v>
      </c>
      <c r="D523" t="s">
        <v>62</v>
      </c>
      <c r="E523" s="1">
        <v>45917</v>
      </c>
      <c r="F523" s="1">
        <v>45926</v>
      </c>
      <c r="G523" s="1">
        <v>45926</v>
      </c>
      <c r="H523" t="s">
        <v>33</v>
      </c>
      <c r="I523">
        <v>5</v>
      </c>
      <c r="J523" t="s">
        <v>34</v>
      </c>
    </row>
    <row r="524" spans="1:10" x14ac:dyDescent="0.25">
      <c r="A524" t="s">
        <v>665</v>
      </c>
      <c r="B524" t="s">
        <v>76</v>
      </c>
      <c r="C524">
        <v>29.87</v>
      </c>
      <c r="D524" t="s">
        <v>47</v>
      </c>
      <c r="E524" s="1">
        <v>45918</v>
      </c>
      <c r="F524" s="1">
        <v>45925</v>
      </c>
      <c r="H524" t="s">
        <v>161</v>
      </c>
      <c r="I524">
        <v>3</v>
      </c>
      <c r="J524" t="s">
        <v>121</v>
      </c>
    </row>
    <row r="525" spans="1:10" x14ac:dyDescent="0.25">
      <c r="A525" t="s">
        <v>666</v>
      </c>
      <c r="B525" t="s">
        <v>61</v>
      </c>
      <c r="C525">
        <v>54.78</v>
      </c>
      <c r="D525" t="s">
        <v>47</v>
      </c>
      <c r="E525" s="1">
        <v>45917</v>
      </c>
      <c r="F525" s="1">
        <v>45926</v>
      </c>
      <c r="G525" s="1">
        <v>45929</v>
      </c>
      <c r="H525" t="s">
        <v>33</v>
      </c>
      <c r="I525">
        <v>2</v>
      </c>
      <c r="J525" t="s">
        <v>248</v>
      </c>
    </row>
    <row r="526" spans="1:10" x14ac:dyDescent="0.25">
      <c r="A526" t="s">
        <v>667</v>
      </c>
      <c r="B526" t="s">
        <v>31</v>
      </c>
      <c r="C526">
        <v>48.3</v>
      </c>
      <c r="D526" t="s">
        <v>97</v>
      </c>
      <c r="E526" s="1">
        <v>45918</v>
      </c>
      <c r="F526" s="1">
        <v>45926</v>
      </c>
      <c r="G526" s="1">
        <v>45924</v>
      </c>
      <c r="H526" t="s">
        <v>33</v>
      </c>
      <c r="I526">
        <v>4</v>
      </c>
      <c r="J526" t="s">
        <v>112</v>
      </c>
    </row>
    <row r="527" spans="1:10" x14ac:dyDescent="0.25">
      <c r="A527" t="s">
        <v>668</v>
      </c>
      <c r="B527" t="s">
        <v>61</v>
      </c>
      <c r="C527">
        <v>54.31</v>
      </c>
      <c r="D527" t="s">
        <v>101</v>
      </c>
      <c r="E527" s="1">
        <v>45918</v>
      </c>
      <c r="F527" s="1">
        <v>45928</v>
      </c>
      <c r="H527" t="s">
        <v>161</v>
      </c>
      <c r="I527">
        <v>3</v>
      </c>
      <c r="J527" t="s">
        <v>405</v>
      </c>
    </row>
    <row r="528" spans="1:10" x14ac:dyDescent="0.25">
      <c r="A528" t="s">
        <v>669</v>
      </c>
      <c r="B528" t="s">
        <v>31</v>
      </c>
      <c r="C528">
        <v>17.43</v>
      </c>
      <c r="D528" t="s">
        <v>99</v>
      </c>
      <c r="E528" s="1">
        <v>45918</v>
      </c>
      <c r="F528" s="1">
        <v>45924</v>
      </c>
      <c r="G528" s="1">
        <v>45921</v>
      </c>
      <c r="H528" t="s">
        <v>33</v>
      </c>
      <c r="I528">
        <v>5</v>
      </c>
      <c r="J528" t="s">
        <v>79</v>
      </c>
    </row>
    <row r="529" spans="1:10" x14ac:dyDescent="0.25">
      <c r="A529" t="s">
        <v>670</v>
      </c>
      <c r="B529" t="s">
        <v>39</v>
      </c>
      <c r="C529">
        <v>138.94</v>
      </c>
      <c r="D529" t="s">
        <v>157</v>
      </c>
      <c r="E529" s="1">
        <v>45919</v>
      </c>
      <c r="F529" s="1">
        <v>45926</v>
      </c>
      <c r="H529" t="s">
        <v>54</v>
      </c>
      <c r="I529">
        <v>2</v>
      </c>
      <c r="J529" t="s">
        <v>102</v>
      </c>
    </row>
    <row r="530" spans="1:10" x14ac:dyDescent="0.25">
      <c r="A530" t="s">
        <v>671</v>
      </c>
      <c r="B530" t="s">
        <v>76</v>
      </c>
      <c r="C530">
        <v>149.43</v>
      </c>
      <c r="D530" t="s">
        <v>47</v>
      </c>
      <c r="E530" s="1">
        <v>45920</v>
      </c>
      <c r="F530" s="1">
        <v>45930</v>
      </c>
      <c r="G530" s="1">
        <v>45930</v>
      </c>
      <c r="H530" t="s">
        <v>33</v>
      </c>
      <c r="I530">
        <v>4</v>
      </c>
      <c r="J530" t="s">
        <v>79</v>
      </c>
    </row>
    <row r="531" spans="1:10" x14ac:dyDescent="0.25">
      <c r="A531" t="s">
        <v>672</v>
      </c>
      <c r="B531" t="s">
        <v>76</v>
      </c>
      <c r="C531">
        <v>134.41</v>
      </c>
      <c r="D531" t="s">
        <v>40</v>
      </c>
      <c r="E531" s="1">
        <v>45921</v>
      </c>
      <c r="F531" s="1">
        <v>45927</v>
      </c>
      <c r="G531" s="1">
        <v>45925</v>
      </c>
      <c r="H531" t="s">
        <v>33</v>
      </c>
      <c r="I531">
        <v>4</v>
      </c>
      <c r="J531" t="s">
        <v>112</v>
      </c>
    </row>
    <row r="532" spans="1:10" x14ac:dyDescent="0.25">
      <c r="A532" t="s">
        <v>673</v>
      </c>
      <c r="B532" t="s">
        <v>76</v>
      </c>
      <c r="C532">
        <v>65.510000000000005</v>
      </c>
      <c r="D532" t="s">
        <v>40</v>
      </c>
      <c r="E532" s="1">
        <v>45923</v>
      </c>
      <c r="F532" s="1">
        <v>45928</v>
      </c>
      <c r="G532" s="1">
        <v>45933</v>
      </c>
      <c r="H532" t="s">
        <v>33</v>
      </c>
      <c r="I532">
        <v>3</v>
      </c>
      <c r="J532" t="s">
        <v>238</v>
      </c>
    </row>
    <row r="533" spans="1:10" x14ac:dyDescent="0.25">
      <c r="A533" t="s">
        <v>674</v>
      </c>
      <c r="B533" t="s">
        <v>31</v>
      </c>
      <c r="C533">
        <v>63.26</v>
      </c>
      <c r="D533" t="s">
        <v>97</v>
      </c>
      <c r="E533" s="1">
        <v>45922</v>
      </c>
      <c r="F533" s="1">
        <v>45927</v>
      </c>
      <c r="G533" s="1">
        <v>45927</v>
      </c>
      <c r="H533" t="s">
        <v>33</v>
      </c>
      <c r="I533">
        <v>4</v>
      </c>
      <c r="J533" t="s">
        <v>172</v>
      </c>
    </row>
    <row r="534" spans="1:10" x14ac:dyDescent="0.25">
      <c r="A534" t="s">
        <v>675</v>
      </c>
      <c r="B534" t="s">
        <v>39</v>
      </c>
      <c r="C534">
        <v>29.88</v>
      </c>
      <c r="D534" t="s">
        <v>264</v>
      </c>
      <c r="E534" s="1">
        <v>45922</v>
      </c>
      <c r="F534" s="1">
        <v>45927</v>
      </c>
      <c r="G534" s="1">
        <v>45926</v>
      </c>
      <c r="H534" t="s">
        <v>33</v>
      </c>
      <c r="I534">
        <v>4</v>
      </c>
      <c r="J534" t="s">
        <v>41</v>
      </c>
    </row>
    <row r="535" spans="1:10" x14ac:dyDescent="0.25">
      <c r="A535" t="s">
        <v>676</v>
      </c>
      <c r="B535" t="s">
        <v>31</v>
      </c>
      <c r="C535">
        <v>51.27</v>
      </c>
      <c r="D535" t="s">
        <v>47</v>
      </c>
      <c r="E535" s="1">
        <v>45923</v>
      </c>
      <c r="F535" s="1">
        <v>45930</v>
      </c>
      <c r="H535" t="s">
        <v>54</v>
      </c>
      <c r="I535">
        <v>2</v>
      </c>
      <c r="J535" t="s">
        <v>461</v>
      </c>
    </row>
    <row r="536" spans="1:10" x14ac:dyDescent="0.25">
      <c r="A536" t="s">
        <v>677</v>
      </c>
      <c r="B536" t="s">
        <v>76</v>
      </c>
      <c r="C536">
        <v>46.07</v>
      </c>
      <c r="D536" t="s">
        <v>62</v>
      </c>
      <c r="E536" s="1">
        <v>45923</v>
      </c>
      <c r="F536" s="1">
        <v>45928</v>
      </c>
      <c r="G536" s="1">
        <v>45925</v>
      </c>
      <c r="H536" t="s">
        <v>33</v>
      </c>
      <c r="I536">
        <v>4</v>
      </c>
      <c r="J536" t="s">
        <v>34</v>
      </c>
    </row>
    <row r="537" spans="1:10" x14ac:dyDescent="0.25">
      <c r="A537" t="s">
        <v>678</v>
      </c>
      <c r="B537" t="s">
        <v>76</v>
      </c>
      <c r="C537">
        <v>136.62</v>
      </c>
      <c r="D537" t="s">
        <v>264</v>
      </c>
      <c r="E537" s="1">
        <v>45925</v>
      </c>
      <c r="F537" s="1">
        <v>45935</v>
      </c>
      <c r="G537" s="1">
        <v>45935</v>
      </c>
      <c r="H537" t="s">
        <v>33</v>
      </c>
      <c r="I537">
        <v>4</v>
      </c>
      <c r="J537" t="s">
        <v>41</v>
      </c>
    </row>
    <row r="538" spans="1:10" x14ac:dyDescent="0.25">
      <c r="A538" t="s">
        <v>679</v>
      </c>
      <c r="B538" t="s">
        <v>31</v>
      </c>
      <c r="C538">
        <v>18.809999999999999</v>
      </c>
      <c r="D538" t="s">
        <v>62</v>
      </c>
      <c r="E538" s="1">
        <v>45925</v>
      </c>
      <c r="F538" s="1">
        <v>45934</v>
      </c>
      <c r="G538" s="1">
        <v>45930</v>
      </c>
      <c r="H538" t="s">
        <v>33</v>
      </c>
      <c r="I538">
        <v>4</v>
      </c>
      <c r="J538" t="s">
        <v>84</v>
      </c>
    </row>
    <row r="539" spans="1:10" x14ac:dyDescent="0.25">
      <c r="A539" t="s">
        <v>680</v>
      </c>
      <c r="B539" t="s">
        <v>76</v>
      </c>
      <c r="C539">
        <v>20.14</v>
      </c>
      <c r="D539" t="s">
        <v>62</v>
      </c>
      <c r="E539" s="1">
        <v>45926</v>
      </c>
      <c r="F539" s="1">
        <v>45931</v>
      </c>
      <c r="G539" s="1">
        <v>45934</v>
      </c>
      <c r="H539" t="s">
        <v>33</v>
      </c>
      <c r="I539">
        <v>2</v>
      </c>
      <c r="J539" t="s">
        <v>185</v>
      </c>
    </row>
    <row r="540" spans="1:10" x14ac:dyDescent="0.25">
      <c r="A540" t="s">
        <v>681</v>
      </c>
      <c r="B540" t="s">
        <v>39</v>
      </c>
      <c r="C540">
        <v>77.98</v>
      </c>
      <c r="D540" t="s">
        <v>47</v>
      </c>
      <c r="E540" s="1">
        <v>45927</v>
      </c>
      <c r="F540" s="1">
        <v>45937</v>
      </c>
      <c r="G540" s="1">
        <v>45935</v>
      </c>
      <c r="H540" t="s">
        <v>33</v>
      </c>
      <c r="I540">
        <v>5</v>
      </c>
      <c r="J540" t="s">
        <v>48</v>
      </c>
    </row>
    <row r="541" spans="1:10" x14ac:dyDescent="0.25">
      <c r="A541" t="s">
        <v>682</v>
      </c>
      <c r="B541" t="s">
        <v>76</v>
      </c>
      <c r="C541">
        <v>19.84</v>
      </c>
      <c r="D541" t="s">
        <v>99</v>
      </c>
      <c r="E541" s="1">
        <v>45926</v>
      </c>
      <c r="F541" s="1">
        <v>45934</v>
      </c>
      <c r="G541" s="1">
        <v>45932</v>
      </c>
      <c r="H541" t="s">
        <v>33</v>
      </c>
      <c r="I541">
        <v>5</v>
      </c>
      <c r="J541" t="s">
        <v>119</v>
      </c>
    </row>
    <row r="542" spans="1:10" x14ac:dyDescent="0.25">
      <c r="A542" t="s">
        <v>683</v>
      </c>
      <c r="B542" t="s">
        <v>61</v>
      </c>
      <c r="C542">
        <v>17.87</v>
      </c>
      <c r="D542" t="s">
        <v>133</v>
      </c>
      <c r="E542" s="1">
        <v>45927</v>
      </c>
      <c r="F542" s="1">
        <v>45932</v>
      </c>
      <c r="G542" s="1">
        <v>45937</v>
      </c>
      <c r="H542" t="s">
        <v>33</v>
      </c>
      <c r="I542">
        <v>2</v>
      </c>
      <c r="J542" t="s">
        <v>461</v>
      </c>
    </row>
    <row r="543" spans="1:10" x14ac:dyDescent="0.25">
      <c r="A543" t="s">
        <v>684</v>
      </c>
      <c r="B543" t="s">
        <v>61</v>
      </c>
      <c r="C543">
        <v>75.17</v>
      </c>
      <c r="D543" t="s">
        <v>99</v>
      </c>
      <c r="E543" s="1">
        <v>45928</v>
      </c>
      <c r="F543" s="1">
        <v>45934</v>
      </c>
      <c r="G543" s="1">
        <v>45933</v>
      </c>
      <c r="H543" t="s">
        <v>33</v>
      </c>
      <c r="I543">
        <v>5</v>
      </c>
      <c r="J543" t="s">
        <v>172</v>
      </c>
    </row>
    <row r="544" spans="1:10" x14ac:dyDescent="0.25">
      <c r="A544" t="s">
        <v>685</v>
      </c>
      <c r="B544" t="s">
        <v>61</v>
      </c>
      <c r="C544">
        <v>16.46</v>
      </c>
      <c r="D544" t="s">
        <v>40</v>
      </c>
      <c r="E544" s="1">
        <v>45929</v>
      </c>
      <c r="F544" s="1">
        <v>45935</v>
      </c>
      <c r="G544" s="1">
        <v>45934</v>
      </c>
      <c r="H544" t="s">
        <v>33</v>
      </c>
      <c r="I544">
        <v>4</v>
      </c>
      <c r="J544" t="s">
        <v>127</v>
      </c>
    </row>
    <row r="545" spans="1:10" x14ac:dyDescent="0.25">
      <c r="A545" t="s">
        <v>686</v>
      </c>
      <c r="B545" t="s">
        <v>61</v>
      </c>
      <c r="C545">
        <v>23.75</v>
      </c>
      <c r="D545" t="s">
        <v>62</v>
      </c>
      <c r="E545" s="1">
        <v>45928</v>
      </c>
      <c r="F545" s="1">
        <v>45937</v>
      </c>
      <c r="G545" s="1">
        <v>45931</v>
      </c>
      <c r="H545" t="s">
        <v>33</v>
      </c>
      <c r="I545">
        <v>4</v>
      </c>
      <c r="J545" t="s">
        <v>134</v>
      </c>
    </row>
    <row r="546" spans="1:10" x14ac:dyDescent="0.25">
      <c r="A546" t="s">
        <v>687</v>
      </c>
      <c r="B546" t="s">
        <v>39</v>
      </c>
      <c r="C546">
        <v>49.03</v>
      </c>
      <c r="D546" t="s">
        <v>101</v>
      </c>
      <c r="E546" s="1">
        <v>45930</v>
      </c>
      <c r="F546" s="1">
        <v>45940</v>
      </c>
      <c r="H546" t="s">
        <v>63</v>
      </c>
      <c r="I546">
        <v>1</v>
      </c>
      <c r="J546" t="s">
        <v>180</v>
      </c>
    </row>
    <row r="547" spans="1:10" x14ac:dyDescent="0.25">
      <c r="A547" t="s">
        <v>688</v>
      </c>
      <c r="B547" t="s">
        <v>76</v>
      </c>
      <c r="C547">
        <v>58.09</v>
      </c>
      <c r="D547" t="s">
        <v>99</v>
      </c>
      <c r="E547" s="1">
        <v>45930</v>
      </c>
      <c r="F547" s="1">
        <v>45938</v>
      </c>
      <c r="G547" s="1">
        <v>45943</v>
      </c>
      <c r="H547" t="s">
        <v>33</v>
      </c>
      <c r="I547">
        <v>2</v>
      </c>
      <c r="J547" t="s">
        <v>64</v>
      </c>
    </row>
    <row r="548" spans="1:10" x14ac:dyDescent="0.25">
      <c r="A548" t="s">
        <v>689</v>
      </c>
      <c r="B548" t="s">
        <v>76</v>
      </c>
      <c r="C548">
        <v>28.42</v>
      </c>
      <c r="D548" t="s">
        <v>47</v>
      </c>
      <c r="E548" s="1">
        <v>45931</v>
      </c>
      <c r="F548" s="1">
        <v>45940</v>
      </c>
      <c r="H548" t="s">
        <v>161</v>
      </c>
      <c r="I548">
        <v>1</v>
      </c>
      <c r="J548" t="s">
        <v>170</v>
      </c>
    </row>
    <row r="549" spans="1:10" x14ac:dyDescent="0.25">
      <c r="A549" t="s">
        <v>690</v>
      </c>
      <c r="B549" t="s">
        <v>31</v>
      </c>
      <c r="C549">
        <v>34.479999999999997</v>
      </c>
      <c r="D549" t="s">
        <v>47</v>
      </c>
      <c r="E549" s="1">
        <v>45931</v>
      </c>
      <c r="F549" s="1">
        <v>45936</v>
      </c>
      <c r="G549" s="1">
        <v>45938</v>
      </c>
      <c r="H549" t="s">
        <v>33</v>
      </c>
      <c r="I549">
        <v>3</v>
      </c>
      <c r="J549" t="s">
        <v>405</v>
      </c>
    </row>
    <row r="550" spans="1:10" x14ac:dyDescent="0.25">
      <c r="A550" t="s">
        <v>691</v>
      </c>
      <c r="B550" t="s">
        <v>31</v>
      </c>
      <c r="C550">
        <v>142.81</v>
      </c>
      <c r="D550" t="s">
        <v>47</v>
      </c>
      <c r="E550" s="1">
        <v>45931</v>
      </c>
      <c r="F550" s="1">
        <v>45939</v>
      </c>
      <c r="G550" s="1">
        <v>45933</v>
      </c>
      <c r="H550" t="s">
        <v>33</v>
      </c>
      <c r="I550">
        <v>4</v>
      </c>
      <c r="J550" t="s">
        <v>77</v>
      </c>
    </row>
    <row r="551" spans="1:10" x14ac:dyDescent="0.25">
      <c r="A551" t="s">
        <v>692</v>
      </c>
      <c r="B551" t="s">
        <v>31</v>
      </c>
      <c r="C551">
        <v>122.43</v>
      </c>
      <c r="D551" t="s">
        <v>99</v>
      </c>
      <c r="E551" s="1">
        <v>45932</v>
      </c>
      <c r="F551" s="1">
        <v>45940</v>
      </c>
      <c r="H551" t="s">
        <v>54</v>
      </c>
      <c r="I551">
        <v>2</v>
      </c>
      <c r="J551" t="s">
        <v>258</v>
      </c>
    </row>
    <row r="552" spans="1:10" x14ac:dyDescent="0.25">
      <c r="A552" t="s">
        <v>693</v>
      </c>
      <c r="B552" t="s">
        <v>61</v>
      </c>
      <c r="C552">
        <v>132.52000000000001</v>
      </c>
      <c r="D552" t="s">
        <v>47</v>
      </c>
      <c r="E552" s="1">
        <v>45933</v>
      </c>
      <c r="F552" s="1">
        <v>45939</v>
      </c>
      <c r="H552" t="s">
        <v>161</v>
      </c>
      <c r="I552">
        <v>2</v>
      </c>
      <c r="J552" t="s">
        <v>129</v>
      </c>
    </row>
    <row r="553" spans="1:10" x14ac:dyDescent="0.25">
      <c r="A553" t="s">
        <v>694</v>
      </c>
      <c r="B553" t="s">
        <v>61</v>
      </c>
      <c r="C553">
        <v>21.28</v>
      </c>
      <c r="D553" t="s">
        <v>40</v>
      </c>
      <c r="E553" s="1">
        <v>45932</v>
      </c>
      <c r="F553" s="1">
        <v>45941</v>
      </c>
      <c r="G553" s="1">
        <v>45936</v>
      </c>
      <c r="H553" t="s">
        <v>33</v>
      </c>
      <c r="I553">
        <v>5</v>
      </c>
      <c r="J553" t="s">
        <v>48</v>
      </c>
    </row>
    <row r="554" spans="1:10" x14ac:dyDescent="0.25">
      <c r="A554" t="s">
        <v>695</v>
      </c>
      <c r="B554" t="s">
        <v>76</v>
      </c>
      <c r="C554">
        <v>78.09</v>
      </c>
      <c r="D554" t="s">
        <v>157</v>
      </c>
      <c r="E554" s="1">
        <v>45932</v>
      </c>
      <c r="F554" s="1">
        <v>45940</v>
      </c>
      <c r="G554" s="1">
        <v>45934</v>
      </c>
      <c r="H554" t="s">
        <v>33</v>
      </c>
      <c r="I554">
        <v>5</v>
      </c>
      <c r="J554" t="s">
        <v>112</v>
      </c>
    </row>
    <row r="555" spans="1:10" x14ac:dyDescent="0.25">
      <c r="A555" t="s">
        <v>696</v>
      </c>
      <c r="B555" t="s">
        <v>31</v>
      </c>
      <c r="C555">
        <v>113.47</v>
      </c>
      <c r="D555" t="s">
        <v>157</v>
      </c>
      <c r="E555" s="1">
        <v>45933</v>
      </c>
      <c r="F555" s="1">
        <v>45942</v>
      </c>
      <c r="G555" s="1">
        <v>45942</v>
      </c>
      <c r="H555" t="s">
        <v>33</v>
      </c>
      <c r="I555">
        <v>5</v>
      </c>
      <c r="J555" t="s">
        <v>127</v>
      </c>
    </row>
    <row r="556" spans="1:10" x14ac:dyDescent="0.25">
      <c r="A556" t="s">
        <v>697</v>
      </c>
      <c r="B556" t="s">
        <v>61</v>
      </c>
      <c r="C556">
        <v>59.05</v>
      </c>
      <c r="D556" t="s">
        <v>32</v>
      </c>
      <c r="E556" s="1">
        <v>45932</v>
      </c>
      <c r="F556" s="1">
        <v>45942</v>
      </c>
      <c r="G556" s="1">
        <v>45939</v>
      </c>
      <c r="H556" t="s">
        <v>33</v>
      </c>
      <c r="I556">
        <v>4</v>
      </c>
      <c r="J556" t="s">
        <v>69</v>
      </c>
    </row>
    <row r="557" spans="1:10" x14ac:dyDescent="0.25">
      <c r="A557" t="s">
        <v>698</v>
      </c>
      <c r="B557" t="s">
        <v>39</v>
      </c>
      <c r="C557">
        <v>35.83</v>
      </c>
      <c r="D557" t="s">
        <v>157</v>
      </c>
      <c r="E557" s="1">
        <v>45934</v>
      </c>
      <c r="F557" s="1">
        <v>45943</v>
      </c>
      <c r="G557" s="1">
        <v>45937</v>
      </c>
      <c r="H557" t="s">
        <v>33</v>
      </c>
      <c r="I557">
        <v>4</v>
      </c>
      <c r="J557" t="s">
        <v>166</v>
      </c>
    </row>
    <row r="558" spans="1:10" x14ac:dyDescent="0.25">
      <c r="A558" t="s">
        <v>699</v>
      </c>
      <c r="B558" t="s">
        <v>31</v>
      </c>
      <c r="C558">
        <v>28.54</v>
      </c>
      <c r="D558" t="s">
        <v>40</v>
      </c>
      <c r="E558" s="1">
        <v>45935</v>
      </c>
      <c r="F558" s="1">
        <v>45945</v>
      </c>
      <c r="G558" s="1">
        <v>45943</v>
      </c>
      <c r="H558" t="s">
        <v>33</v>
      </c>
      <c r="I558">
        <v>4</v>
      </c>
      <c r="J558" t="s">
        <v>69</v>
      </c>
    </row>
    <row r="559" spans="1:10" x14ac:dyDescent="0.25">
      <c r="A559" t="s">
        <v>700</v>
      </c>
      <c r="B559" t="s">
        <v>76</v>
      </c>
      <c r="C559">
        <v>115.87</v>
      </c>
      <c r="D559" t="s">
        <v>62</v>
      </c>
      <c r="E559" s="1">
        <v>45934</v>
      </c>
      <c r="F559" s="1">
        <v>45940</v>
      </c>
      <c r="G559" s="1">
        <v>45937</v>
      </c>
      <c r="H559" t="s">
        <v>33</v>
      </c>
      <c r="I559">
        <v>5</v>
      </c>
      <c r="J559" t="s">
        <v>166</v>
      </c>
    </row>
    <row r="560" spans="1:10" x14ac:dyDescent="0.25">
      <c r="A560" t="s">
        <v>701</v>
      </c>
      <c r="B560" t="s">
        <v>31</v>
      </c>
      <c r="C560">
        <v>17.23</v>
      </c>
      <c r="D560" t="s">
        <v>47</v>
      </c>
      <c r="E560" s="1">
        <v>45935</v>
      </c>
      <c r="F560" s="1">
        <v>45941</v>
      </c>
      <c r="G560" s="1">
        <v>45939</v>
      </c>
      <c r="H560" t="s">
        <v>33</v>
      </c>
      <c r="I560">
        <v>5</v>
      </c>
      <c r="J560" t="s">
        <v>119</v>
      </c>
    </row>
    <row r="561" spans="1:10" x14ac:dyDescent="0.25">
      <c r="A561" t="s">
        <v>702</v>
      </c>
      <c r="B561" t="s">
        <v>76</v>
      </c>
      <c r="C561">
        <v>28.15</v>
      </c>
      <c r="D561" t="s">
        <v>62</v>
      </c>
      <c r="E561" s="1">
        <v>45935</v>
      </c>
      <c r="F561" s="1">
        <v>45941</v>
      </c>
      <c r="G561" s="1">
        <v>45940</v>
      </c>
      <c r="H561" t="s">
        <v>33</v>
      </c>
      <c r="I561">
        <v>5</v>
      </c>
      <c r="J561" t="s">
        <v>117</v>
      </c>
    </row>
    <row r="562" spans="1:10" x14ac:dyDescent="0.25">
      <c r="A562" t="s">
        <v>703</v>
      </c>
      <c r="B562" t="s">
        <v>39</v>
      </c>
      <c r="C562">
        <v>15.3</v>
      </c>
      <c r="D562" t="s">
        <v>99</v>
      </c>
      <c r="E562" s="1">
        <v>45937</v>
      </c>
      <c r="F562" s="1">
        <v>45943</v>
      </c>
      <c r="G562" s="1">
        <v>45940</v>
      </c>
      <c r="H562" t="s">
        <v>33</v>
      </c>
      <c r="I562">
        <v>5</v>
      </c>
      <c r="J562" t="s">
        <v>117</v>
      </c>
    </row>
    <row r="563" spans="1:10" x14ac:dyDescent="0.25">
      <c r="A563" t="s">
        <v>704</v>
      </c>
      <c r="B563" t="s">
        <v>31</v>
      </c>
      <c r="C563">
        <v>16.98</v>
      </c>
      <c r="D563" t="s">
        <v>157</v>
      </c>
      <c r="E563" s="1">
        <v>45937</v>
      </c>
      <c r="F563" s="1">
        <v>45944</v>
      </c>
      <c r="G563" s="1">
        <v>45947</v>
      </c>
      <c r="H563" t="s">
        <v>33</v>
      </c>
      <c r="I563">
        <v>2</v>
      </c>
      <c r="J563" t="s">
        <v>185</v>
      </c>
    </row>
    <row r="564" spans="1:10" x14ac:dyDescent="0.25">
      <c r="A564" t="s">
        <v>705</v>
      </c>
      <c r="B564" t="s">
        <v>61</v>
      </c>
      <c r="C564">
        <v>19.47</v>
      </c>
      <c r="D564" t="s">
        <v>40</v>
      </c>
      <c r="E564" s="1">
        <v>45937</v>
      </c>
      <c r="F564" s="1">
        <v>45947</v>
      </c>
      <c r="G564" s="1">
        <v>45943</v>
      </c>
      <c r="H564" t="s">
        <v>33</v>
      </c>
      <c r="I564">
        <v>5</v>
      </c>
      <c r="J564" t="s">
        <v>34</v>
      </c>
    </row>
    <row r="565" spans="1:10" x14ac:dyDescent="0.25">
      <c r="A565" t="s">
        <v>706</v>
      </c>
      <c r="B565" t="s">
        <v>76</v>
      </c>
      <c r="C565">
        <v>21.52</v>
      </c>
      <c r="D565" t="s">
        <v>47</v>
      </c>
      <c r="E565" s="1">
        <v>45938</v>
      </c>
      <c r="F565" s="1">
        <v>45945</v>
      </c>
      <c r="G565" s="1">
        <v>45943</v>
      </c>
      <c r="H565" t="s">
        <v>33</v>
      </c>
      <c r="I565">
        <v>4</v>
      </c>
      <c r="J565" t="s">
        <v>166</v>
      </c>
    </row>
    <row r="566" spans="1:10" x14ac:dyDescent="0.25">
      <c r="A566" t="s">
        <v>707</v>
      </c>
      <c r="B566" t="s">
        <v>31</v>
      </c>
      <c r="C566">
        <v>28.54</v>
      </c>
      <c r="D566" t="s">
        <v>40</v>
      </c>
      <c r="E566" s="1">
        <v>45937</v>
      </c>
      <c r="F566" s="1">
        <v>45945</v>
      </c>
      <c r="G566" s="1">
        <v>45943</v>
      </c>
      <c r="H566" t="s">
        <v>33</v>
      </c>
      <c r="I566">
        <v>5</v>
      </c>
      <c r="J566" t="s">
        <v>79</v>
      </c>
    </row>
    <row r="567" spans="1:10" x14ac:dyDescent="0.25">
      <c r="A567" t="s">
        <v>708</v>
      </c>
      <c r="B567" t="s">
        <v>76</v>
      </c>
      <c r="C567">
        <v>27.88</v>
      </c>
      <c r="D567" t="s">
        <v>68</v>
      </c>
      <c r="E567" s="1">
        <v>45938</v>
      </c>
      <c r="F567" s="1">
        <v>45947</v>
      </c>
      <c r="H567" t="s">
        <v>161</v>
      </c>
      <c r="I567">
        <v>2</v>
      </c>
      <c r="J567" t="s">
        <v>461</v>
      </c>
    </row>
    <row r="568" spans="1:10" x14ac:dyDescent="0.25">
      <c r="A568" t="s">
        <v>709</v>
      </c>
      <c r="B568" t="s">
        <v>61</v>
      </c>
      <c r="C568">
        <v>35.35</v>
      </c>
      <c r="D568" t="s">
        <v>47</v>
      </c>
      <c r="E568" s="1">
        <v>45938</v>
      </c>
      <c r="F568" s="1">
        <v>45944</v>
      </c>
      <c r="G568" s="1">
        <v>45941</v>
      </c>
      <c r="H568" t="s">
        <v>33</v>
      </c>
      <c r="I568">
        <v>4</v>
      </c>
      <c r="J568" t="s">
        <v>112</v>
      </c>
    </row>
    <row r="569" spans="1:10" x14ac:dyDescent="0.25">
      <c r="A569" t="s">
        <v>710</v>
      </c>
      <c r="B569" t="s">
        <v>39</v>
      </c>
      <c r="C569">
        <v>140.55000000000001</v>
      </c>
      <c r="D569" t="s">
        <v>99</v>
      </c>
      <c r="E569" s="1">
        <v>45938</v>
      </c>
      <c r="F569" s="1">
        <v>45948</v>
      </c>
      <c r="G569" s="1">
        <v>45945</v>
      </c>
      <c r="H569" t="s">
        <v>33</v>
      </c>
      <c r="I569">
        <v>4</v>
      </c>
      <c r="J569" t="s">
        <v>119</v>
      </c>
    </row>
    <row r="570" spans="1:10" x14ac:dyDescent="0.25">
      <c r="A570" t="s">
        <v>711</v>
      </c>
      <c r="B570" t="s">
        <v>61</v>
      </c>
      <c r="C570">
        <v>27.59</v>
      </c>
      <c r="D570" t="s">
        <v>47</v>
      </c>
      <c r="E570" s="1">
        <v>45940</v>
      </c>
      <c r="F570" s="1">
        <v>45945</v>
      </c>
      <c r="G570" s="1">
        <v>45944</v>
      </c>
      <c r="H570" t="s">
        <v>33</v>
      </c>
      <c r="I570">
        <v>4</v>
      </c>
      <c r="J570" t="s">
        <v>34</v>
      </c>
    </row>
    <row r="571" spans="1:10" x14ac:dyDescent="0.25">
      <c r="A571" t="s">
        <v>712</v>
      </c>
      <c r="B571" t="s">
        <v>39</v>
      </c>
      <c r="C571">
        <v>27.85</v>
      </c>
      <c r="D571" t="s">
        <v>126</v>
      </c>
      <c r="E571" s="1">
        <v>45939</v>
      </c>
      <c r="F571" s="1">
        <v>45945</v>
      </c>
      <c r="G571" s="1">
        <v>45942</v>
      </c>
      <c r="H571" t="s">
        <v>33</v>
      </c>
      <c r="I571">
        <v>4</v>
      </c>
      <c r="J571" t="s">
        <v>48</v>
      </c>
    </row>
    <row r="572" spans="1:10" x14ac:dyDescent="0.25">
      <c r="A572" t="s">
        <v>713</v>
      </c>
      <c r="B572" t="s">
        <v>76</v>
      </c>
      <c r="C572">
        <v>57.72</v>
      </c>
      <c r="D572" t="s">
        <v>264</v>
      </c>
      <c r="E572" s="1">
        <v>45940</v>
      </c>
      <c r="F572" s="1">
        <v>45945</v>
      </c>
      <c r="G572" s="1">
        <v>45943</v>
      </c>
      <c r="H572" t="s">
        <v>33</v>
      </c>
      <c r="I572">
        <v>5</v>
      </c>
      <c r="J572" t="s">
        <v>84</v>
      </c>
    </row>
    <row r="573" spans="1:10" x14ac:dyDescent="0.25">
      <c r="A573" t="s">
        <v>714</v>
      </c>
      <c r="B573" t="s">
        <v>76</v>
      </c>
      <c r="C573">
        <v>20.12</v>
      </c>
      <c r="D573" t="s">
        <v>32</v>
      </c>
      <c r="E573" s="1">
        <v>45940</v>
      </c>
      <c r="F573" s="1">
        <v>45945</v>
      </c>
      <c r="G573" s="1">
        <v>45942</v>
      </c>
      <c r="H573" t="s">
        <v>33</v>
      </c>
      <c r="I573">
        <v>5</v>
      </c>
      <c r="J573" t="s">
        <v>127</v>
      </c>
    </row>
    <row r="574" spans="1:10" x14ac:dyDescent="0.25">
      <c r="A574" t="s">
        <v>715</v>
      </c>
      <c r="B574" t="s">
        <v>61</v>
      </c>
      <c r="C574">
        <v>28.03</v>
      </c>
      <c r="D574" t="s">
        <v>47</v>
      </c>
      <c r="E574" s="1">
        <v>45941</v>
      </c>
      <c r="F574" s="1">
        <v>45949</v>
      </c>
      <c r="G574" s="1">
        <v>45948</v>
      </c>
      <c r="H574" t="s">
        <v>33</v>
      </c>
      <c r="I574">
        <v>4</v>
      </c>
      <c r="J574" t="s">
        <v>166</v>
      </c>
    </row>
    <row r="575" spans="1:10" x14ac:dyDescent="0.25">
      <c r="A575" t="s">
        <v>716</v>
      </c>
      <c r="B575" t="s">
        <v>76</v>
      </c>
      <c r="C575">
        <v>28.49</v>
      </c>
      <c r="D575" t="s">
        <v>264</v>
      </c>
      <c r="E575" s="1">
        <v>45941</v>
      </c>
      <c r="F575" s="1">
        <v>45946</v>
      </c>
      <c r="G575" s="1">
        <v>45949</v>
      </c>
      <c r="H575" t="s">
        <v>33</v>
      </c>
      <c r="I575">
        <v>1</v>
      </c>
      <c r="J575" t="s">
        <v>129</v>
      </c>
    </row>
    <row r="576" spans="1:10" x14ac:dyDescent="0.25">
      <c r="A576" t="s">
        <v>717</v>
      </c>
      <c r="B576" t="s">
        <v>61</v>
      </c>
      <c r="C576">
        <v>93.28</v>
      </c>
      <c r="D576" t="s">
        <v>157</v>
      </c>
      <c r="E576" s="1">
        <v>45943</v>
      </c>
      <c r="F576" s="1">
        <v>45952</v>
      </c>
      <c r="H576" t="s">
        <v>63</v>
      </c>
      <c r="I576">
        <v>1</v>
      </c>
      <c r="J576" t="s">
        <v>461</v>
      </c>
    </row>
    <row r="577" spans="1:10" x14ac:dyDescent="0.25">
      <c r="A577" t="s">
        <v>718</v>
      </c>
      <c r="B577" t="s">
        <v>61</v>
      </c>
      <c r="C577">
        <v>53.1</v>
      </c>
      <c r="D577" t="s">
        <v>97</v>
      </c>
      <c r="E577" s="1">
        <v>45943</v>
      </c>
      <c r="F577" s="1">
        <v>45953</v>
      </c>
      <c r="G577" s="1">
        <v>45949</v>
      </c>
      <c r="H577" t="s">
        <v>33</v>
      </c>
      <c r="I577">
        <v>5</v>
      </c>
      <c r="J577" t="s">
        <v>34</v>
      </c>
    </row>
    <row r="578" spans="1:10" x14ac:dyDescent="0.25">
      <c r="A578" t="s">
        <v>719</v>
      </c>
      <c r="B578" t="s">
        <v>61</v>
      </c>
      <c r="C578">
        <v>73</v>
      </c>
      <c r="D578" t="s">
        <v>62</v>
      </c>
      <c r="E578" s="1">
        <v>45944</v>
      </c>
      <c r="F578" s="1">
        <v>45953</v>
      </c>
      <c r="G578" s="1">
        <v>45947</v>
      </c>
      <c r="H578" t="s">
        <v>33</v>
      </c>
      <c r="I578">
        <v>5</v>
      </c>
      <c r="J578" t="s">
        <v>84</v>
      </c>
    </row>
    <row r="579" spans="1:10" x14ac:dyDescent="0.25">
      <c r="A579" t="s">
        <v>720</v>
      </c>
      <c r="B579" t="s">
        <v>31</v>
      </c>
      <c r="C579">
        <v>73.680000000000007</v>
      </c>
      <c r="D579" t="s">
        <v>126</v>
      </c>
      <c r="E579" s="1">
        <v>45943</v>
      </c>
      <c r="F579" s="1">
        <v>45948</v>
      </c>
      <c r="G579" s="1">
        <v>45949</v>
      </c>
      <c r="H579" t="s">
        <v>33</v>
      </c>
      <c r="I579">
        <v>1</v>
      </c>
      <c r="J579" t="s">
        <v>168</v>
      </c>
    </row>
    <row r="580" spans="1:10" x14ac:dyDescent="0.25">
      <c r="A580" t="s">
        <v>721</v>
      </c>
      <c r="B580" t="s">
        <v>31</v>
      </c>
      <c r="C580">
        <v>24.36</v>
      </c>
      <c r="D580" t="s">
        <v>47</v>
      </c>
      <c r="E580" s="1">
        <v>45944</v>
      </c>
      <c r="F580" s="1">
        <v>45952</v>
      </c>
      <c r="G580" s="1">
        <v>45948</v>
      </c>
      <c r="H580" t="s">
        <v>33</v>
      </c>
      <c r="I580">
        <v>4</v>
      </c>
      <c r="J580" t="s">
        <v>34</v>
      </c>
    </row>
    <row r="581" spans="1:10" x14ac:dyDescent="0.25">
      <c r="A581" t="s">
        <v>722</v>
      </c>
      <c r="B581" t="s">
        <v>39</v>
      </c>
      <c r="C581">
        <v>29.58</v>
      </c>
      <c r="D581" t="s">
        <v>133</v>
      </c>
      <c r="E581" s="1">
        <v>45945</v>
      </c>
      <c r="F581" s="1">
        <v>45952</v>
      </c>
      <c r="G581" s="1">
        <v>45949</v>
      </c>
      <c r="H581" t="s">
        <v>33</v>
      </c>
      <c r="I581">
        <v>4</v>
      </c>
      <c r="J581" t="s">
        <v>79</v>
      </c>
    </row>
    <row r="582" spans="1:10" x14ac:dyDescent="0.25">
      <c r="A582" t="s">
        <v>723</v>
      </c>
      <c r="B582" t="s">
        <v>31</v>
      </c>
      <c r="C582">
        <v>43.94</v>
      </c>
      <c r="D582" t="s">
        <v>47</v>
      </c>
      <c r="E582" s="1">
        <v>45946</v>
      </c>
      <c r="F582" s="1">
        <v>45953</v>
      </c>
      <c r="G582" s="1">
        <v>45949</v>
      </c>
      <c r="H582" t="s">
        <v>33</v>
      </c>
      <c r="I582">
        <v>5</v>
      </c>
      <c r="J582" t="s">
        <v>211</v>
      </c>
    </row>
    <row r="583" spans="1:10" x14ac:dyDescent="0.25">
      <c r="A583" t="s">
        <v>724</v>
      </c>
      <c r="B583" t="s">
        <v>31</v>
      </c>
      <c r="C583">
        <v>53.77</v>
      </c>
      <c r="D583" t="s">
        <v>47</v>
      </c>
      <c r="E583" s="1">
        <v>45946</v>
      </c>
      <c r="F583" s="1">
        <v>45955</v>
      </c>
      <c r="G583" s="1">
        <v>45948</v>
      </c>
      <c r="H583" t="s">
        <v>33</v>
      </c>
      <c r="I583">
        <v>4</v>
      </c>
      <c r="J583" t="s">
        <v>117</v>
      </c>
    </row>
    <row r="584" spans="1:10" x14ac:dyDescent="0.25">
      <c r="A584" t="s">
        <v>725</v>
      </c>
      <c r="B584" t="s">
        <v>76</v>
      </c>
      <c r="C584">
        <v>75.069999999999993</v>
      </c>
      <c r="D584" t="s">
        <v>47</v>
      </c>
      <c r="E584" s="1">
        <v>45945</v>
      </c>
      <c r="F584" s="1">
        <v>45951</v>
      </c>
      <c r="G584" s="1">
        <v>45950</v>
      </c>
      <c r="H584" t="s">
        <v>33</v>
      </c>
      <c r="I584">
        <v>5</v>
      </c>
      <c r="J584" t="s">
        <v>41</v>
      </c>
    </row>
    <row r="585" spans="1:10" x14ac:dyDescent="0.25">
      <c r="A585" t="s">
        <v>726</v>
      </c>
      <c r="B585" t="s">
        <v>76</v>
      </c>
      <c r="C585">
        <v>130.13</v>
      </c>
      <c r="D585" t="s">
        <v>97</v>
      </c>
      <c r="E585" s="1">
        <v>45946</v>
      </c>
      <c r="F585" s="1">
        <v>45956</v>
      </c>
      <c r="H585" t="s">
        <v>54</v>
      </c>
      <c r="I585">
        <v>2</v>
      </c>
      <c r="J585" t="s">
        <v>140</v>
      </c>
    </row>
    <row r="586" spans="1:10" x14ac:dyDescent="0.25">
      <c r="A586" t="s">
        <v>727</v>
      </c>
      <c r="B586" t="s">
        <v>61</v>
      </c>
      <c r="C586">
        <v>18.579999999999998</v>
      </c>
      <c r="D586" t="s">
        <v>62</v>
      </c>
      <c r="E586" s="1">
        <v>45945</v>
      </c>
      <c r="F586" s="1">
        <v>45954</v>
      </c>
      <c r="G586" s="1">
        <v>45955</v>
      </c>
      <c r="H586" t="s">
        <v>33</v>
      </c>
      <c r="I586">
        <v>1</v>
      </c>
      <c r="J586" t="s">
        <v>140</v>
      </c>
    </row>
    <row r="587" spans="1:10" x14ac:dyDescent="0.25">
      <c r="A587" t="s">
        <v>728</v>
      </c>
      <c r="B587" t="s">
        <v>31</v>
      </c>
      <c r="C587">
        <v>25.84</v>
      </c>
      <c r="D587" t="s">
        <v>47</v>
      </c>
      <c r="E587" s="1">
        <v>45946</v>
      </c>
      <c r="F587" s="1">
        <v>45954</v>
      </c>
      <c r="G587" s="1">
        <v>45951</v>
      </c>
      <c r="H587" t="s">
        <v>33</v>
      </c>
      <c r="I587">
        <v>4</v>
      </c>
      <c r="J587" t="s">
        <v>84</v>
      </c>
    </row>
    <row r="588" spans="1:10" x14ac:dyDescent="0.25">
      <c r="A588" t="s">
        <v>729</v>
      </c>
      <c r="B588" t="s">
        <v>61</v>
      </c>
      <c r="C588">
        <v>28.73</v>
      </c>
      <c r="D588" t="s">
        <v>150</v>
      </c>
      <c r="E588" s="1">
        <v>45946</v>
      </c>
      <c r="F588" s="1">
        <v>45953</v>
      </c>
      <c r="G588" s="1">
        <v>45951</v>
      </c>
      <c r="H588" t="s">
        <v>33</v>
      </c>
      <c r="I588">
        <v>4</v>
      </c>
      <c r="J588" t="s">
        <v>79</v>
      </c>
    </row>
    <row r="589" spans="1:10" x14ac:dyDescent="0.25">
      <c r="A589" t="s">
        <v>730</v>
      </c>
      <c r="B589" t="s">
        <v>76</v>
      </c>
      <c r="C589">
        <v>21.56</v>
      </c>
      <c r="D589" t="s">
        <v>47</v>
      </c>
      <c r="E589" s="1">
        <v>45946</v>
      </c>
      <c r="F589" s="1">
        <v>45954</v>
      </c>
      <c r="G589" s="1">
        <v>45958</v>
      </c>
      <c r="H589" t="s">
        <v>33</v>
      </c>
      <c r="I589">
        <v>2</v>
      </c>
      <c r="J589" t="s">
        <v>153</v>
      </c>
    </row>
    <row r="590" spans="1:10" x14ac:dyDescent="0.25">
      <c r="A590" t="s">
        <v>731</v>
      </c>
      <c r="B590" t="s">
        <v>61</v>
      </c>
      <c r="C590">
        <v>19.940000000000001</v>
      </c>
      <c r="D590" t="s">
        <v>99</v>
      </c>
      <c r="E590" s="1">
        <v>45946</v>
      </c>
      <c r="F590" s="1">
        <v>45954</v>
      </c>
      <c r="G590" s="1">
        <v>45950</v>
      </c>
      <c r="H590" t="s">
        <v>33</v>
      </c>
      <c r="I590">
        <v>5</v>
      </c>
      <c r="J590" t="s">
        <v>112</v>
      </c>
    </row>
    <row r="591" spans="1:10" x14ac:dyDescent="0.25">
      <c r="A591" t="s">
        <v>732</v>
      </c>
      <c r="B591" t="s">
        <v>31</v>
      </c>
      <c r="C591">
        <v>144.53</v>
      </c>
      <c r="D591" t="s">
        <v>47</v>
      </c>
      <c r="E591" s="1">
        <v>45946</v>
      </c>
      <c r="F591" s="1">
        <v>45954</v>
      </c>
      <c r="G591" s="1">
        <v>45952</v>
      </c>
      <c r="H591" t="s">
        <v>33</v>
      </c>
      <c r="I591">
        <v>4</v>
      </c>
      <c r="J591" t="s">
        <v>127</v>
      </c>
    </row>
    <row r="592" spans="1:10" x14ac:dyDescent="0.25">
      <c r="A592" t="s">
        <v>733</v>
      </c>
      <c r="B592" t="s">
        <v>31</v>
      </c>
      <c r="C592">
        <v>51.25</v>
      </c>
      <c r="D592" t="s">
        <v>126</v>
      </c>
      <c r="E592" s="1">
        <v>45947</v>
      </c>
      <c r="F592" s="1">
        <v>45953</v>
      </c>
      <c r="G592" s="1">
        <v>45951</v>
      </c>
      <c r="H592" t="s">
        <v>33</v>
      </c>
      <c r="I592">
        <v>4</v>
      </c>
      <c r="J592" t="s">
        <v>79</v>
      </c>
    </row>
    <row r="593" spans="1:10" x14ac:dyDescent="0.25">
      <c r="A593" t="s">
        <v>734</v>
      </c>
      <c r="B593" t="s">
        <v>31</v>
      </c>
      <c r="C593">
        <v>15.43</v>
      </c>
      <c r="D593" t="s">
        <v>47</v>
      </c>
      <c r="E593" s="1">
        <v>45948</v>
      </c>
      <c r="F593" s="1">
        <v>45955</v>
      </c>
      <c r="H593" t="s">
        <v>63</v>
      </c>
      <c r="I593">
        <v>2</v>
      </c>
      <c r="J593" t="s">
        <v>129</v>
      </c>
    </row>
    <row r="594" spans="1:10" x14ac:dyDescent="0.25">
      <c r="A594" t="s">
        <v>735</v>
      </c>
      <c r="B594" t="s">
        <v>39</v>
      </c>
      <c r="C594">
        <v>27.69</v>
      </c>
      <c r="D594" t="s">
        <v>40</v>
      </c>
      <c r="E594" s="1">
        <v>45949</v>
      </c>
      <c r="F594" s="1">
        <v>45958</v>
      </c>
      <c r="G594" s="1">
        <v>45955</v>
      </c>
      <c r="H594" t="s">
        <v>33</v>
      </c>
      <c r="I594">
        <v>5</v>
      </c>
      <c r="J594" t="s">
        <v>112</v>
      </c>
    </row>
    <row r="595" spans="1:10" x14ac:dyDescent="0.25">
      <c r="A595" t="s">
        <v>736</v>
      </c>
      <c r="B595" t="s">
        <v>39</v>
      </c>
      <c r="C595">
        <v>80.05</v>
      </c>
      <c r="D595" t="s">
        <v>47</v>
      </c>
      <c r="E595" s="1">
        <v>45949</v>
      </c>
      <c r="F595" s="1">
        <v>45956</v>
      </c>
      <c r="G595" s="1">
        <v>45952</v>
      </c>
      <c r="H595" t="s">
        <v>33</v>
      </c>
      <c r="I595">
        <v>4</v>
      </c>
      <c r="J595" t="s">
        <v>69</v>
      </c>
    </row>
    <row r="596" spans="1:10" x14ac:dyDescent="0.25">
      <c r="A596" t="s">
        <v>737</v>
      </c>
      <c r="B596" t="s">
        <v>39</v>
      </c>
      <c r="C596">
        <v>50.44</v>
      </c>
      <c r="D596" t="s">
        <v>62</v>
      </c>
      <c r="E596" s="1">
        <v>45949</v>
      </c>
      <c r="F596" s="1">
        <v>45958</v>
      </c>
      <c r="G596" s="1">
        <v>45952</v>
      </c>
      <c r="H596" t="s">
        <v>33</v>
      </c>
      <c r="I596">
        <v>4</v>
      </c>
      <c r="J596" t="s">
        <v>79</v>
      </c>
    </row>
    <row r="597" spans="1:10" x14ac:dyDescent="0.25">
      <c r="A597" t="s">
        <v>738</v>
      </c>
      <c r="B597" t="s">
        <v>61</v>
      </c>
      <c r="C597">
        <v>130.49</v>
      </c>
      <c r="D597" t="s">
        <v>150</v>
      </c>
      <c r="E597" s="1">
        <v>45951</v>
      </c>
      <c r="F597" s="1">
        <v>45958</v>
      </c>
      <c r="G597" s="1">
        <v>45954</v>
      </c>
      <c r="H597" t="s">
        <v>33</v>
      </c>
      <c r="I597">
        <v>5</v>
      </c>
      <c r="J597" t="s">
        <v>172</v>
      </c>
    </row>
    <row r="598" spans="1:10" x14ac:dyDescent="0.25">
      <c r="A598" t="s">
        <v>739</v>
      </c>
      <c r="B598" t="s">
        <v>39</v>
      </c>
      <c r="C598">
        <v>71.25</v>
      </c>
      <c r="D598" t="s">
        <v>101</v>
      </c>
      <c r="E598" s="1">
        <v>45951</v>
      </c>
      <c r="F598" s="1">
        <v>45958</v>
      </c>
      <c r="G598" s="1">
        <v>45956</v>
      </c>
      <c r="H598" t="s">
        <v>33</v>
      </c>
      <c r="I598">
        <v>5</v>
      </c>
      <c r="J598" t="s">
        <v>166</v>
      </c>
    </row>
    <row r="599" spans="1:10" x14ac:dyDescent="0.25">
      <c r="A599" t="s">
        <v>740</v>
      </c>
      <c r="B599" t="s">
        <v>76</v>
      </c>
      <c r="C599">
        <v>21.49</v>
      </c>
      <c r="D599" t="s">
        <v>99</v>
      </c>
      <c r="E599" s="1">
        <v>45952</v>
      </c>
      <c r="F599" s="1">
        <v>45959</v>
      </c>
      <c r="H599" t="s">
        <v>54</v>
      </c>
      <c r="I599">
        <v>4</v>
      </c>
      <c r="J599" t="s">
        <v>166</v>
      </c>
    </row>
    <row r="600" spans="1:10" x14ac:dyDescent="0.25">
      <c r="A600" t="s">
        <v>741</v>
      </c>
      <c r="B600" t="s">
        <v>61</v>
      </c>
      <c r="C600">
        <v>118.06</v>
      </c>
      <c r="D600" t="s">
        <v>99</v>
      </c>
      <c r="E600" s="1">
        <v>45952</v>
      </c>
      <c r="F600" s="1">
        <v>45959</v>
      </c>
      <c r="G600" s="1">
        <v>45958</v>
      </c>
      <c r="H600" t="s">
        <v>33</v>
      </c>
      <c r="I600">
        <v>4</v>
      </c>
      <c r="J600" t="s">
        <v>211</v>
      </c>
    </row>
    <row r="601" spans="1:10" x14ac:dyDescent="0.25">
      <c r="A601" t="s">
        <v>742</v>
      </c>
      <c r="B601" t="s">
        <v>76</v>
      </c>
      <c r="C601">
        <v>21.87</v>
      </c>
      <c r="D601" t="s">
        <v>264</v>
      </c>
      <c r="E601" s="1">
        <v>45952</v>
      </c>
      <c r="F601" s="1">
        <v>45959</v>
      </c>
      <c r="G601" s="1">
        <v>45958</v>
      </c>
      <c r="H601" t="s">
        <v>33</v>
      </c>
      <c r="I601">
        <v>5</v>
      </c>
      <c r="J601" t="s">
        <v>41</v>
      </c>
    </row>
    <row r="602" spans="1:10" x14ac:dyDescent="0.25">
      <c r="A602" t="s">
        <v>743</v>
      </c>
      <c r="B602" t="s">
        <v>76</v>
      </c>
      <c r="C602">
        <v>32.72</v>
      </c>
      <c r="D602" t="s">
        <v>47</v>
      </c>
      <c r="E602" s="1">
        <v>45953</v>
      </c>
      <c r="F602" s="1">
        <v>45963</v>
      </c>
      <c r="G602" s="1">
        <v>45965</v>
      </c>
      <c r="H602" t="s">
        <v>33</v>
      </c>
      <c r="I602">
        <v>2</v>
      </c>
      <c r="J602" t="s">
        <v>131</v>
      </c>
    </row>
    <row r="603" spans="1:10" x14ac:dyDescent="0.25">
      <c r="A603" t="s">
        <v>744</v>
      </c>
      <c r="B603" t="s">
        <v>61</v>
      </c>
      <c r="C603">
        <v>104.5</v>
      </c>
      <c r="D603" t="s">
        <v>40</v>
      </c>
      <c r="E603" s="1">
        <v>45953</v>
      </c>
      <c r="F603" s="1">
        <v>45961</v>
      </c>
      <c r="G603" s="1">
        <v>45959</v>
      </c>
      <c r="H603" t="s">
        <v>33</v>
      </c>
      <c r="I603">
        <v>5</v>
      </c>
      <c r="J603" t="s">
        <v>34</v>
      </c>
    </row>
    <row r="604" spans="1:10" x14ac:dyDescent="0.25">
      <c r="A604" t="s">
        <v>745</v>
      </c>
      <c r="B604" t="s">
        <v>61</v>
      </c>
      <c r="C604">
        <v>60.68</v>
      </c>
      <c r="D604" t="s">
        <v>62</v>
      </c>
      <c r="E604" s="1">
        <v>45955</v>
      </c>
      <c r="F604" s="1">
        <v>45964</v>
      </c>
      <c r="G604" s="1">
        <v>45957</v>
      </c>
      <c r="H604" t="s">
        <v>33</v>
      </c>
      <c r="I604">
        <v>5</v>
      </c>
      <c r="J604" t="s">
        <v>211</v>
      </c>
    </row>
    <row r="605" spans="1:10" x14ac:dyDescent="0.25">
      <c r="A605" t="s">
        <v>746</v>
      </c>
      <c r="B605" t="s">
        <v>61</v>
      </c>
      <c r="C605">
        <v>25.27</v>
      </c>
      <c r="D605" t="s">
        <v>32</v>
      </c>
      <c r="E605" s="1">
        <v>45954</v>
      </c>
      <c r="F605" s="1">
        <v>45962</v>
      </c>
      <c r="H605" t="s">
        <v>161</v>
      </c>
      <c r="I605">
        <v>3</v>
      </c>
      <c r="J605" t="s">
        <v>55</v>
      </c>
    </row>
    <row r="606" spans="1:10" x14ac:dyDescent="0.25">
      <c r="A606" t="s">
        <v>747</v>
      </c>
      <c r="B606" t="s">
        <v>31</v>
      </c>
      <c r="C606">
        <v>33.74</v>
      </c>
      <c r="D606" t="s">
        <v>150</v>
      </c>
      <c r="E606" s="1">
        <v>45956</v>
      </c>
      <c r="F606" s="1">
        <v>45965</v>
      </c>
      <c r="G606" s="1">
        <v>45960</v>
      </c>
      <c r="H606" t="s">
        <v>33</v>
      </c>
      <c r="I606">
        <v>4</v>
      </c>
      <c r="J606" t="s">
        <v>41</v>
      </c>
    </row>
    <row r="607" spans="1:10" x14ac:dyDescent="0.25">
      <c r="A607" t="s">
        <v>748</v>
      </c>
      <c r="B607" t="s">
        <v>76</v>
      </c>
      <c r="C607">
        <v>20.78</v>
      </c>
      <c r="D607" t="s">
        <v>83</v>
      </c>
      <c r="E607" s="1">
        <v>45956</v>
      </c>
      <c r="F607" s="1">
        <v>45963</v>
      </c>
      <c r="H607" t="s">
        <v>161</v>
      </c>
      <c r="I607">
        <v>1</v>
      </c>
      <c r="J607" t="s">
        <v>140</v>
      </c>
    </row>
    <row r="608" spans="1:10" x14ac:dyDescent="0.25">
      <c r="A608" t="s">
        <v>749</v>
      </c>
      <c r="B608" t="s">
        <v>31</v>
      </c>
      <c r="C608">
        <v>128.31</v>
      </c>
      <c r="D608" t="s">
        <v>68</v>
      </c>
      <c r="E608" s="1">
        <v>45956</v>
      </c>
      <c r="F608" s="1">
        <v>45962</v>
      </c>
      <c r="G608" s="1">
        <v>45960</v>
      </c>
      <c r="H608" t="s">
        <v>33</v>
      </c>
      <c r="I608">
        <v>4</v>
      </c>
      <c r="J608" t="s">
        <v>211</v>
      </c>
    </row>
    <row r="609" spans="1:10" x14ac:dyDescent="0.25">
      <c r="A609" t="s">
        <v>750</v>
      </c>
      <c r="B609" t="s">
        <v>76</v>
      </c>
      <c r="C609">
        <v>70.66</v>
      </c>
      <c r="D609" t="s">
        <v>150</v>
      </c>
      <c r="E609" s="1">
        <v>45957</v>
      </c>
      <c r="F609" s="1">
        <v>45962</v>
      </c>
      <c r="G609" s="1">
        <v>45963</v>
      </c>
      <c r="H609" t="s">
        <v>33</v>
      </c>
      <c r="I609">
        <v>1</v>
      </c>
      <c r="J609" t="s">
        <v>248</v>
      </c>
    </row>
    <row r="610" spans="1:10" x14ac:dyDescent="0.25">
      <c r="A610" t="s">
        <v>751</v>
      </c>
      <c r="B610" t="s">
        <v>31</v>
      </c>
      <c r="C610">
        <v>34.340000000000003</v>
      </c>
      <c r="D610" t="s">
        <v>32</v>
      </c>
      <c r="E610" s="1">
        <v>45956</v>
      </c>
      <c r="F610" s="1">
        <v>45962</v>
      </c>
      <c r="G610" s="1">
        <v>45961</v>
      </c>
      <c r="H610" t="s">
        <v>33</v>
      </c>
      <c r="I610">
        <v>4</v>
      </c>
      <c r="J610" t="s">
        <v>119</v>
      </c>
    </row>
    <row r="611" spans="1:10" x14ac:dyDescent="0.25">
      <c r="A611" t="s">
        <v>752</v>
      </c>
      <c r="B611" t="s">
        <v>39</v>
      </c>
      <c r="C611">
        <v>120.37</v>
      </c>
      <c r="D611" t="s">
        <v>264</v>
      </c>
      <c r="E611" s="1">
        <v>45956</v>
      </c>
      <c r="F611" s="1">
        <v>45964</v>
      </c>
      <c r="G611" s="1">
        <v>45962</v>
      </c>
      <c r="H611" t="s">
        <v>33</v>
      </c>
      <c r="I611">
        <v>4</v>
      </c>
      <c r="J611" t="s">
        <v>77</v>
      </c>
    </row>
    <row r="612" spans="1:10" x14ac:dyDescent="0.25">
      <c r="A612" t="s">
        <v>753</v>
      </c>
      <c r="B612" t="s">
        <v>31</v>
      </c>
      <c r="C612">
        <v>54.64</v>
      </c>
      <c r="D612" t="s">
        <v>62</v>
      </c>
      <c r="E612" s="1">
        <v>45957</v>
      </c>
      <c r="F612" s="1">
        <v>45962</v>
      </c>
      <c r="G612" s="1">
        <v>45961</v>
      </c>
      <c r="H612" t="s">
        <v>33</v>
      </c>
      <c r="I612">
        <v>5</v>
      </c>
      <c r="J612" t="s">
        <v>69</v>
      </c>
    </row>
    <row r="613" spans="1:10" x14ac:dyDescent="0.25">
      <c r="A613" t="s">
        <v>754</v>
      </c>
      <c r="B613" t="s">
        <v>76</v>
      </c>
      <c r="C613">
        <v>37.619999999999997</v>
      </c>
      <c r="D613" t="s">
        <v>133</v>
      </c>
      <c r="E613" s="1">
        <v>45958</v>
      </c>
      <c r="F613" s="1">
        <v>45963</v>
      </c>
      <c r="G613" s="1">
        <v>45961</v>
      </c>
      <c r="H613" t="s">
        <v>33</v>
      </c>
      <c r="I613">
        <v>4</v>
      </c>
      <c r="J613" t="s">
        <v>41</v>
      </c>
    </row>
    <row r="614" spans="1:10" x14ac:dyDescent="0.25">
      <c r="A614" t="s">
        <v>755</v>
      </c>
      <c r="B614" t="s">
        <v>31</v>
      </c>
      <c r="C614">
        <v>124.99</v>
      </c>
      <c r="D614" t="s">
        <v>97</v>
      </c>
      <c r="E614" s="1">
        <v>45957</v>
      </c>
      <c r="F614" s="1">
        <v>45964</v>
      </c>
      <c r="G614" s="1">
        <v>45959</v>
      </c>
      <c r="H614" t="s">
        <v>33</v>
      </c>
      <c r="I614">
        <v>4</v>
      </c>
      <c r="J614" t="s">
        <v>134</v>
      </c>
    </row>
    <row r="615" spans="1:10" x14ac:dyDescent="0.25">
      <c r="A615" t="s">
        <v>756</v>
      </c>
      <c r="B615" t="s">
        <v>76</v>
      </c>
      <c r="C615">
        <v>27.85</v>
      </c>
      <c r="D615" t="s">
        <v>99</v>
      </c>
      <c r="E615" s="1">
        <v>45957</v>
      </c>
      <c r="F615" s="1">
        <v>45967</v>
      </c>
      <c r="H615" t="s">
        <v>161</v>
      </c>
      <c r="I615">
        <v>3</v>
      </c>
      <c r="J615" t="s">
        <v>146</v>
      </c>
    </row>
    <row r="616" spans="1:10" x14ac:dyDescent="0.25">
      <c r="A616" t="s">
        <v>757</v>
      </c>
      <c r="B616" t="s">
        <v>31</v>
      </c>
      <c r="C616">
        <v>123.76</v>
      </c>
      <c r="D616" t="s">
        <v>97</v>
      </c>
      <c r="E616" s="1">
        <v>45958</v>
      </c>
      <c r="F616" s="1">
        <v>45966</v>
      </c>
      <c r="G616" s="1">
        <v>45966</v>
      </c>
      <c r="H616" t="s">
        <v>33</v>
      </c>
      <c r="I616">
        <v>4</v>
      </c>
      <c r="J616" t="s">
        <v>79</v>
      </c>
    </row>
    <row r="617" spans="1:10" x14ac:dyDescent="0.25">
      <c r="A617" t="s">
        <v>758</v>
      </c>
      <c r="B617" t="s">
        <v>31</v>
      </c>
      <c r="C617">
        <v>143.71</v>
      </c>
      <c r="D617" t="s">
        <v>157</v>
      </c>
      <c r="E617" s="1">
        <v>45958</v>
      </c>
      <c r="F617" s="1">
        <v>45967</v>
      </c>
      <c r="G617" s="1">
        <v>45968</v>
      </c>
      <c r="H617" t="s">
        <v>33</v>
      </c>
      <c r="I617">
        <v>2</v>
      </c>
      <c r="J617" t="s">
        <v>180</v>
      </c>
    </row>
    <row r="618" spans="1:10" x14ac:dyDescent="0.25">
      <c r="A618" t="s">
        <v>759</v>
      </c>
      <c r="B618" t="s">
        <v>39</v>
      </c>
      <c r="C618">
        <v>96.82</v>
      </c>
      <c r="D618" t="s">
        <v>40</v>
      </c>
      <c r="E618" s="1">
        <v>45959</v>
      </c>
      <c r="F618" s="1">
        <v>45968</v>
      </c>
      <c r="G618" s="1">
        <v>45966</v>
      </c>
      <c r="H618" t="s">
        <v>33</v>
      </c>
      <c r="I618">
        <v>5</v>
      </c>
      <c r="J618" t="s">
        <v>48</v>
      </c>
    </row>
    <row r="619" spans="1:10" x14ac:dyDescent="0.25">
      <c r="A619" t="s">
        <v>760</v>
      </c>
      <c r="B619" t="s">
        <v>39</v>
      </c>
      <c r="C619">
        <v>42.17</v>
      </c>
      <c r="D619" t="s">
        <v>47</v>
      </c>
      <c r="E619" s="1">
        <v>45958</v>
      </c>
      <c r="F619" s="1">
        <v>45968</v>
      </c>
      <c r="G619" s="1">
        <v>45966</v>
      </c>
      <c r="H619" t="s">
        <v>33</v>
      </c>
      <c r="I619">
        <v>4</v>
      </c>
      <c r="J619" t="s">
        <v>117</v>
      </c>
    </row>
    <row r="620" spans="1:10" x14ac:dyDescent="0.25">
      <c r="A620" t="s">
        <v>761</v>
      </c>
      <c r="B620" t="s">
        <v>76</v>
      </c>
      <c r="C620">
        <v>136.02000000000001</v>
      </c>
      <c r="D620" t="s">
        <v>99</v>
      </c>
      <c r="E620" s="1">
        <v>45959</v>
      </c>
      <c r="F620" s="1">
        <v>45969</v>
      </c>
      <c r="G620" s="1">
        <v>45966</v>
      </c>
      <c r="H620" t="s">
        <v>33</v>
      </c>
      <c r="I620">
        <v>4</v>
      </c>
      <c r="J620" t="s">
        <v>69</v>
      </c>
    </row>
    <row r="621" spans="1:10" x14ac:dyDescent="0.25">
      <c r="A621" t="s">
        <v>762</v>
      </c>
      <c r="B621" t="s">
        <v>39</v>
      </c>
      <c r="C621">
        <v>145.19</v>
      </c>
      <c r="D621" t="s">
        <v>62</v>
      </c>
      <c r="E621" s="1">
        <v>45959</v>
      </c>
      <c r="F621" s="1">
        <v>45964</v>
      </c>
      <c r="H621" t="s">
        <v>54</v>
      </c>
      <c r="I621">
        <v>4</v>
      </c>
      <c r="J621" t="s">
        <v>172</v>
      </c>
    </row>
    <row r="622" spans="1:10" x14ac:dyDescent="0.25">
      <c r="A622" t="s">
        <v>763</v>
      </c>
      <c r="B622" t="s">
        <v>76</v>
      </c>
      <c r="C622">
        <v>46.4</v>
      </c>
      <c r="D622" t="s">
        <v>97</v>
      </c>
      <c r="E622" s="1">
        <v>45960</v>
      </c>
      <c r="F622" s="1">
        <v>45967</v>
      </c>
      <c r="G622" s="1">
        <v>45963</v>
      </c>
      <c r="H622" t="s">
        <v>33</v>
      </c>
      <c r="I622">
        <v>4</v>
      </c>
      <c r="J622" t="s">
        <v>84</v>
      </c>
    </row>
    <row r="623" spans="1:10" x14ac:dyDescent="0.25">
      <c r="A623" t="s">
        <v>764</v>
      </c>
      <c r="B623" t="s">
        <v>39</v>
      </c>
      <c r="C623">
        <v>98.89</v>
      </c>
      <c r="D623" t="s">
        <v>40</v>
      </c>
      <c r="E623" s="1">
        <v>45960</v>
      </c>
      <c r="F623" s="1">
        <v>45968</v>
      </c>
      <c r="G623" s="1">
        <v>45965</v>
      </c>
      <c r="H623" t="s">
        <v>33</v>
      </c>
      <c r="I623">
        <v>5</v>
      </c>
      <c r="J623" t="s">
        <v>127</v>
      </c>
    </row>
    <row r="624" spans="1:10" x14ac:dyDescent="0.25">
      <c r="A624" t="s">
        <v>765</v>
      </c>
      <c r="B624" t="s">
        <v>61</v>
      </c>
      <c r="C624">
        <v>28.86</v>
      </c>
      <c r="D624" t="s">
        <v>62</v>
      </c>
      <c r="E624" s="1">
        <v>45961</v>
      </c>
      <c r="F624" s="1">
        <v>45970</v>
      </c>
      <c r="G624" s="1">
        <v>45968</v>
      </c>
      <c r="H624" t="s">
        <v>33</v>
      </c>
      <c r="I624">
        <v>5</v>
      </c>
      <c r="J624" t="s">
        <v>119</v>
      </c>
    </row>
    <row r="625" spans="1:10" x14ac:dyDescent="0.25">
      <c r="A625" t="s">
        <v>766</v>
      </c>
      <c r="B625" t="s">
        <v>31</v>
      </c>
      <c r="C625">
        <v>50.16</v>
      </c>
      <c r="D625" t="s">
        <v>40</v>
      </c>
      <c r="E625" s="1">
        <v>45960</v>
      </c>
      <c r="F625" s="1">
        <v>45965</v>
      </c>
      <c r="G625" s="1">
        <v>45963</v>
      </c>
      <c r="H625" t="s">
        <v>33</v>
      </c>
      <c r="I625">
        <v>5</v>
      </c>
      <c r="J625" t="s">
        <v>119</v>
      </c>
    </row>
    <row r="626" spans="1:10" x14ac:dyDescent="0.25">
      <c r="A626" t="s">
        <v>767</v>
      </c>
      <c r="B626" t="s">
        <v>76</v>
      </c>
      <c r="C626">
        <v>132.41999999999999</v>
      </c>
      <c r="D626" t="s">
        <v>47</v>
      </c>
      <c r="E626" s="1">
        <v>45963</v>
      </c>
      <c r="F626" s="1">
        <v>45969</v>
      </c>
      <c r="G626" s="1">
        <v>45973</v>
      </c>
      <c r="H626" t="s">
        <v>33</v>
      </c>
      <c r="I626">
        <v>1</v>
      </c>
      <c r="J626" t="s">
        <v>140</v>
      </c>
    </row>
    <row r="627" spans="1:10" x14ac:dyDescent="0.25">
      <c r="A627" t="s">
        <v>768</v>
      </c>
      <c r="B627" t="s">
        <v>31</v>
      </c>
      <c r="C627">
        <v>73.27</v>
      </c>
      <c r="D627" t="s">
        <v>68</v>
      </c>
      <c r="E627" s="1">
        <v>45962</v>
      </c>
      <c r="F627" s="1">
        <v>45969</v>
      </c>
      <c r="H627" t="s">
        <v>63</v>
      </c>
      <c r="I627">
        <v>1</v>
      </c>
      <c r="J627" t="s">
        <v>258</v>
      </c>
    </row>
    <row r="628" spans="1:10" x14ac:dyDescent="0.25">
      <c r="A628" t="s">
        <v>769</v>
      </c>
      <c r="B628" t="s">
        <v>31</v>
      </c>
      <c r="C628">
        <v>34.89</v>
      </c>
      <c r="D628" t="s">
        <v>47</v>
      </c>
      <c r="E628" s="1">
        <v>45963</v>
      </c>
      <c r="F628" s="1">
        <v>45968</v>
      </c>
      <c r="G628" s="1">
        <v>45968</v>
      </c>
      <c r="H628" t="s">
        <v>33</v>
      </c>
      <c r="I628">
        <v>4</v>
      </c>
      <c r="J628" t="s">
        <v>84</v>
      </c>
    </row>
    <row r="629" spans="1:10" x14ac:dyDescent="0.25">
      <c r="A629" t="s">
        <v>770</v>
      </c>
      <c r="B629" t="s">
        <v>31</v>
      </c>
      <c r="C629">
        <v>50.87</v>
      </c>
      <c r="D629" t="s">
        <v>62</v>
      </c>
      <c r="E629" s="1">
        <v>45963</v>
      </c>
      <c r="F629" s="1">
        <v>45971</v>
      </c>
      <c r="G629" s="1">
        <v>45970</v>
      </c>
      <c r="H629" t="s">
        <v>33</v>
      </c>
      <c r="I629">
        <v>4</v>
      </c>
      <c r="J629" t="s">
        <v>48</v>
      </c>
    </row>
    <row r="630" spans="1:10" x14ac:dyDescent="0.25">
      <c r="A630" t="s">
        <v>771</v>
      </c>
      <c r="B630" t="s">
        <v>31</v>
      </c>
      <c r="C630">
        <v>74.97</v>
      </c>
      <c r="D630" t="s">
        <v>62</v>
      </c>
      <c r="E630" s="1">
        <v>45963</v>
      </c>
      <c r="F630" s="1">
        <v>45969</v>
      </c>
      <c r="G630" s="1">
        <v>45965</v>
      </c>
      <c r="H630" t="s">
        <v>33</v>
      </c>
      <c r="I630">
        <v>5</v>
      </c>
      <c r="J630" t="s">
        <v>112</v>
      </c>
    </row>
    <row r="631" spans="1:10" x14ac:dyDescent="0.25">
      <c r="A631" t="s">
        <v>772</v>
      </c>
      <c r="B631" t="s">
        <v>31</v>
      </c>
      <c r="C631">
        <v>72.27</v>
      </c>
      <c r="D631" t="s">
        <v>264</v>
      </c>
      <c r="E631" s="1">
        <v>45964</v>
      </c>
      <c r="F631" s="1">
        <v>45973</v>
      </c>
      <c r="G631" s="1">
        <v>45971</v>
      </c>
      <c r="H631" t="s">
        <v>33</v>
      </c>
      <c r="I631">
        <v>5</v>
      </c>
      <c r="J631" t="s">
        <v>41</v>
      </c>
    </row>
    <row r="632" spans="1:10" x14ac:dyDescent="0.25">
      <c r="A632" t="s">
        <v>773</v>
      </c>
      <c r="B632" t="s">
        <v>76</v>
      </c>
      <c r="C632">
        <v>49.83</v>
      </c>
      <c r="D632" t="s">
        <v>97</v>
      </c>
      <c r="E632" s="1">
        <v>45964</v>
      </c>
      <c r="F632" s="1">
        <v>45974</v>
      </c>
      <c r="H632" t="s">
        <v>63</v>
      </c>
      <c r="I632">
        <v>3</v>
      </c>
      <c r="J632" t="s">
        <v>55</v>
      </c>
    </row>
    <row r="633" spans="1:10" x14ac:dyDescent="0.25">
      <c r="A633" t="s">
        <v>774</v>
      </c>
      <c r="B633" t="s">
        <v>31</v>
      </c>
      <c r="C633">
        <v>20.79</v>
      </c>
      <c r="D633" t="s">
        <v>62</v>
      </c>
      <c r="E633" s="1">
        <v>45965</v>
      </c>
      <c r="F633" s="1">
        <v>45973</v>
      </c>
      <c r="H633" t="s">
        <v>63</v>
      </c>
      <c r="I633">
        <v>3</v>
      </c>
      <c r="J633" t="s">
        <v>146</v>
      </c>
    </row>
    <row r="634" spans="1:10" x14ac:dyDescent="0.25">
      <c r="A634" t="s">
        <v>775</v>
      </c>
      <c r="B634" t="s">
        <v>61</v>
      </c>
      <c r="C634">
        <v>17.5</v>
      </c>
      <c r="D634" t="s">
        <v>40</v>
      </c>
      <c r="E634" s="1">
        <v>45965</v>
      </c>
      <c r="F634" s="1">
        <v>45973</v>
      </c>
      <c r="G634" s="1">
        <v>45970</v>
      </c>
      <c r="H634" t="s">
        <v>33</v>
      </c>
      <c r="I634">
        <v>5</v>
      </c>
      <c r="J634" t="s">
        <v>172</v>
      </c>
    </row>
    <row r="635" spans="1:10" x14ac:dyDescent="0.25">
      <c r="A635" t="s">
        <v>776</v>
      </c>
      <c r="B635" t="s">
        <v>76</v>
      </c>
      <c r="C635">
        <v>60.88</v>
      </c>
      <c r="D635" t="s">
        <v>62</v>
      </c>
      <c r="E635" s="1">
        <v>45965</v>
      </c>
      <c r="F635" s="1">
        <v>45970</v>
      </c>
      <c r="G635" s="1">
        <v>45968</v>
      </c>
      <c r="H635" t="s">
        <v>33</v>
      </c>
      <c r="I635">
        <v>5</v>
      </c>
      <c r="J635" t="s">
        <v>211</v>
      </c>
    </row>
    <row r="636" spans="1:10" x14ac:dyDescent="0.25">
      <c r="A636" t="s">
        <v>777</v>
      </c>
      <c r="B636" t="s">
        <v>76</v>
      </c>
      <c r="C636">
        <v>48.53</v>
      </c>
      <c r="D636" t="s">
        <v>47</v>
      </c>
      <c r="E636" s="1">
        <v>45966</v>
      </c>
      <c r="F636" s="1">
        <v>45973</v>
      </c>
      <c r="G636" s="1">
        <v>45968</v>
      </c>
      <c r="H636" t="s">
        <v>33</v>
      </c>
      <c r="I636">
        <v>4</v>
      </c>
      <c r="J636" t="s">
        <v>119</v>
      </c>
    </row>
    <row r="637" spans="1:10" x14ac:dyDescent="0.25">
      <c r="A637" t="s">
        <v>778</v>
      </c>
      <c r="B637" t="s">
        <v>39</v>
      </c>
      <c r="C637">
        <v>31.37</v>
      </c>
      <c r="D637" t="s">
        <v>99</v>
      </c>
      <c r="E637" s="1">
        <v>45965</v>
      </c>
      <c r="F637" s="1">
        <v>45972</v>
      </c>
      <c r="H637" t="s">
        <v>54</v>
      </c>
      <c r="I637">
        <v>4</v>
      </c>
      <c r="J637" t="s">
        <v>172</v>
      </c>
    </row>
    <row r="638" spans="1:10" x14ac:dyDescent="0.25">
      <c r="A638" t="s">
        <v>779</v>
      </c>
      <c r="B638" t="s">
        <v>39</v>
      </c>
      <c r="C638">
        <v>96.09</v>
      </c>
      <c r="D638" t="s">
        <v>47</v>
      </c>
      <c r="E638" s="1">
        <v>45965</v>
      </c>
      <c r="F638" s="1">
        <v>45971</v>
      </c>
      <c r="G638" s="1">
        <v>45967</v>
      </c>
      <c r="H638" t="s">
        <v>33</v>
      </c>
      <c r="I638">
        <v>5</v>
      </c>
      <c r="J638" t="s">
        <v>127</v>
      </c>
    </row>
    <row r="639" spans="1:10" x14ac:dyDescent="0.25">
      <c r="A639" t="s">
        <v>780</v>
      </c>
      <c r="B639" t="s">
        <v>61</v>
      </c>
      <c r="C639">
        <v>76.599999999999994</v>
      </c>
      <c r="D639" t="s">
        <v>47</v>
      </c>
      <c r="E639" s="1">
        <v>45965</v>
      </c>
      <c r="F639" s="1">
        <v>45970</v>
      </c>
      <c r="G639" s="1">
        <v>45969</v>
      </c>
      <c r="H639" t="s">
        <v>33</v>
      </c>
      <c r="I639">
        <v>4</v>
      </c>
      <c r="J639" t="s">
        <v>41</v>
      </c>
    </row>
    <row r="640" spans="1:10" x14ac:dyDescent="0.25">
      <c r="A640" t="s">
        <v>781</v>
      </c>
      <c r="B640" t="s">
        <v>61</v>
      </c>
      <c r="C640">
        <v>48.24</v>
      </c>
      <c r="D640" t="s">
        <v>32</v>
      </c>
      <c r="E640" s="1">
        <v>45966</v>
      </c>
      <c r="F640" s="1">
        <v>45976</v>
      </c>
      <c r="G640" s="1">
        <v>45970</v>
      </c>
      <c r="H640" t="s">
        <v>33</v>
      </c>
      <c r="I640">
        <v>4</v>
      </c>
      <c r="J640" t="s">
        <v>172</v>
      </c>
    </row>
    <row r="641" spans="1:10" x14ac:dyDescent="0.25">
      <c r="A641" t="s">
        <v>782</v>
      </c>
      <c r="B641" t="s">
        <v>61</v>
      </c>
      <c r="C641">
        <v>20.72</v>
      </c>
      <c r="D641" t="s">
        <v>99</v>
      </c>
      <c r="E641" s="1">
        <v>45966</v>
      </c>
      <c r="F641" s="1">
        <v>45971</v>
      </c>
      <c r="G641" s="1">
        <v>45970</v>
      </c>
      <c r="H641" t="s">
        <v>33</v>
      </c>
      <c r="I641">
        <v>4</v>
      </c>
      <c r="J641" t="s">
        <v>41</v>
      </c>
    </row>
    <row r="642" spans="1:10" x14ac:dyDescent="0.25">
      <c r="A642" t="s">
        <v>783</v>
      </c>
      <c r="B642" t="s">
        <v>39</v>
      </c>
      <c r="C642">
        <v>27.13</v>
      </c>
      <c r="D642" t="s">
        <v>133</v>
      </c>
      <c r="E642" s="1">
        <v>45967</v>
      </c>
      <c r="F642" s="1">
        <v>45972</v>
      </c>
      <c r="G642" s="1">
        <v>45972</v>
      </c>
      <c r="H642" t="s">
        <v>33</v>
      </c>
      <c r="I642">
        <v>5</v>
      </c>
      <c r="J642" t="s">
        <v>84</v>
      </c>
    </row>
    <row r="643" spans="1:10" x14ac:dyDescent="0.25">
      <c r="A643" t="s">
        <v>784</v>
      </c>
      <c r="B643" t="s">
        <v>76</v>
      </c>
      <c r="C643">
        <v>29.76</v>
      </c>
      <c r="D643" t="s">
        <v>99</v>
      </c>
      <c r="E643" s="1">
        <v>45968</v>
      </c>
      <c r="F643" s="1">
        <v>45976</v>
      </c>
      <c r="G643" s="1">
        <v>45970</v>
      </c>
      <c r="H643" t="s">
        <v>33</v>
      </c>
      <c r="I643">
        <v>4</v>
      </c>
      <c r="J643" t="s">
        <v>127</v>
      </c>
    </row>
    <row r="644" spans="1:10" x14ac:dyDescent="0.25">
      <c r="A644" t="s">
        <v>785</v>
      </c>
      <c r="B644" t="s">
        <v>39</v>
      </c>
      <c r="C644">
        <v>63.58</v>
      </c>
      <c r="D644" t="s">
        <v>40</v>
      </c>
      <c r="E644" s="1">
        <v>45970</v>
      </c>
      <c r="F644" s="1">
        <v>45979</v>
      </c>
      <c r="G644" s="1">
        <v>45976</v>
      </c>
      <c r="H644" t="s">
        <v>33</v>
      </c>
      <c r="I644">
        <v>5</v>
      </c>
      <c r="J644" t="s">
        <v>112</v>
      </c>
    </row>
    <row r="645" spans="1:10" x14ac:dyDescent="0.25">
      <c r="A645" t="s">
        <v>786</v>
      </c>
      <c r="B645" t="s">
        <v>76</v>
      </c>
      <c r="C645">
        <v>62.1</v>
      </c>
      <c r="D645" t="s">
        <v>47</v>
      </c>
      <c r="E645" s="1">
        <v>45971</v>
      </c>
      <c r="F645" s="1">
        <v>45976</v>
      </c>
      <c r="G645" s="1">
        <v>45974</v>
      </c>
      <c r="H645" t="s">
        <v>33</v>
      </c>
      <c r="I645">
        <v>5</v>
      </c>
      <c r="J645" t="s">
        <v>134</v>
      </c>
    </row>
    <row r="646" spans="1:10" x14ac:dyDescent="0.25">
      <c r="A646" t="s">
        <v>787</v>
      </c>
      <c r="B646" t="s">
        <v>61</v>
      </c>
      <c r="C646">
        <v>56.6</v>
      </c>
      <c r="D646" t="s">
        <v>47</v>
      </c>
      <c r="E646" s="1">
        <v>45970</v>
      </c>
      <c r="F646" s="1">
        <v>45980</v>
      </c>
      <c r="G646" s="1">
        <v>45977</v>
      </c>
      <c r="H646" t="s">
        <v>33</v>
      </c>
      <c r="I646">
        <v>4</v>
      </c>
      <c r="J646" t="s">
        <v>117</v>
      </c>
    </row>
    <row r="647" spans="1:10" x14ac:dyDescent="0.25">
      <c r="A647" t="s">
        <v>788</v>
      </c>
      <c r="B647" t="s">
        <v>61</v>
      </c>
      <c r="C647">
        <v>85.53</v>
      </c>
      <c r="D647" t="s">
        <v>47</v>
      </c>
      <c r="E647" s="1">
        <v>45971</v>
      </c>
      <c r="F647" s="1">
        <v>45978</v>
      </c>
      <c r="G647" s="1">
        <v>45981</v>
      </c>
      <c r="H647" t="s">
        <v>33</v>
      </c>
      <c r="I647">
        <v>2</v>
      </c>
      <c r="J647" t="s">
        <v>131</v>
      </c>
    </row>
    <row r="648" spans="1:10" x14ac:dyDescent="0.25">
      <c r="A648" t="s">
        <v>789</v>
      </c>
      <c r="B648" t="s">
        <v>39</v>
      </c>
      <c r="C648">
        <v>47.1</v>
      </c>
      <c r="D648" t="s">
        <v>99</v>
      </c>
      <c r="E648" s="1">
        <v>45971</v>
      </c>
      <c r="F648" s="1">
        <v>45981</v>
      </c>
      <c r="G648" s="1">
        <v>45978</v>
      </c>
      <c r="H648" t="s">
        <v>33</v>
      </c>
      <c r="I648">
        <v>4</v>
      </c>
      <c r="J648" t="s">
        <v>127</v>
      </c>
    </row>
    <row r="649" spans="1:10" x14ac:dyDescent="0.25">
      <c r="A649" t="s">
        <v>790</v>
      </c>
      <c r="B649" t="s">
        <v>31</v>
      </c>
      <c r="C649">
        <v>113.96</v>
      </c>
      <c r="D649" t="s">
        <v>157</v>
      </c>
      <c r="E649" s="1">
        <v>45972</v>
      </c>
      <c r="F649" s="1">
        <v>45979</v>
      </c>
      <c r="H649" t="s">
        <v>63</v>
      </c>
      <c r="I649">
        <v>1</v>
      </c>
      <c r="J649" t="s">
        <v>170</v>
      </c>
    </row>
    <row r="650" spans="1:10" x14ac:dyDescent="0.25">
      <c r="A650" t="s">
        <v>791</v>
      </c>
      <c r="B650" t="s">
        <v>39</v>
      </c>
      <c r="C650">
        <v>48.84</v>
      </c>
      <c r="D650" t="s">
        <v>264</v>
      </c>
      <c r="E650" s="1">
        <v>45971</v>
      </c>
      <c r="F650" s="1">
        <v>45976</v>
      </c>
      <c r="G650" s="1">
        <v>45973</v>
      </c>
      <c r="H650" t="s">
        <v>33</v>
      </c>
      <c r="I650">
        <v>5</v>
      </c>
      <c r="J650" t="s">
        <v>127</v>
      </c>
    </row>
    <row r="651" spans="1:10" x14ac:dyDescent="0.25">
      <c r="A651" t="s">
        <v>792</v>
      </c>
      <c r="B651" t="s">
        <v>61</v>
      </c>
      <c r="C651">
        <v>49.56</v>
      </c>
      <c r="D651" t="s">
        <v>99</v>
      </c>
      <c r="E651" s="1">
        <v>45971</v>
      </c>
      <c r="F651" s="1">
        <v>45981</v>
      </c>
      <c r="G651" s="1">
        <v>45974</v>
      </c>
      <c r="H651" t="s">
        <v>33</v>
      </c>
      <c r="I651">
        <v>4</v>
      </c>
      <c r="J651" t="s">
        <v>127</v>
      </c>
    </row>
    <row r="652" spans="1:10" x14ac:dyDescent="0.25">
      <c r="A652" t="s">
        <v>793</v>
      </c>
      <c r="B652" t="s">
        <v>61</v>
      </c>
      <c r="C652">
        <v>100.66</v>
      </c>
      <c r="D652" t="s">
        <v>62</v>
      </c>
      <c r="E652" s="1">
        <v>45972</v>
      </c>
      <c r="F652" s="1">
        <v>45982</v>
      </c>
      <c r="G652" s="1">
        <v>45982</v>
      </c>
      <c r="H652" t="s">
        <v>33</v>
      </c>
      <c r="I652">
        <v>5</v>
      </c>
      <c r="J652" t="s">
        <v>69</v>
      </c>
    </row>
    <row r="653" spans="1:10" x14ac:dyDescent="0.25">
      <c r="A653" t="s">
        <v>794</v>
      </c>
      <c r="B653" t="s">
        <v>31</v>
      </c>
      <c r="C653">
        <v>147.78</v>
      </c>
      <c r="D653" t="s">
        <v>101</v>
      </c>
      <c r="E653" s="1">
        <v>45973</v>
      </c>
      <c r="F653" s="1">
        <v>45982</v>
      </c>
      <c r="G653" s="1">
        <v>45978</v>
      </c>
      <c r="H653" t="s">
        <v>33</v>
      </c>
      <c r="I653">
        <v>5</v>
      </c>
      <c r="J653" t="s">
        <v>134</v>
      </c>
    </row>
    <row r="654" spans="1:10" x14ac:dyDescent="0.25">
      <c r="A654" t="s">
        <v>795</v>
      </c>
      <c r="B654" t="s">
        <v>76</v>
      </c>
      <c r="C654">
        <v>109.65</v>
      </c>
      <c r="D654" t="s">
        <v>32</v>
      </c>
      <c r="E654" s="1">
        <v>45973</v>
      </c>
      <c r="F654" s="1">
        <v>45978</v>
      </c>
      <c r="G654" s="1">
        <v>45976</v>
      </c>
      <c r="H654" t="s">
        <v>33</v>
      </c>
      <c r="I654">
        <v>5</v>
      </c>
      <c r="J654" t="s">
        <v>172</v>
      </c>
    </row>
    <row r="655" spans="1:10" x14ac:dyDescent="0.25">
      <c r="A655" t="s">
        <v>796</v>
      </c>
      <c r="B655" t="s">
        <v>31</v>
      </c>
      <c r="C655">
        <v>51.84</v>
      </c>
      <c r="D655" t="s">
        <v>99</v>
      </c>
      <c r="E655" s="1">
        <v>45973</v>
      </c>
      <c r="F655" s="1">
        <v>45983</v>
      </c>
      <c r="G655" s="1">
        <v>45978</v>
      </c>
      <c r="H655" t="s">
        <v>33</v>
      </c>
      <c r="I655">
        <v>5</v>
      </c>
      <c r="J655" t="s">
        <v>112</v>
      </c>
    </row>
    <row r="656" spans="1:10" x14ac:dyDescent="0.25">
      <c r="A656" t="s">
        <v>797</v>
      </c>
      <c r="B656" t="s">
        <v>61</v>
      </c>
      <c r="C656">
        <v>36.86</v>
      </c>
      <c r="D656" t="s">
        <v>40</v>
      </c>
      <c r="E656" s="1">
        <v>45973</v>
      </c>
      <c r="F656" s="1">
        <v>45979</v>
      </c>
      <c r="G656" s="1">
        <v>45977</v>
      </c>
      <c r="H656" t="s">
        <v>33</v>
      </c>
      <c r="I656">
        <v>4</v>
      </c>
      <c r="J656" t="s">
        <v>166</v>
      </c>
    </row>
    <row r="657" spans="1:10" x14ac:dyDescent="0.25">
      <c r="A657" t="s">
        <v>798</v>
      </c>
      <c r="B657" t="s">
        <v>31</v>
      </c>
      <c r="C657">
        <v>51.13</v>
      </c>
      <c r="D657" t="s">
        <v>62</v>
      </c>
      <c r="E657" s="1">
        <v>45972</v>
      </c>
      <c r="F657" s="1">
        <v>45981</v>
      </c>
      <c r="G657" s="1">
        <v>45977</v>
      </c>
      <c r="H657" t="s">
        <v>33</v>
      </c>
      <c r="I657">
        <v>5</v>
      </c>
      <c r="J657" t="s">
        <v>77</v>
      </c>
    </row>
    <row r="658" spans="1:10" x14ac:dyDescent="0.25">
      <c r="A658" t="s">
        <v>799</v>
      </c>
      <c r="B658" t="s">
        <v>76</v>
      </c>
      <c r="C658">
        <v>45.29</v>
      </c>
      <c r="D658" t="s">
        <v>47</v>
      </c>
      <c r="E658" s="1">
        <v>45972</v>
      </c>
      <c r="F658" s="1">
        <v>45981</v>
      </c>
      <c r="H658" t="s">
        <v>54</v>
      </c>
      <c r="I658">
        <v>4</v>
      </c>
      <c r="J658" t="s">
        <v>77</v>
      </c>
    </row>
    <row r="659" spans="1:10" x14ac:dyDescent="0.25">
      <c r="A659" t="s">
        <v>800</v>
      </c>
      <c r="B659" t="s">
        <v>39</v>
      </c>
      <c r="C659">
        <v>18.73</v>
      </c>
      <c r="D659" t="s">
        <v>40</v>
      </c>
      <c r="E659" s="1">
        <v>45974</v>
      </c>
      <c r="F659" s="1">
        <v>45979</v>
      </c>
      <c r="G659" s="1">
        <v>45980</v>
      </c>
      <c r="H659" t="s">
        <v>33</v>
      </c>
      <c r="I659">
        <v>3</v>
      </c>
      <c r="J659" t="s">
        <v>352</v>
      </c>
    </row>
    <row r="660" spans="1:10" x14ac:dyDescent="0.25">
      <c r="A660" t="s">
        <v>801</v>
      </c>
      <c r="B660" t="s">
        <v>61</v>
      </c>
      <c r="C660">
        <v>54.46</v>
      </c>
      <c r="D660" t="s">
        <v>40</v>
      </c>
      <c r="E660" s="1">
        <v>45974</v>
      </c>
      <c r="F660" s="1">
        <v>45979</v>
      </c>
      <c r="G660" s="1">
        <v>45976</v>
      </c>
      <c r="H660" t="s">
        <v>33</v>
      </c>
      <c r="I660">
        <v>4</v>
      </c>
      <c r="J660" t="s">
        <v>134</v>
      </c>
    </row>
    <row r="661" spans="1:10" x14ac:dyDescent="0.25">
      <c r="A661" t="s">
        <v>802</v>
      </c>
      <c r="B661" t="s">
        <v>39</v>
      </c>
      <c r="C661">
        <v>56.32</v>
      </c>
      <c r="D661" t="s">
        <v>150</v>
      </c>
      <c r="E661" s="1">
        <v>45976</v>
      </c>
      <c r="F661" s="1">
        <v>45982</v>
      </c>
      <c r="G661" s="1">
        <v>45984</v>
      </c>
      <c r="H661" t="s">
        <v>33</v>
      </c>
      <c r="I661">
        <v>3</v>
      </c>
      <c r="J661" t="s">
        <v>121</v>
      </c>
    </row>
    <row r="662" spans="1:10" x14ac:dyDescent="0.25">
      <c r="A662" t="s">
        <v>803</v>
      </c>
      <c r="B662" t="s">
        <v>39</v>
      </c>
      <c r="C662">
        <v>20.48</v>
      </c>
      <c r="D662" t="s">
        <v>150</v>
      </c>
      <c r="E662" s="1">
        <v>45977</v>
      </c>
      <c r="F662" s="1">
        <v>45986</v>
      </c>
      <c r="G662" s="1">
        <v>45983</v>
      </c>
      <c r="H662" t="s">
        <v>33</v>
      </c>
      <c r="I662">
        <v>4</v>
      </c>
      <c r="J662" t="s">
        <v>34</v>
      </c>
    </row>
    <row r="663" spans="1:10" x14ac:dyDescent="0.25">
      <c r="A663" t="s">
        <v>804</v>
      </c>
      <c r="B663" t="s">
        <v>39</v>
      </c>
      <c r="C663">
        <v>122.71</v>
      </c>
      <c r="D663" t="s">
        <v>62</v>
      </c>
      <c r="E663" s="1">
        <v>45978</v>
      </c>
      <c r="F663" s="1">
        <v>45986</v>
      </c>
      <c r="G663" s="1">
        <v>45986</v>
      </c>
      <c r="H663" t="s">
        <v>33</v>
      </c>
      <c r="I663">
        <v>5</v>
      </c>
      <c r="J663" t="s">
        <v>34</v>
      </c>
    </row>
    <row r="664" spans="1:10" x14ac:dyDescent="0.25">
      <c r="A664" t="s">
        <v>805</v>
      </c>
      <c r="B664" t="s">
        <v>31</v>
      </c>
      <c r="C664">
        <v>133.06</v>
      </c>
      <c r="D664" t="s">
        <v>53</v>
      </c>
      <c r="E664" s="1">
        <v>45978</v>
      </c>
      <c r="F664" s="1">
        <v>45984</v>
      </c>
      <c r="G664" s="1">
        <v>45989</v>
      </c>
      <c r="H664" t="s">
        <v>33</v>
      </c>
      <c r="I664">
        <v>3</v>
      </c>
      <c r="J664" t="s">
        <v>352</v>
      </c>
    </row>
    <row r="665" spans="1:10" x14ac:dyDescent="0.25">
      <c r="A665" t="s">
        <v>806</v>
      </c>
      <c r="B665" t="s">
        <v>76</v>
      </c>
      <c r="C665">
        <v>52.15</v>
      </c>
      <c r="D665" t="s">
        <v>99</v>
      </c>
      <c r="E665" s="1">
        <v>45978</v>
      </c>
      <c r="F665" s="1">
        <v>45987</v>
      </c>
      <c r="G665" s="1">
        <v>45984</v>
      </c>
      <c r="H665" t="s">
        <v>33</v>
      </c>
      <c r="I665">
        <v>4</v>
      </c>
      <c r="J665" t="s">
        <v>172</v>
      </c>
    </row>
    <row r="666" spans="1:10" x14ac:dyDescent="0.25">
      <c r="A666" t="s">
        <v>807</v>
      </c>
      <c r="B666" t="s">
        <v>31</v>
      </c>
      <c r="C666">
        <v>15.69</v>
      </c>
      <c r="D666" t="s">
        <v>62</v>
      </c>
      <c r="E666" s="1">
        <v>45978</v>
      </c>
      <c r="F666" s="1">
        <v>45984</v>
      </c>
      <c r="G666" s="1">
        <v>45980</v>
      </c>
      <c r="H666" t="s">
        <v>33</v>
      </c>
      <c r="I666">
        <v>4</v>
      </c>
      <c r="J666" t="s">
        <v>48</v>
      </c>
    </row>
    <row r="667" spans="1:10" x14ac:dyDescent="0.25">
      <c r="A667" t="s">
        <v>808</v>
      </c>
      <c r="B667" t="s">
        <v>61</v>
      </c>
      <c r="C667">
        <v>69.72</v>
      </c>
      <c r="D667" t="s">
        <v>99</v>
      </c>
      <c r="E667" s="1">
        <v>45978</v>
      </c>
      <c r="F667" s="1">
        <v>45983</v>
      </c>
      <c r="G667" s="1">
        <v>45983</v>
      </c>
      <c r="H667" t="s">
        <v>33</v>
      </c>
      <c r="I667">
        <v>5</v>
      </c>
      <c r="J667" t="s">
        <v>134</v>
      </c>
    </row>
    <row r="668" spans="1:10" x14ac:dyDescent="0.25">
      <c r="A668" t="s">
        <v>809</v>
      </c>
      <c r="B668" t="s">
        <v>76</v>
      </c>
      <c r="C668">
        <v>47.88</v>
      </c>
      <c r="D668" t="s">
        <v>99</v>
      </c>
      <c r="E668" s="1">
        <v>45980</v>
      </c>
      <c r="F668" s="1">
        <v>45989</v>
      </c>
      <c r="G668" s="1">
        <v>45987</v>
      </c>
      <c r="H668" t="s">
        <v>33</v>
      </c>
      <c r="I668">
        <v>5</v>
      </c>
      <c r="J668" t="s">
        <v>34</v>
      </c>
    </row>
    <row r="669" spans="1:10" x14ac:dyDescent="0.25">
      <c r="A669" t="s">
        <v>810</v>
      </c>
      <c r="B669" t="s">
        <v>61</v>
      </c>
      <c r="C669">
        <v>17.809999999999999</v>
      </c>
      <c r="D669" t="s">
        <v>47</v>
      </c>
      <c r="E669" s="1">
        <v>45979</v>
      </c>
      <c r="F669" s="1">
        <v>45984</v>
      </c>
      <c r="G669" s="1">
        <v>45983</v>
      </c>
      <c r="H669" t="s">
        <v>33</v>
      </c>
      <c r="I669">
        <v>4</v>
      </c>
      <c r="J669" t="s">
        <v>134</v>
      </c>
    </row>
    <row r="670" spans="1:10" x14ac:dyDescent="0.25">
      <c r="A670" t="s">
        <v>811</v>
      </c>
      <c r="B670" t="s">
        <v>76</v>
      </c>
      <c r="C670">
        <v>46.63</v>
      </c>
      <c r="D670" t="s">
        <v>47</v>
      </c>
      <c r="E670" s="1">
        <v>45979</v>
      </c>
      <c r="F670" s="1">
        <v>45988</v>
      </c>
      <c r="G670" s="1">
        <v>45983</v>
      </c>
      <c r="H670" t="s">
        <v>33</v>
      </c>
      <c r="I670">
        <v>5</v>
      </c>
      <c r="J670" t="s">
        <v>127</v>
      </c>
    </row>
    <row r="671" spans="1:10" x14ac:dyDescent="0.25">
      <c r="A671" t="s">
        <v>812</v>
      </c>
      <c r="B671" t="s">
        <v>61</v>
      </c>
      <c r="C671">
        <v>21.88</v>
      </c>
      <c r="D671" t="s">
        <v>53</v>
      </c>
      <c r="E671" s="1">
        <v>45979</v>
      </c>
      <c r="F671" s="1">
        <v>45985</v>
      </c>
      <c r="G671" s="1">
        <v>45981</v>
      </c>
      <c r="H671" t="s">
        <v>33</v>
      </c>
      <c r="I671">
        <v>4</v>
      </c>
      <c r="J671" t="s">
        <v>166</v>
      </c>
    </row>
    <row r="672" spans="1:10" x14ac:dyDescent="0.25">
      <c r="A672" t="s">
        <v>813</v>
      </c>
      <c r="B672" t="s">
        <v>39</v>
      </c>
      <c r="C672">
        <v>27.99</v>
      </c>
      <c r="D672" t="s">
        <v>157</v>
      </c>
      <c r="E672" s="1">
        <v>45980</v>
      </c>
      <c r="F672" s="1">
        <v>45986</v>
      </c>
      <c r="G672" s="1">
        <v>45985</v>
      </c>
      <c r="H672" t="s">
        <v>33</v>
      </c>
      <c r="I672">
        <v>4</v>
      </c>
      <c r="J672" t="s">
        <v>41</v>
      </c>
    </row>
    <row r="673" spans="1:10" x14ac:dyDescent="0.25">
      <c r="A673" t="s">
        <v>814</v>
      </c>
      <c r="B673" t="s">
        <v>61</v>
      </c>
      <c r="C673">
        <v>80.09</v>
      </c>
      <c r="D673" t="s">
        <v>150</v>
      </c>
      <c r="E673" s="1">
        <v>45981</v>
      </c>
      <c r="F673" s="1">
        <v>45986</v>
      </c>
      <c r="G673" s="1">
        <v>45984</v>
      </c>
      <c r="H673" t="s">
        <v>33</v>
      </c>
      <c r="I673">
        <v>4</v>
      </c>
      <c r="J673" t="s">
        <v>41</v>
      </c>
    </row>
    <row r="674" spans="1:10" x14ac:dyDescent="0.25">
      <c r="A674" t="s">
        <v>815</v>
      </c>
      <c r="B674" t="s">
        <v>61</v>
      </c>
      <c r="C674">
        <v>136.35</v>
      </c>
      <c r="D674" t="s">
        <v>32</v>
      </c>
      <c r="E674" s="1">
        <v>45981</v>
      </c>
      <c r="F674" s="1">
        <v>45988</v>
      </c>
      <c r="G674" s="1">
        <v>45984</v>
      </c>
      <c r="H674" t="s">
        <v>33</v>
      </c>
      <c r="I674">
        <v>5</v>
      </c>
      <c r="J674" t="s">
        <v>211</v>
      </c>
    </row>
    <row r="675" spans="1:10" x14ac:dyDescent="0.25">
      <c r="A675" t="s">
        <v>816</v>
      </c>
      <c r="B675" t="s">
        <v>31</v>
      </c>
      <c r="C675">
        <v>53.37</v>
      </c>
      <c r="D675" t="s">
        <v>62</v>
      </c>
      <c r="E675" s="1">
        <v>45981</v>
      </c>
      <c r="F675" s="1">
        <v>45987</v>
      </c>
      <c r="G675" s="1">
        <v>45983</v>
      </c>
      <c r="H675" t="s">
        <v>33</v>
      </c>
      <c r="I675">
        <v>4</v>
      </c>
      <c r="J675" t="s">
        <v>69</v>
      </c>
    </row>
    <row r="676" spans="1:10" x14ac:dyDescent="0.25">
      <c r="A676" t="s">
        <v>817</v>
      </c>
      <c r="B676" t="s">
        <v>31</v>
      </c>
      <c r="C676">
        <v>107.65</v>
      </c>
      <c r="D676" t="s">
        <v>47</v>
      </c>
      <c r="E676" s="1">
        <v>45983</v>
      </c>
      <c r="F676" s="1">
        <v>45990</v>
      </c>
      <c r="G676" s="1">
        <v>45994</v>
      </c>
      <c r="H676" t="s">
        <v>33</v>
      </c>
      <c r="I676">
        <v>3</v>
      </c>
      <c r="J676" t="s">
        <v>352</v>
      </c>
    </row>
    <row r="677" spans="1:10" x14ac:dyDescent="0.25">
      <c r="A677" t="s">
        <v>818</v>
      </c>
      <c r="B677" t="s">
        <v>31</v>
      </c>
      <c r="C677">
        <v>106.05</v>
      </c>
      <c r="D677" t="s">
        <v>157</v>
      </c>
      <c r="E677" s="1">
        <v>45983</v>
      </c>
      <c r="F677" s="1">
        <v>45988</v>
      </c>
      <c r="G677" s="1">
        <v>45986</v>
      </c>
      <c r="H677" t="s">
        <v>33</v>
      </c>
      <c r="I677">
        <v>5</v>
      </c>
      <c r="J677" t="s">
        <v>172</v>
      </c>
    </row>
    <row r="678" spans="1:10" x14ac:dyDescent="0.25">
      <c r="A678" t="s">
        <v>819</v>
      </c>
      <c r="B678" t="s">
        <v>39</v>
      </c>
      <c r="C678">
        <v>26.14</v>
      </c>
      <c r="D678" t="s">
        <v>40</v>
      </c>
      <c r="E678" s="1">
        <v>45984</v>
      </c>
      <c r="F678" s="1">
        <v>45990</v>
      </c>
      <c r="H678" t="s">
        <v>63</v>
      </c>
      <c r="I678">
        <v>3</v>
      </c>
      <c r="J678" t="s">
        <v>230</v>
      </c>
    </row>
    <row r="679" spans="1:10" x14ac:dyDescent="0.25">
      <c r="A679" t="s">
        <v>820</v>
      </c>
      <c r="B679" t="s">
        <v>76</v>
      </c>
      <c r="C679">
        <v>22.54</v>
      </c>
      <c r="D679" t="s">
        <v>47</v>
      </c>
      <c r="E679" s="1">
        <v>45984</v>
      </c>
      <c r="F679" s="1">
        <v>45989</v>
      </c>
      <c r="G679" s="1">
        <v>45989</v>
      </c>
      <c r="H679" t="s">
        <v>33</v>
      </c>
      <c r="I679">
        <v>5</v>
      </c>
      <c r="J679" t="s">
        <v>127</v>
      </c>
    </row>
    <row r="680" spans="1:10" x14ac:dyDescent="0.25">
      <c r="A680" t="s">
        <v>821</v>
      </c>
      <c r="B680" t="s">
        <v>31</v>
      </c>
      <c r="C680">
        <v>28.21</v>
      </c>
      <c r="D680" t="s">
        <v>62</v>
      </c>
      <c r="E680" s="1">
        <v>45984</v>
      </c>
      <c r="F680" s="1">
        <v>45989</v>
      </c>
      <c r="G680" s="1">
        <v>45986</v>
      </c>
      <c r="H680" t="s">
        <v>33</v>
      </c>
      <c r="I680">
        <v>5</v>
      </c>
      <c r="J680" t="s">
        <v>34</v>
      </c>
    </row>
    <row r="681" spans="1:10" x14ac:dyDescent="0.25">
      <c r="A681" t="s">
        <v>822</v>
      </c>
      <c r="B681" t="s">
        <v>76</v>
      </c>
      <c r="C681">
        <v>59.77</v>
      </c>
      <c r="D681" t="s">
        <v>40</v>
      </c>
      <c r="E681" s="1">
        <v>45985</v>
      </c>
      <c r="F681" s="1">
        <v>45994</v>
      </c>
      <c r="G681" s="1">
        <v>45990</v>
      </c>
      <c r="H681" t="s">
        <v>33</v>
      </c>
      <c r="I681">
        <v>4</v>
      </c>
      <c r="J681" t="s">
        <v>77</v>
      </c>
    </row>
    <row r="682" spans="1:10" x14ac:dyDescent="0.25">
      <c r="A682" t="s">
        <v>823</v>
      </c>
      <c r="B682" t="s">
        <v>76</v>
      </c>
      <c r="C682">
        <v>49.27</v>
      </c>
      <c r="D682" t="s">
        <v>62</v>
      </c>
      <c r="E682" s="1">
        <v>45985</v>
      </c>
      <c r="F682" s="1">
        <v>45991</v>
      </c>
      <c r="G682" s="1">
        <v>45991</v>
      </c>
      <c r="H682" t="s">
        <v>33</v>
      </c>
      <c r="I682">
        <v>5</v>
      </c>
      <c r="J682" t="s">
        <v>172</v>
      </c>
    </row>
    <row r="683" spans="1:10" x14ac:dyDescent="0.25">
      <c r="A683" t="s">
        <v>824</v>
      </c>
      <c r="B683" t="s">
        <v>31</v>
      </c>
      <c r="C683">
        <v>22.43</v>
      </c>
      <c r="D683" t="s">
        <v>97</v>
      </c>
      <c r="E683" s="1">
        <v>45986</v>
      </c>
      <c r="F683" s="1">
        <v>45992</v>
      </c>
      <c r="G683" s="1">
        <v>45989</v>
      </c>
      <c r="H683" t="s">
        <v>33</v>
      </c>
      <c r="I683">
        <v>4</v>
      </c>
      <c r="J683" t="s">
        <v>34</v>
      </c>
    </row>
    <row r="684" spans="1:10" x14ac:dyDescent="0.25">
      <c r="A684" t="s">
        <v>825</v>
      </c>
      <c r="B684" t="s">
        <v>61</v>
      </c>
      <c r="C684">
        <v>52.84</v>
      </c>
      <c r="D684" t="s">
        <v>101</v>
      </c>
      <c r="E684" s="1">
        <v>45986</v>
      </c>
      <c r="F684" s="1">
        <v>45995</v>
      </c>
      <c r="G684" s="1">
        <v>45991</v>
      </c>
      <c r="H684" t="s">
        <v>33</v>
      </c>
      <c r="I684">
        <v>5</v>
      </c>
      <c r="J684" t="s">
        <v>119</v>
      </c>
    </row>
    <row r="685" spans="1:10" x14ac:dyDescent="0.25">
      <c r="A685" t="s">
        <v>826</v>
      </c>
      <c r="B685" t="s">
        <v>31</v>
      </c>
      <c r="C685">
        <v>52.88</v>
      </c>
      <c r="D685" t="s">
        <v>97</v>
      </c>
      <c r="E685" s="1">
        <v>45987</v>
      </c>
      <c r="F685" s="1">
        <v>45996</v>
      </c>
      <c r="H685" t="s">
        <v>54</v>
      </c>
      <c r="I685">
        <v>2</v>
      </c>
      <c r="J685" t="s">
        <v>461</v>
      </c>
    </row>
    <row r="686" spans="1:10" x14ac:dyDescent="0.25">
      <c r="A686" t="s">
        <v>827</v>
      </c>
      <c r="B686" t="s">
        <v>31</v>
      </c>
      <c r="C686">
        <v>137.32</v>
      </c>
      <c r="D686" t="s">
        <v>264</v>
      </c>
      <c r="E686" s="1">
        <v>45986</v>
      </c>
      <c r="F686" s="1">
        <v>45994</v>
      </c>
      <c r="G686" s="1">
        <v>45992</v>
      </c>
      <c r="H686" t="s">
        <v>33</v>
      </c>
      <c r="I686">
        <v>5</v>
      </c>
      <c r="J686" t="s">
        <v>134</v>
      </c>
    </row>
    <row r="687" spans="1:10" x14ac:dyDescent="0.25">
      <c r="A687" t="s">
        <v>828</v>
      </c>
      <c r="B687" t="s">
        <v>31</v>
      </c>
      <c r="C687">
        <v>61.23</v>
      </c>
      <c r="D687" t="s">
        <v>62</v>
      </c>
      <c r="E687" s="1">
        <v>45988</v>
      </c>
      <c r="F687" s="1">
        <v>45998</v>
      </c>
      <c r="G687" s="1">
        <v>45990</v>
      </c>
      <c r="H687" t="s">
        <v>33</v>
      </c>
      <c r="I687">
        <v>4</v>
      </c>
      <c r="J687" t="s">
        <v>119</v>
      </c>
    </row>
    <row r="688" spans="1:10" x14ac:dyDescent="0.25">
      <c r="A688" t="s">
        <v>829</v>
      </c>
      <c r="B688" t="s">
        <v>31</v>
      </c>
      <c r="C688">
        <v>18.53</v>
      </c>
      <c r="D688" t="s">
        <v>97</v>
      </c>
      <c r="E688" s="1">
        <v>45987</v>
      </c>
      <c r="F688" s="1">
        <v>45995</v>
      </c>
      <c r="H688" t="s">
        <v>54</v>
      </c>
      <c r="I688">
        <v>3</v>
      </c>
      <c r="J688" t="s">
        <v>146</v>
      </c>
    </row>
    <row r="689" spans="1:10" x14ac:dyDescent="0.25">
      <c r="A689" t="s">
        <v>830</v>
      </c>
      <c r="B689" t="s">
        <v>61</v>
      </c>
      <c r="C689">
        <v>17.350000000000001</v>
      </c>
      <c r="D689" t="s">
        <v>101</v>
      </c>
      <c r="E689" s="1">
        <v>45988</v>
      </c>
      <c r="F689" s="1">
        <v>45996</v>
      </c>
      <c r="H689" t="s">
        <v>54</v>
      </c>
      <c r="I689">
        <v>3</v>
      </c>
      <c r="J689" t="s">
        <v>405</v>
      </c>
    </row>
    <row r="690" spans="1:10" x14ac:dyDescent="0.25">
      <c r="A690" t="s">
        <v>831</v>
      </c>
      <c r="B690" t="s">
        <v>31</v>
      </c>
      <c r="C690">
        <v>136.69999999999999</v>
      </c>
      <c r="D690" t="s">
        <v>47</v>
      </c>
      <c r="E690" s="1">
        <v>45989</v>
      </c>
      <c r="F690" s="1">
        <v>45995</v>
      </c>
      <c r="H690" t="s">
        <v>161</v>
      </c>
      <c r="I690">
        <v>2</v>
      </c>
      <c r="J690" t="s">
        <v>185</v>
      </c>
    </row>
    <row r="691" spans="1:10" x14ac:dyDescent="0.25">
      <c r="A691" t="s">
        <v>832</v>
      </c>
      <c r="B691" t="s">
        <v>31</v>
      </c>
      <c r="C691">
        <v>25.94</v>
      </c>
      <c r="D691" t="s">
        <v>40</v>
      </c>
      <c r="E691" s="1">
        <v>45990</v>
      </c>
      <c r="F691" s="1">
        <v>45999</v>
      </c>
      <c r="G691" s="1">
        <v>45993</v>
      </c>
      <c r="H691" t="s">
        <v>33</v>
      </c>
      <c r="I691">
        <v>4</v>
      </c>
      <c r="J691" t="s">
        <v>48</v>
      </c>
    </row>
    <row r="692" spans="1:10" x14ac:dyDescent="0.25">
      <c r="A692" t="s">
        <v>833</v>
      </c>
      <c r="B692" t="s">
        <v>39</v>
      </c>
      <c r="C692">
        <v>144.87</v>
      </c>
      <c r="D692" t="s">
        <v>32</v>
      </c>
      <c r="E692" s="1">
        <v>45989</v>
      </c>
      <c r="F692" s="1">
        <v>45994</v>
      </c>
      <c r="G692" s="1">
        <v>45993</v>
      </c>
      <c r="H692" t="s">
        <v>33</v>
      </c>
      <c r="I692">
        <v>4</v>
      </c>
      <c r="J692" t="s">
        <v>112</v>
      </c>
    </row>
    <row r="693" spans="1:10" x14ac:dyDescent="0.25">
      <c r="A693" t="s">
        <v>834</v>
      </c>
      <c r="B693" t="s">
        <v>31</v>
      </c>
      <c r="C693">
        <v>134.85</v>
      </c>
      <c r="D693" t="s">
        <v>62</v>
      </c>
      <c r="E693" s="1">
        <v>45991</v>
      </c>
      <c r="F693" s="1">
        <v>45998</v>
      </c>
      <c r="G693" s="1">
        <v>45997</v>
      </c>
      <c r="H693" t="s">
        <v>33</v>
      </c>
      <c r="I693">
        <v>4</v>
      </c>
      <c r="J693" t="s">
        <v>211</v>
      </c>
    </row>
    <row r="694" spans="1:10" x14ac:dyDescent="0.25">
      <c r="A694" t="s">
        <v>835</v>
      </c>
      <c r="B694" t="s">
        <v>76</v>
      </c>
      <c r="C694">
        <v>146.4</v>
      </c>
      <c r="D694" t="s">
        <v>47</v>
      </c>
      <c r="E694" s="1">
        <v>45991</v>
      </c>
      <c r="F694" s="1">
        <v>45997</v>
      </c>
      <c r="G694" s="1">
        <v>45994</v>
      </c>
      <c r="H694" t="s">
        <v>33</v>
      </c>
      <c r="I694">
        <v>4</v>
      </c>
      <c r="J694" t="s">
        <v>79</v>
      </c>
    </row>
    <row r="695" spans="1:10" x14ac:dyDescent="0.25">
      <c r="A695" t="s">
        <v>836</v>
      </c>
      <c r="B695" t="s">
        <v>31</v>
      </c>
      <c r="C695">
        <v>15.21</v>
      </c>
      <c r="D695" t="s">
        <v>264</v>
      </c>
      <c r="E695" s="1">
        <v>45991</v>
      </c>
      <c r="F695" s="1">
        <v>46001</v>
      </c>
      <c r="H695" t="s">
        <v>54</v>
      </c>
      <c r="I695">
        <v>2</v>
      </c>
      <c r="J695" t="s">
        <v>461</v>
      </c>
    </row>
    <row r="696" spans="1:10" x14ac:dyDescent="0.25">
      <c r="A696" t="s">
        <v>837</v>
      </c>
      <c r="B696" t="s">
        <v>76</v>
      </c>
      <c r="C696">
        <v>146.83000000000001</v>
      </c>
      <c r="D696" t="s">
        <v>97</v>
      </c>
      <c r="E696" s="1">
        <v>45992</v>
      </c>
      <c r="F696" s="1">
        <v>46001</v>
      </c>
      <c r="G696" s="1">
        <v>45997</v>
      </c>
      <c r="H696" t="s">
        <v>33</v>
      </c>
      <c r="I696">
        <v>5</v>
      </c>
      <c r="J696" t="s">
        <v>112</v>
      </c>
    </row>
    <row r="697" spans="1:10" x14ac:dyDescent="0.25">
      <c r="A697" t="s">
        <v>838</v>
      </c>
      <c r="B697" t="s">
        <v>61</v>
      </c>
      <c r="C697">
        <v>126.44</v>
      </c>
      <c r="D697" t="s">
        <v>40</v>
      </c>
      <c r="E697" s="1">
        <v>45992</v>
      </c>
      <c r="F697" s="1">
        <v>45998</v>
      </c>
      <c r="G697" s="1">
        <v>45994</v>
      </c>
      <c r="H697" t="s">
        <v>33</v>
      </c>
      <c r="I697">
        <v>5</v>
      </c>
      <c r="J697" t="s">
        <v>211</v>
      </c>
    </row>
    <row r="698" spans="1:10" x14ac:dyDescent="0.25">
      <c r="A698" t="s">
        <v>839</v>
      </c>
      <c r="B698" t="s">
        <v>61</v>
      </c>
      <c r="C698">
        <v>26.02</v>
      </c>
      <c r="D698" t="s">
        <v>101</v>
      </c>
      <c r="E698" s="1">
        <v>45993</v>
      </c>
      <c r="F698" s="1">
        <v>46002</v>
      </c>
      <c r="G698" s="1">
        <v>46003</v>
      </c>
      <c r="H698" t="s">
        <v>33</v>
      </c>
      <c r="I698">
        <v>3</v>
      </c>
      <c r="J698" t="s">
        <v>405</v>
      </c>
    </row>
    <row r="699" spans="1:10" x14ac:dyDescent="0.25">
      <c r="A699" t="s">
        <v>840</v>
      </c>
      <c r="B699" t="s">
        <v>76</v>
      </c>
      <c r="C699">
        <v>26.02</v>
      </c>
      <c r="D699" t="s">
        <v>47</v>
      </c>
      <c r="E699" s="1">
        <v>45992</v>
      </c>
      <c r="F699" s="1">
        <v>46001</v>
      </c>
      <c r="H699" t="s">
        <v>54</v>
      </c>
      <c r="I699">
        <v>3</v>
      </c>
      <c r="J699" t="s">
        <v>352</v>
      </c>
    </row>
    <row r="700" spans="1:10" x14ac:dyDescent="0.25">
      <c r="A700" t="s">
        <v>841</v>
      </c>
      <c r="B700" t="s">
        <v>61</v>
      </c>
      <c r="C700">
        <v>137.71</v>
      </c>
      <c r="D700" t="s">
        <v>97</v>
      </c>
      <c r="E700" s="1">
        <v>45992</v>
      </c>
      <c r="F700" s="1">
        <v>46000</v>
      </c>
      <c r="H700" t="s">
        <v>161</v>
      </c>
      <c r="I700">
        <v>1</v>
      </c>
      <c r="J700" t="s">
        <v>185</v>
      </c>
    </row>
    <row r="701" spans="1:10" x14ac:dyDescent="0.25">
      <c r="A701" t="s">
        <v>842</v>
      </c>
      <c r="B701" t="s">
        <v>76</v>
      </c>
      <c r="C701">
        <v>99.86</v>
      </c>
      <c r="D701" t="s">
        <v>99</v>
      </c>
      <c r="E701" s="1">
        <v>45992</v>
      </c>
      <c r="F701" s="1">
        <v>46000</v>
      </c>
      <c r="G701" s="1">
        <v>45998</v>
      </c>
      <c r="H701" t="s">
        <v>33</v>
      </c>
      <c r="I701">
        <v>5</v>
      </c>
      <c r="J701" t="s">
        <v>112</v>
      </c>
    </row>
    <row r="702" spans="1:10" x14ac:dyDescent="0.25">
      <c r="A702" t="s">
        <v>843</v>
      </c>
      <c r="B702" t="s">
        <v>76</v>
      </c>
      <c r="C702">
        <v>105.04</v>
      </c>
      <c r="D702" t="s">
        <v>126</v>
      </c>
      <c r="E702" s="1">
        <v>45993</v>
      </c>
      <c r="F702" s="1">
        <v>46003</v>
      </c>
      <c r="G702" s="1">
        <v>45995</v>
      </c>
      <c r="H702" t="s">
        <v>33</v>
      </c>
      <c r="I702">
        <v>4</v>
      </c>
      <c r="J702" t="s">
        <v>48</v>
      </c>
    </row>
    <row r="703" spans="1:10" x14ac:dyDescent="0.25">
      <c r="A703" t="s">
        <v>844</v>
      </c>
      <c r="B703" t="s">
        <v>76</v>
      </c>
      <c r="C703">
        <v>23.95</v>
      </c>
      <c r="D703" t="s">
        <v>264</v>
      </c>
      <c r="E703" s="1">
        <v>45993</v>
      </c>
      <c r="F703" s="1">
        <v>46002</v>
      </c>
      <c r="H703" t="s">
        <v>54</v>
      </c>
      <c r="I703">
        <v>3</v>
      </c>
      <c r="J703" t="s">
        <v>230</v>
      </c>
    </row>
    <row r="704" spans="1:10" x14ac:dyDescent="0.25">
      <c r="A704" t="s">
        <v>845</v>
      </c>
      <c r="B704" t="s">
        <v>39</v>
      </c>
      <c r="C704">
        <v>24.21</v>
      </c>
      <c r="D704" t="s">
        <v>157</v>
      </c>
      <c r="E704" s="1">
        <v>45994</v>
      </c>
      <c r="F704" s="1">
        <v>45999</v>
      </c>
      <c r="G704" s="1">
        <v>45996</v>
      </c>
      <c r="H704" t="s">
        <v>33</v>
      </c>
      <c r="I704">
        <v>5</v>
      </c>
      <c r="J704" t="s">
        <v>127</v>
      </c>
    </row>
    <row r="705" spans="1:10" x14ac:dyDescent="0.25">
      <c r="A705" t="s">
        <v>846</v>
      </c>
      <c r="B705" t="s">
        <v>61</v>
      </c>
      <c r="C705">
        <v>29.71</v>
      </c>
      <c r="D705" t="s">
        <v>40</v>
      </c>
      <c r="E705" s="1">
        <v>45994</v>
      </c>
      <c r="F705" s="1">
        <v>45999</v>
      </c>
      <c r="G705" s="1">
        <v>45998</v>
      </c>
      <c r="H705" t="s">
        <v>33</v>
      </c>
      <c r="I705">
        <v>4</v>
      </c>
      <c r="J705" t="s">
        <v>127</v>
      </c>
    </row>
    <row r="706" spans="1:10" x14ac:dyDescent="0.25">
      <c r="A706" t="s">
        <v>847</v>
      </c>
      <c r="B706" t="s">
        <v>31</v>
      </c>
      <c r="C706">
        <v>112.79</v>
      </c>
      <c r="D706" t="s">
        <v>97</v>
      </c>
      <c r="E706" s="1">
        <v>45994</v>
      </c>
      <c r="F706" s="1">
        <v>45999</v>
      </c>
      <c r="G706" s="1">
        <v>45999</v>
      </c>
      <c r="H706" t="s">
        <v>33</v>
      </c>
      <c r="I706">
        <v>4</v>
      </c>
      <c r="J706" t="s">
        <v>79</v>
      </c>
    </row>
    <row r="707" spans="1:10" x14ac:dyDescent="0.25">
      <c r="A707" t="s">
        <v>848</v>
      </c>
      <c r="B707" t="s">
        <v>31</v>
      </c>
      <c r="C707">
        <v>91.68</v>
      </c>
      <c r="D707" t="s">
        <v>62</v>
      </c>
      <c r="E707" s="1">
        <v>45994</v>
      </c>
      <c r="F707" s="1">
        <v>46004</v>
      </c>
      <c r="H707" t="s">
        <v>54</v>
      </c>
      <c r="I707">
        <v>2</v>
      </c>
      <c r="J707" t="s">
        <v>180</v>
      </c>
    </row>
    <row r="708" spans="1:10" x14ac:dyDescent="0.25">
      <c r="A708" t="s">
        <v>849</v>
      </c>
      <c r="B708" t="s">
        <v>61</v>
      </c>
      <c r="C708">
        <v>18.54</v>
      </c>
      <c r="D708" t="s">
        <v>101</v>
      </c>
      <c r="E708" s="1">
        <v>45994</v>
      </c>
      <c r="F708" s="1">
        <v>46003</v>
      </c>
      <c r="G708" s="1">
        <v>45996</v>
      </c>
      <c r="H708" t="s">
        <v>33</v>
      </c>
      <c r="I708">
        <v>5</v>
      </c>
      <c r="J708" t="s">
        <v>41</v>
      </c>
    </row>
    <row r="709" spans="1:10" x14ac:dyDescent="0.25">
      <c r="A709" t="s">
        <v>850</v>
      </c>
      <c r="B709" t="s">
        <v>61</v>
      </c>
      <c r="C709">
        <v>62.14</v>
      </c>
      <c r="D709" t="s">
        <v>150</v>
      </c>
      <c r="E709" s="1">
        <v>45995</v>
      </c>
      <c r="F709" s="1">
        <v>46005</v>
      </c>
      <c r="G709" s="1">
        <v>46003</v>
      </c>
      <c r="H709" t="s">
        <v>33</v>
      </c>
      <c r="I709">
        <v>4</v>
      </c>
      <c r="J709" t="s">
        <v>84</v>
      </c>
    </row>
    <row r="710" spans="1:10" x14ac:dyDescent="0.25">
      <c r="A710" t="s">
        <v>851</v>
      </c>
      <c r="B710" t="s">
        <v>61</v>
      </c>
      <c r="C710">
        <v>95.75</v>
      </c>
      <c r="D710" t="s">
        <v>83</v>
      </c>
      <c r="E710" s="1">
        <v>45996</v>
      </c>
      <c r="F710" s="1">
        <v>46003</v>
      </c>
      <c r="G710" s="1">
        <v>46003</v>
      </c>
      <c r="H710" t="s">
        <v>33</v>
      </c>
      <c r="I710">
        <v>4</v>
      </c>
      <c r="J710" t="s">
        <v>48</v>
      </c>
    </row>
    <row r="711" spans="1:10" x14ac:dyDescent="0.25">
      <c r="A711" t="s">
        <v>852</v>
      </c>
      <c r="B711" t="s">
        <v>76</v>
      </c>
      <c r="C711">
        <v>33.18</v>
      </c>
      <c r="D711" t="s">
        <v>97</v>
      </c>
      <c r="E711" s="1">
        <v>45996</v>
      </c>
      <c r="F711" s="1">
        <v>46005</v>
      </c>
      <c r="G711" s="1">
        <v>45998</v>
      </c>
      <c r="H711" t="s">
        <v>33</v>
      </c>
      <c r="I711">
        <v>4</v>
      </c>
      <c r="J711" t="s">
        <v>41</v>
      </c>
    </row>
    <row r="712" spans="1:10" x14ac:dyDescent="0.25">
      <c r="A712" t="s">
        <v>853</v>
      </c>
      <c r="B712" t="s">
        <v>31</v>
      </c>
      <c r="C712">
        <v>38.119999999999997</v>
      </c>
      <c r="D712" t="s">
        <v>62</v>
      </c>
      <c r="E712" s="1">
        <v>45996</v>
      </c>
      <c r="F712" s="1">
        <v>46001</v>
      </c>
      <c r="G712" s="1">
        <v>45998</v>
      </c>
      <c r="H712" t="s">
        <v>33</v>
      </c>
      <c r="I712">
        <v>5</v>
      </c>
      <c r="J712" t="s">
        <v>172</v>
      </c>
    </row>
    <row r="713" spans="1:10" x14ac:dyDescent="0.25">
      <c r="A713" t="s">
        <v>854</v>
      </c>
      <c r="B713" t="s">
        <v>76</v>
      </c>
      <c r="C713">
        <v>20.260000000000002</v>
      </c>
      <c r="D713" t="s">
        <v>99</v>
      </c>
      <c r="E713" s="1">
        <v>45998</v>
      </c>
      <c r="F713" s="1">
        <v>46006</v>
      </c>
      <c r="G713" s="1">
        <v>46005</v>
      </c>
      <c r="H713" t="s">
        <v>33</v>
      </c>
      <c r="I713">
        <v>4</v>
      </c>
      <c r="J713" t="s">
        <v>34</v>
      </c>
    </row>
    <row r="714" spans="1:10" x14ac:dyDescent="0.25">
      <c r="A714" t="s">
        <v>855</v>
      </c>
      <c r="B714" t="s">
        <v>31</v>
      </c>
      <c r="C714">
        <v>28.24</v>
      </c>
      <c r="D714" t="s">
        <v>157</v>
      </c>
      <c r="E714" s="1">
        <v>45998</v>
      </c>
      <c r="F714" s="1">
        <v>46003</v>
      </c>
      <c r="G714" s="1">
        <v>46000</v>
      </c>
      <c r="H714" t="s">
        <v>33</v>
      </c>
      <c r="I714">
        <v>5</v>
      </c>
      <c r="J714" t="s">
        <v>119</v>
      </c>
    </row>
    <row r="715" spans="1:10" x14ac:dyDescent="0.25">
      <c r="A715" t="s">
        <v>856</v>
      </c>
      <c r="B715" t="s">
        <v>61</v>
      </c>
      <c r="C715">
        <v>66.349999999999994</v>
      </c>
      <c r="D715" t="s">
        <v>40</v>
      </c>
      <c r="E715" s="1">
        <v>46000</v>
      </c>
      <c r="F715" s="1">
        <v>46009</v>
      </c>
      <c r="G715" s="1">
        <v>46006</v>
      </c>
      <c r="H715" t="s">
        <v>33</v>
      </c>
      <c r="I715">
        <v>5</v>
      </c>
      <c r="J715" t="s">
        <v>117</v>
      </c>
    </row>
    <row r="716" spans="1:10" x14ac:dyDescent="0.25">
      <c r="A716" t="s">
        <v>857</v>
      </c>
      <c r="B716" t="s">
        <v>76</v>
      </c>
      <c r="C716">
        <v>17.73</v>
      </c>
      <c r="D716" t="s">
        <v>97</v>
      </c>
      <c r="E716" s="1">
        <v>46000</v>
      </c>
      <c r="F716" s="1">
        <v>46006</v>
      </c>
      <c r="G716" s="1">
        <v>46003</v>
      </c>
      <c r="H716" t="s">
        <v>33</v>
      </c>
      <c r="I716">
        <v>5</v>
      </c>
      <c r="J716" t="s">
        <v>172</v>
      </c>
    </row>
    <row r="717" spans="1:10" x14ac:dyDescent="0.25">
      <c r="A717" t="s">
        <v>858</v>
      </c>
      <c r="B717" t="s">
        <v>39</v>
      </c>
      <c r="C717">
        <v>113.72</v>
      </c>
      <c r="D717" t="s">
        <v>62</v>
      </c>
      <c r="E717" s="1">
        <v>45999</v>
      </c>
      <c r="F717" s="1">
        <v>46005</v>
      </c>
      <c r="G717" s="1">
        <v>46002</v>
      </c>
      <c r="H717" t="s">
        <v>33</v>
      </c>
      <c r="I717">
        <v>5</v>
      </c>
      <c r="J717" t="s">
        <v>127</v>
      </c>
    </row>
    <row r="718" spans="1:10" x14ac:dyDescent="0.25">
      <c r="A718" t="s">
        <v>859</v>
      </c>
      <c r="B718" t="s">
        <v>31</v>
      </c>
      <c r="C718">
        <v>27.92</v>
      </c>
      <c r="D718" t="s">
        <v>99</v>
      </c>
      <c r="E718" s="1">
        <v>46000</v>
      </c>
      <c r="F718" s="1">
        <v>46008</v>
      </c>
      <c r="G718" s="1">
        <v>46002</v>
      </c>
      <c r="H718" t="s">
        <v>33</v>
      </c>
      <c r="I718">
        <v>4</v>
      </c>
      <c r="J718" t="s">
        <v>79</v>
      </c>
    </row>
    <row r="719" spans="1:10" x14ac:dyDescent="0.25">
      <c r="A719" t="s">
        <v>860</v>
      </c>
      <c r="B719" t="s">
        <v>76</v>
      </c>
      <c r="C719">
        <v>15.63</v>
      </c>
      <c r="D719" t="s">
        <v>62</v>
      </c>
      <c r="E719" s="1">
        <v>46001</v>
      </c>
      <c r="F719" s="1">
        <v>46009</v>
      </c>
      <c r="G719" s="1">
        <v>46006</v>
      </c>
      <c r="H719" t="s">
        <v>33</v>
      </c>
      <c r="I719">
        <v>4</v>
      </c>
      <c r="J719" t="s">
        <v>41</v>
      </c>
    </row>
    <row r="720" spans="1:10" x14ac:dyDescent="0.25">
      <c r="A720" t="s">
        <v>861</v>
      </c>
      <c r="B720" t="s">
        <v>39</v>
      </c>
      <c r="C720">
        <v>20.11</v>
      </c>
      <c r="D720" t="s">
        <v>68</v>
      </c>
      <c r="E720" s="1">
        <v>46002</v>
      </c>
      <c r="F720" s="1">
        <v>46010</v>
      </c>
      <c r="G720" s="1">
        <v>46007</v>
      </c>
      <c r="H720" t="s">
        <v>33</v>
      </c>
      <c r="I720">
        <v>4</v>
      </c>
      <c r="J720" t="s">
        <v>84</v>
      </c>
    </row>
    <row r="721" spans="1:10" x14ac:dyDescent="0.25">
      <c r="A721" t="s">
        <v>862</v>
      </c>
      <c r="B721" t="s">
        <v>31</v>
      </c>
      <c r="C721">
        <v>25.94</v>
      </c>
      <c r="D721" t="s">
        <v>97</v>
      </c>
      <c r="E721" s="1">
        <v>46002</v>
      </c>
      <c r="F721" s="1">
        <v>46009</v>
      </c>
      <c r="G721" s="1">
        <v>46011</v>
      </c>
      <c r="H721" t="s">
        <v>33</v>
      </c>
      <c r="I721">
        <v>1</v>
      </c>
      <c r="J721" t="s">
        <v>170</v>
      </c>
    </row>
    <row r="722" spans="1:10" x14ac:dyDescent="0.25">
      <c r="A722" t="s">
        <v>863</v>
      </c>
      <c r="B722" t="s">
        <v>39</v>
      </c>
      <c r="C722">
        <v>30.45</v>
      </c>
      <c r="D722" t="s">
        <v>47</v>
      </c>
      <c r="E722" s="1">
        <v>46003</v>
      </c>
      <c r="F722" s="1">
        <v>46008</v>
      </c>
      <c r="G722" s="1">
        <v>46007</v>
      </c>
      <c r="H722" t="s">
        <v>33</v>
      </c>
      <c r="I722">
        <v>4</v>
      </c>
      <c r="J722" t="s">
        <v>172</v>
      </c>
    </row>
    <row r="723" spans="1:10" x14ac:dyDescent="0.25">
      <c r="A723" t="s">
        <v>864</v>
      </c>
      <c r="B723" t="s">
        <v>76</v>
      </c>
      <c r="C723">
        <v>30.33</v>
      </c>
      <c r="D723" t="s">
        <v>157</v>
      </c>
      <c r="E723" s="1">
        <v>46003</v>
      </c>
      <c r="F723" s="1">
        <v>46009</v>
      </c>
      <c r="G723" s="1">
        <v>46007</v>
      </c>
      <c r="H723" t="s">
        <v>33</v>
      </c>
      <c r="I723">
        <v>5</v>
      </c>
      <c r="J723" t="s">
        <v>41</v>
      </c>
    </row>
    <row r="724" spans="1:10" x14ac:dyDescent="0.25">
      <c r="A724" t="s">
        <v>865</v>
      </c>
      <c r="B724" t="s">
        <v>76</v>
      </c>
      <c r="C724">
        <v>119.72</v>
      </c>
      <c r="D724" t="s">
        <v>264</v>
      </c>
      <c r="E724" s="1">
        <v>46002</v>
      </c>
      <c r="F724" s="1">
        <v>46008</v>
      </c>
      <c r="G724" s="1">
        <v>46012</v>
      </c>
      <c r="H724" t="s">
        <v>33</v>
      </c>
      <c r="I724">
        <v>2</v>
      </c>
      <c r="J724" t="s">
        <v>153</v>
      </c>
    </row>
    <row r="725" spans="1:10" x14ac:dyDescent="0.25">
      <c r="A725" t="s">
        <v>866</v>
      </c>
      <c r="B725" t="s">
        <v>76</v>
      </c>
      <c r="C725">
        <v>23.5</v>
      </c>
      <c r="D725" t="s">
        <v>62</v>
      </c>
      <c r="E725" s="1">
        <v>46003</v>
      </c>
      <c r="F725" s="1">
        <v>46009</v>
      </c>
      <c r="G725" s="1">
        <v>46008</v>
      </c>
      <c r="H725" t="s">
        <v>33</v>
      </c>
      <c r="I725">
        <v>4</v>
      </c>
      <c r="J725" t="s">
        <v>119</v>
      </c>
    </row>
    <row r="726" spans="1:10" x14ac:dyDescent="0.25">
      <c r="A726" t="s">
        <v>867</v>
      </c>
      <c r="B726" t="s">
        <v>39</v>
      </c>
      <c r="C726">
        <v>22.74</v>
      </c>
      <c r="D726" t="s">
        <v>83</v>
      </c>
      <c r="E726" s="1">
        <v>46005</v>
      </c>
      <c r="F726" s="1">
        <v>46013</v>
      </c>
      <c r="G726" s="1">
        <v>46011</v>
      </c>
      <c r="H726" t="s">
        <v>33</v>
      </c>
      <c r="I726">
        <v>4</v>
      </c>
      <c r="J726" t="s">
        <v>134</v>
      </c>
    </row>
    <row r="727" spans="1:10" x14ac:dyDescent="0.25">
      <c r="A727" t="s">
        <v>868</v>
      </c>
      <c r="B727" t="s">
        <v>61</v>
      </c>
      <c r="C727">
        <v>65.319999999999993</v>
      </c>
      <c r="D727" t="s">
        <v>40</v>
      </c>
      <c r="E727" s="1">
        <v>46006</v>
      </c>
      <c r="F727" s="1">
        <v>46012</v>
      </c>
      <c r="G727" s="1">
        <v>46009</v>
      </c>
      <c r="H727" t="s">
        <v>33</v>
      </c>
      <c r="I727">
        <v>5</v>
      </c>
      <c r="J727" t="s">
        <v>112</v>
      </c>
    </row>
    <row r="728" spans="1:10" x14ac:dyDescent="0.25">
      <c r="A728" t="s">
        <v>869</v>
      </c>
      <c r="B728" t="s">
        <v>61</v>
      </c>
      <c r="C728">
        <v>33.82</v>
      </c>
      <c r="D728" t="s">
        <v>157</v>
      </c>
      <c r="E728" s="1">
        <v>46005</v>
      </c>
      <c r="F728" s="1">
        <v>46010</v>
      </c>
      <c r="G728" s="1">
        <v>46007</v>
      </c>
      <c r="H728" t="s">
        <v>33</v>
      </c>
      <c r="I728">
        <v>5</v>
      </c>
      <c r="J728" t="s">
        <v>127</v>
      </c>
    </row>
    <row r="729" spans="1:10" x14ac:dyDescent="0.25">
      <c r="A729" t="s">
        <v>870</v>
      </c>
      <c r="B729" t="s">
        <v>31</v>
      </c>
      <c r="C729">
        <v>101.84</v>
      </c>
      <c r="D729" t="s">
        <v>40</v>
      </c>
      <c r="E729" s="1">
        <v>46005</v>
      </c>
      <c r="F729" s="1">
        <v>46014</v>
      </c>
      <c r="G729" s="1">
        <v>46007</v>
      </c>
      <c r="H729" t="s">
        <v>33</v>
      </c>
      <c r="I729">
        <v>4</v>
      </c>
      <c r="J729" t="s">
        <v>48</v>
      </c>
    </row>
    <row r="730" spans="1:10" x14ac:dyDescent="0.25">
      <c r="A730" t="s">
        <v>871</v>
      </c>
      <c r="B730" t="s">
        <v>31</v>
      </c>
      <c r="C730">
        <v>17.43</v>
      </c>
      <c r="D730" t="s">
        <v>133</v>
      </c>
      <c r="E730" s="1">
        <v>46006</v>
      </c>
      <c r="F730" s="1">
        <v>46016</v>
      </c>
      <c r="H730" t="s">
        <v>63</v>
      </c>
      <c r="I730">
        <v>3</v>
      </c>
      <c r="J730" t="s">
        <v>230</v>
      </c>
    </row>
    <row r="731" spans="1:10" x14ac:dyDescent="0.25">
      <c r="A731" t="s">
        <v>872</v>
      </c>
      <c r="B731" t="s">
        <v>39</v>
      </c>
      <c r="C731">
        <v>45.49</v>
      </c>
      <c r="D731" t="s">
        <v>62</v>
      </c>
      <c r="E731" s="1">
        <v>46006</v>
      </c>
      <c r="F731" s="1">
        <v>46014</v>
      </c>
      <c r="G731" s="1">
        <v>46009</v>
      </c>
      <c r="H731" t="s">
        <v>33</v>
      </c>
      <c r="I731">
        <v>5</v>
      </c>
      <c r="J731" t="s">
        <v>79</v>
      </c>
    </row>
    <row r="732" spans="1:10" x14ac:dyDescent="0.25">
      <c r="A732" t="s">
        <v>873</v>
      </c>
      <c r="B732" t="s">
        <v>39</v>
      </c>
      <c r="C732">
        <v>45.51</v>
      </c>
      <c r="D732" t="s">
        <v>99</v>
      </c>
      <c r="E732" s="1">
        <v>46007</v>
      </c>
      <c r="F732" s="1">
        <v>46014</v>
      </c>
      <c r="G732" s="1">
        <v>46012</v>
      </c>
      <c r="H732" t="s">
        <v>33</v>
      </c>
      <c r="I732">
        <v>5</v>
      </c>
      <c r="J732" t="s">
        <v>41</v>
      </c>
    </row>
    <row r="733" spans="1:10" x14ac:dyDescent="0.25">
      <c r="A733" t="s">
        <v>874</v>
      </c>
      <c r="B733" t="s">
        <v>61</v>
      </c>
      <c r="C733">
        <v>40.04</v>
      </c>
      <c r="D733" t="s">
        <v>264</v>
      </c>
      <c r="E733" s="1">
        <v>46006</v>
      </c>
      <c r="F733" s="1">
        <v>46013</v>
      </c>
      <c r="H733" t="s">
        <v>54</v>
      </c>
      <c r="I733">
        <v>3</v>
      </c>
      <c r="J733" t="s">
        <v>405</v>
      </c>
    </row>
    <row r="734" spans="1:10" x14ac:dyDescent="0.25">
      <c r="A734" t="s">
        <v>875</v>
      </c>
      <c r="B734" t="s">
        <v>39</v>
      </c>
      <c r="C734">
        <v>51.03</v>
      </c>
      <c r="D734" t="s">
        <v>97</v>
      </c>
      <c r="E734" s="1">
        <v>46008</v>
      </c>
      <c r="F734" s="1">
        <v>46016</v>
      </c>
      <c r="G734" s="1">
        <v>46014</v>
      </c>
      <c r="H734" t="s">
        <v>33</v>
      </c>
      <c r="I734">
        <v>4</v>
      </c>
      <c r="J734" t="s">
        <v>127</v>
      </c>
    </row>
    <row r="735" spans="1:10" x14ac:dyDescent="0.25">
      <c r="A735" t="s">
        <v>876</v>
      </c>
      <c r="B735" t="s">
        <v>76</v>
      </c>
      <c r="C735">
        <v>94.4</v>
      </c>
      <c r="D735" t="s">
        <v>47</v>
      </c>
      <c r="E735" s="1">
        <v>46009</v>
      </c>
      <c r="F735" s="1">
        <v>46015</v>
      </c>
      <c r="G735" s="1">
        <v>46011</v>
      </c>
      <c r="H735" t="s">
        <v>33</v>
      </c>
      <c r="I735">
        <v>4</v>
      </c>
      <c r="J735" t="s">
        <v>119</v>
      </c>
    </row>
    <row r="736" spans="1:10" x14ac:dyDescent="0.25">
      <c r="A736" t="s">
        <v>877</v>
      </c>
      <c r="B736" t="s">
        <v>61</v>
      </c>
      <c r="C736">
        <v>46.46</v>
      </c>
      <c r="D736" t="s">
        <v>99</v>
      </c>
      <c r="E736" s="1">
        <v>46008</v>
      </c>
      <c r="F736" s="1">
        <v>46016</v>
      </c>
      <c r="G736" s="1">
        <v>46011</v>
      </c>
      <c r="H736" t="s">
        <v>33</v>
      </c>
      <c r="I736">
        <v>5</v>
      </c>
      <c r="J736" t="s">
        <v>79</v>
      </c>
    </row>
    <row r="737" spans="1:10" x14ac:dyDescent="0.25">
      <c r="A737" t="s">
        <v>878</v>
      </c>
      <c r="B737" t="s">
        <v>39</v>
      </c>
      <c r="C737">
        <v>25.39</v>
      </c>
      <c r="D737" t="s">
        <v>264</v>
      </c>
      <c r="E737" s="1">
        <v>46008</v>
      </c>
      <c r="F737" s="1">
        <v>46014</v>
      </c>
      <c r="H737" t="s">
        <v>54</v>
      </c>
      <c r="I737">
        <v>3</v>
      </c>
      <c r="J737" t="s">
        <v>121</v>
      </c>
    </row>
    <row r="738" spans="1:10" x14ac:dyDescent="0.25">
      <c r="A738" t="s">
        <v>879</v>
      </c>
      <c r="B738" t="s">
        <v>39</v>
      </c>
      <c r="C738">
        <v>22.49</v>
      </c>
      <c r="D738" t="s">
        <v>62</v>
      </c>
      <c r="E738" s="1">
        <v>46009</v>
      </c>
      <c r="F738" s="1">
        <v>46016</v>
      </c>
      <c r="G738" s="1">
        <v>46019</v>
      </c>
      <c r="H738" t="s">
        <v>33</v>
      </c>
      <c r="I738">
        <v>2</v>
      </c>
      <c r="J738" t="s">
        <v>64</v>
      </c>
    </row>
    <row r="739" spans="1:10" x14ac:dyDescent="0.25">
      <c r="A739" t="s">
        <v>880</v>
      </c>
      <c r="B739" t="s">
        <v>76</v>
      </c>
      <c r="C739">
        <v>18.52</v>
      </c>
      <c r="D739" t="s">
        <v>97</v>
      </c>
      <c r="E739" s="1">
        <v>46009</v>
      </c>
      <c r="F739" s="1">
        <v>46018</v>
      </c>
      <c r="H739" t="s">
        <v>161</v>
      </c>
      <c r="I739">
        <v>1</v>
      </c>
      <c r="J739" t="s">
        <v>153</v>
      </c>
    </row>
    <row r="740" spans="1:10" x14ac:dyDescent="0.25">
      <c r="A740" t="s">
        <v>881</v>
      </c>
      <c r="B740" t="s">
        <v>61</v>
      </c>
      <c r="C740">
        <v>59.92</v>
      </c>
      <c r="D740" t="s">
        <v>47</v>
      </c>
      <c r="E740" s="1">
        <v>46009</v>
      </c>
      <c r="F740" s="1">
        <v>46017</v>
      </c>
      <c r="G740" s="1">
        <v>46021</v>
      </c>
      <c r="H740" t="s">
        <v>33</v>
      </c>
      <c r="I740">
        <v>2</v>
      </c>
      <c r="J740" t="s">
        <v>461</v>
      </c>
    </row>
    <row r="741" spans="1:10" x14ac:dyDescent="0.25">
      <c r="A741" t="s">
        <v>882</v>
      </c>
      <c r="B741" t="s">
        <v>31</v>
      </c>
      <c r="C741">
        <v>35</v>
      </c>
      <c r="D741" t="s">
        <v>47</v>
      </c>
      <c r="E741" s="1">
        <v>46010</v>
      </c>
      <c r="F741" s="1">
        <v>46018</v>
      </c>
      <c r="G741" s="1">
        <v>46018</v>
      </c>
      <c r="H741" t="s">
        <v>33</v>
      </c>
      <c r="I741">
        <v>5</v>
      </c>
      <c r="J741" t="s">
        <v>117</v>
      </c>
    </row>
    <row r="742" spans="1:10" x14ac:dyDescent="0.25">
      <c r="A742" t="s">
        <v>883</v>
      </c>
      <c r="B742" t="s">
        <v>39</v>
      </c>
      <c r="C742">
        <v>115.41</v>
      </c>
      <c r="D742" t="s">
        <v>68</v>
      </c>
      <c r="E742" s="1">
        <v>46011</v>
      </c>
      <c r="F742" s="1">
        <v>46018</v>
      </c>
      <c r="H742" t="s">
        <v>54</v>
      </c>
      <c r="I742">
        <v>4</v>
      </c>
      <c r="J742" t="s">
        <v>112</v>
      </c>
    </row>
    <row r="743" spans="1:10" x14ac:dyDescent="0.25">
      <c r="A743" t="s">
        <v>884</v>
      </c>
      <c r="B743" t="s">
        <v>39</v>
      </c>
      <c r="C743">
        <v>42.91</v>
      </c>
      <c r="D743" t="s">
        <v>47</v>
      </c>
      <c r="E743" s="1">
        <v>46010</v>
      </c>
      <c r="F743" s="1">
        <v>46016</v>
      </c>
      <c r="G743" s="1">
        <v>46014</v>
      </c>
      <c r="H743" t="s">
        <v>33</v>
      </c>
      <c r="I743">
        <v>4</v>
      </c>
      <c r="J743" t="s">
        <v>48</v>
      </c>
    </row>
    <row r="744" spans="1:10" x14ac:dyDescent="0.25">
      <c r="A744" t="s">
        <v>885</v>
      </c>
      <c r="B744" t="s">
        <v>39</v>
      </c>
      <c r="C744">
        <v>49.56</v>
      </c>
      <c r="D744" t="s">
        <v>97</v>
      </c>
      <c r="E744" s="1">
        <v>46010</v>
      </c>
      <c r="F744" s="1">
        <v>46017</v>
      </c>
      <c r="G744" s="1">
        <v>46019</v>
      </c>
      <c r="H744" t="s">
        <v>33</v>
      </c>
      <c r="I744">
        <v>3</v>
      </c>
      <c r="J744" t="s">
        <v>146</v>
      </c>
    </row>
    <row r="745" spans="1:10" x14ac:dyDescent="0.25">
      <c r="A745" t="s">
        <v>886</v>
      </c>
      <c r="B745" t="s">
        <v>31</v>
      </c>
      <c r="C745">
        <v>40.53</v>
      </c>
      <c r="D745" t="s">
        <v>40</v>
      </c>
      <c r="E745" s="1">
        <v>46010</v>
      </c>
      <c r="F745" s="1">
        <v>46017</v>
      </c>
      <c r="G745" s="1">
        <v>46016</v>
      </c>
      <c r="H745" t="s">
        <v>33</v>
      </c>
      <c r="I745">
        <v>5</v>
      </c>
      <c r="J745" t="s">
        <v>119</v>
      </c>
    </row>
    <row r="746" spans="1:10" x14ac:dyDescent="0.25">
      <c r="A746" t="s">
        <v>887</v>
      </c>
      <c r="B746" t="s">
        <v>61</v>
      </c>
      <c r="C746">
        <v>20.32</v>
      </c>
      <c r="D746" t="s">
        <v>150</v>
      </c>
      <c r="E746" s="1">
        <v>46011</v>
      </c>
      <c r="F746" s="1">
        <v>46017</v>
      </c>
      <c r="G746" s="1">
        <v>46017</v>
      </c>
      <c r="H746" t="s">
        <v>33</v>
      </c>
      <c r="I746">
        <v>4</v>
      </c>
      <c r="J746" t="s">
        <v>127</v>
      </c>
    </row>
    <row r="747" spans="1:10" x14ac:dyDescent="0.25">
      <c r="A747" t="s">
        <v>888</v>
      </c>
      <c r="B747" t="s">
        <v>39</v>
      </c>
      <c r="C747">
        <v>24.85</v>
      </c>
      <c r="D747" t="s">
        <v>62</v>
      </c>
      <c r="E747" s="1">
        <v>46011</v>
      </c>
      <c r="F747" s="1">
        <v>46017</v>
      </c>
      <c r="H747" t="s">
        <v>63</v>
      </c>
      <c r="I747">
        <v>1</v>
      </c>
      <c r="J747" t="s">
        <v>102</v>
      </c>
    </row>
    <row r="748" spans="1:10" x14ac:dyDescent="0.25">
      <c r="A748" t="s">
        <v>889</v>
      </c>
      <c r="B748" t="s">
        <v>39</v>
      </c>
      <c r="C748">
        <v>61.59</v>
      </c>
      <c r="D748" t="s">
        <v>150</v>
      </c>
      <c r="E748" s="1">
        <v>46012</v>
      </c>
      <c r="F748" s="1">
        <v>46022</v>
      </c>
      <c r="G748" s="1">
        <v>46021</v>
      </c>
      <c r="H748" t="s">
        <v>33</v>
      </c>
      <c r="I748">
        <v>4</v>
      </c>
      <c r="J748" t="s">
        <v>112</v>
      </c>
    </row>
    <row r="749" spans="1:10" x14ac:dyDescent="0.25">
      <c r="A749" t="s">
        <v>890</v>
      </c>
      <c r="B749" t="s">
        <v>61</v>
      </c>
      <c r="C749">
        <v>58.26</v>
      </c>
      <c r="D749" t="s">
        <v>40</v>
      </c>
      <c r="E749" s="1">
        <v>46012</v>
      </c>
      <c r="F749" s="1">
        <v>46020</v>
      </c>
      <c r="H749" t="s">
        <v>54</v>
      </c>
      <c r="I749">
        <v>4</v>
      </c>
      <c r="J749" t="s">
        <v>172</v>
      </c>
    </row>
    <row r="750" spans="1:10" x14ac:dyDescent="0.25">
      <c r="A750" t="s">
        <v>891</v>
      </c>
      <c r="B750" t="s">
        <v>39</v>
      </c>
      <c r="C750">
        <v>126.47</v>
      </c>
      <c r="D750" t="s">
        <v>62</v>
      </c>
      <c r="E750" s="1">
        <v>46012</v>
      </c>
      <c r="F750" s="1">
        <v>46017</v>
      </c>
      <c r="G750" s="1">
        <v>46016</v>
      </c>
      <c r="H750" t="s">
        <v>33</v>
      </c>
      <c r="I750">
        <v>5</v>
      </c>
      <c r="J750" t="s">
        <v>211</v>
      </c>
    </row>
    <row r="751" spans="1:10" x14ac:dyDescent="0.25">
      <c r="A751" t="s">
        <v>892</v>
      </c>
      <c r="B751" t="s">
        <v>61</v>
      </c>
      <c r="C751">
        <v>20.7</v>
      </c>
      <c r="D751" t="s">
        <v>62</v>
      </c>
      <c r="E751" s="1">
        <v>46011</v>
      </c>
      <c r="F751" s="1">
        <v>46019</v>
      </c>
      <c r="H751" t="s">
        <v>54</v>
      </c>
      <c r="I751">
        <v>4</v>
      </c>
      <c r="J751" t="s">
        <v>172</v>
      </c>
    </row>
    <row r="752" spans="1:10" x14ac:dyDescent="0.25">
      <c r="A752" t="s">
        <v>893</v>
      </c>
      <c r="B752" t="s">
        <v>61</v>
      </c>
      <c r="C752">
        <v>22.56</v>
      </c>
      <c r="D752" t="s">
        <v>97</v>
      </c>
      <c r="E752" s="1">
        <v>46012</v>
      </c>
      <c r="F752" s="1">
        <v>46017</v>
      </c>
      <c r="G752" s="1">
        <v>46016</v>
      </c>
      <c r="H752" t="s">
        <v>33</v>
      </c>
      <c r="I752">
        <v>4</v>
      </c>
      <c r="J752" t="s">
        <v>79</v>
      </c>
    </row>
    <row r="753" spans="1:10" x14ac:dyDescent="0.25">
      <c r="A753" t="s">
        <v>894</v>
      </c>
      <c r="B753" t="s">
        <v>76</v>
      </c>
      <c r="C753">
        <v>16.350000000000001</v>
      </c>
      <c r="D753" t="s">
        <v>62</v>
      </c>
      <c r="E753" s="1">
        <v>46013</v>
      </c>
      <c r="F753" s="1">
        <v>46023</v>
      </c>
      <c r="G753" s="1">
        <v>46017</v>
      </c>
      <c r="H753" t="s">
        <v>33</v>
      </c>
      <c r="I753">
        <v>5</v>
      </c>
      <c r="J753" t="s">
        <v>119</v>
      </c>
    </row>
    <row r="754" spans="1:10" x14ac:dyDescent="0.25">
      <c r="A754" t="s">
        <v>895</v>
      </c>
      <c r="B754" t="s">
        <v>76</v>
      </c>
      <c r="C754">
        <v>28.97</v>
      </c>
      <c r="D754" t="s">
        <v>99</v>
      </c>
      <c r="E754" s="1">
        <v>46013</v>
      </c>
      <c r="F754" s="1">
        <v>46023</v>
      </c>
      <c r="G754" s="1">
        <v>46028</v>
      </c>
      <c r="H754" t="s">
        <v>33</v>
      </c>
      <c r="I754">
        <v>2</v>
      </c>
      <c r="J754" t="s">
        <v>185</v>
      </c>
    </row>
    <row r="755" spans="1:10" x14ac:dyDescent="0.25">
      <c r="A755" t="s">
        <v>896</v>
      </c>
      <c r="B755" t="s">
        <v>61</v>
      </c>
      <c r="C755">
        <v>124.43</v>
      </c>
      <c r="D755" t="s">
        <v>40</v>
      </c>
      <c r="E755" s="1">
        <v>46014</v>
      </c>
      <c r="F755" s="1">
        <v>46024</v>
      </c>
      <c r="H755" t="s">
        <v>63</v>
      </c>
      <c r="I755">
        <v>1</v>
      </c>
      <c r="J755" t="s">
        <v>180</v>
      </c>
    </row>
    <row r="756" spans="1:10" x14ac:dyDescent="0.25">
      <c r="A756" t="s">
        <v>897</v>
      </c>
      <c r="B756" t="s">
        <v>76</v>
      </c>
      <c r="C756">
        <v>51.37</v>
      </c>
      <c r="D756" t="s">
        <v>97</v>
      </c>
      <c r="E756" s="1">
        <v>46014</v>
      </c>
      <c r="F756" s="1">
        <v>46021</v>
      </c>
      <c r="G756" s="1">
        <v>46019</v>
      </c>
      <c r="H756" t="s">
        <v>33</v>
      </c>
      <c r="I756">
        <v>5</v>
      </c>
      <c r="J756" t="s">
        <v>69</v>
      </c>
    </row>
    <row r="757" spans="1:10" x14ac:dyDescent="0.25">
      <c r="A757" t="s">
        <v>898</v>
      </c>
      <c r="B757" t="s">
        <v>31</v>
      </c>
      <c r="C757">
        <v>47.52</v>
      </c>
      <c r="D757" t="s">
        <v>47</v>
      </c>
      <c r="E757" s="1">
        <v>46015</v>
      </c>
      <c r="F757" s="1">
        <v>46021</v>
      </c>
      <c r="G757" s="1">
        <v>46017</v>
      </c>
      <c r="H757" t="s">
        <v>33</v>
      </c>
      <c r="I757">
        <v>5</v>
      </c>
      <c r="J757" t="s">
        <v>112</v>
      </c>
    </row>
    <row r="758" spans="1:10" x14ac:dyDescent="0.25">
      <c r="A758" t="s">
        <v>899</v>
      </c>
      <c r="B758" t="s">
        <v>31</v>
      </c>
      <c r="C758">
        <v>125.55</v>
      </c>
      <c r="D758" t="s">
        <v>40</v>
      </c>
      <c r="E758" s="1">
        <v>46015</v>
      </c>
      <c r="F758" s="1">
        <v>46022</v>
      </c>
      <c r="G758" s="1">
        <v>46019</v>
      </c>
      <c r="H758" t="s">
        <v>33</v>
      </c>
      <c r="I758">
        <v>4</v>
      </c>
      <c r="J758" t="s">
        <v>119</v>
      </c>
    </row>
    <row r="759" spans="1:10" x14ac:dyDescent="0.25">
      <c r="A759" t="s">
        <v>900</v>
      </c>
      <c r="B759" t="s">
        <v>39</v>
      </c>
      <c r="C759">
        <v>20.74</v>
      </c>
      <c r="D759" t="s">
        <v>97</v>
      </c>
      <c r="E759" s="1">
        <v>46016</v>
      </c>
      <c r="F759" s="1">
        <v>46026</v>
      </c>
      <c r="H759" t="s">
        <v>54</v>
      </c>
      <c r="I759">
        <v>3</v>
      </c>
      <c r="J759" t="s">
        <v>230</v>
      </c>
    </row>
    <row r="760" spans="1:10" x14ac:dyDescent="0.25">
      <c r="A760" t="s">
        <v>901</v>
      </c>
      <c r="B760" t="s">
        <v>76</v>
      </c>
      <c r="C760">
        <v>19.02</v>
      </c>
      <c r="D760" t="s">
        <v>53</v>
      </c>
      <c r="E760" s="1">
        <v>46016</v>
      </c>
      <c r="F760" s="1">
        <v>46023</v>
      </c>
      <c r="H760" t="s">
        <v>54</v>
      </c>
      <c r="I760">
        <v>2</v>
      </c>
      <c r="J760" t="s">
        <v>129</v>
      </c>
    </row>
    <row r="761" spans="1:10" x14ac:dyDescent="0.25">
      <c r="A761" t="s">
        <v>902</v>
      </c>
      <c r="B761" t="s">
        <v>31</v>
      </c>
      <c r="C761">
        <v>37.39</v>
      </c>
      <c r="D761" t="s">
        <v>53</v>
      </c>
      <c r="E761" s="1">
        <v>46015</v>
      </c>
      <c r="F761" s="1">
        <v>46020</v>
      </c>
      <c r="G761" s="1">
        <v>46025</v>
      </c>
      <c r="H761" t="s">
        <v>33</v>
      </c>
      <c r="I761">
        <v>3</v>
      </c>
      <c r="J761" t="s">
        <v>238</v>
      </c>
    </row>
    <row r="762" spans="1:10" x14ac:dyDescent="0.25">
      <c r="A762" t="s">
        <v>903</v>
      </c>
      <c r="B762" t="s">
        <v>61</v>
      </c>
      <c r="C762">
        <v>129.32</v>
      </c>
      <c r="D762" t="s">
        <v>99</v>
      </c>
      <c r="E762" s="1">
        <v>46016</v>
      </c>
      <c r="F762" s="1">
        <v>46022</v>
      </c>
      <c r="G762" s="1">
        <v>46018</v>
      </c>
      <c r="H762" t="s">
        <v>33</v>
      </c>
      <c r="I762">
        <v>5</v>
      </c>
      <c r="J762" t="s">
        <v>48</v>
      </c>
    </row>
    <row r="763" spans="1:10" x14ac:dyDescent="0.25">
      <c r="A763" t="s">
        <v>904</v>
      </c>
      <c r="B763" t="s">
        <v>76</v>
      </c>
      <c r="C763">
        <v>15.29</v>
      </c>
      <c r="D763" t="s">
        <v>99</v>
      </c>
      <c r="E763" s="1">
        <v>46016</v>
      </c>
      <c r="F763" s="1">
        <v>46022</v>
      </c>
      <c r="G763" s="1">
        <v>46018</v>
      </c>
      <c r="H763" t="s">
        <v>33</v>
      </c>
      <c r="I763">
        <v>4</v>
      </c>
      <c r="J763" t="s">
        <v>34</v>
      </c>
    </row>
    <row r="764" spans="1:10" x14ac:dyDescent="0.25">
      <c r="A764" t="s">
        <v>905</v>
      </c>
      <c r="B764" t="s">
        <v>61</v>
      </c>
      <c r="C764">
        <v>26.02</v>
      </c>
      <c r="D764" t="s">
        <v>62</v>
      </c>
      <c r="E764" s="1">
        <v>46016</v>
      </c>
      <c r="F764" s="1">
        <v>46022</v>
      </c>
      <c r="G764" s="1">
        <v>46022</v>
      </c>
      <c r="H764" t="s">
        <v>33</v>
      </c>
      <c r="I764">
        <v>4</v>
      </c>
      <c r="J764" t="s">
        <v>117</v>
      </c>
    </row>
    <row r="765" spans="1:10" x14ac:dyDescent="0.25">
      <c r="A765" t="s">
        <v>906</v>
      </c>
      <c r="B765" t="s">
        <v>76</v>
      </c>
      <c r="C765">
        <v>45.75</v>
      </c>
      <c r="D765" t="s">
        <v>99</v>
      </c>
      <c r="E765" s="1">
        <v>46016</v>
      </c>
      <c r="F765" s="1">
        <v>46023</v>
      </c>
      <c r="H765" t="s">
        <v>63</v>
      </c>
      <c r="I765">
        <v>2</v>
      </c>
      <c r="J765" t="s">
        <v>258</v>
      </c>
    </row>
    <row r="766" spans="1:10" x14ac:dyDescent="0.25">
      <c r="A766" t="s">
        <v>907</v>
      </c>
      <c r="B766" t="s">
        <v>76</v>
      </c>
      <c r="C766">
        <v>34.72</v>
      </c>
      <c r="D766" t="s">
        <v>40</v>
      </c>
      <c r="E766" s="1">
        <v>46016</v>
      </c>
      <c r="F766" s="1">
        <v>46026</v>
      </c>
      <c r="H766" t="s">
        <v>54</v>
      </c>
      <c r="I766">
        <v>4</v>
      </c>
      <c r="J766" t="s">
        <v>166</v>
      </c>
    </row>
    <row r="767" spans="1:10" x14ac:dyDescent="0.25">
      <c r="A767" t="s">
        <v>908</v>
      </c>
      <c r="B767" t="s">
        <v>31</v>
      </c>
      <c r="C767">
        <v>58.96</v>
      </c>
      <c r="D767" t="s">
        <v>47</v>
      </c>
      <c r="E767" s="1">
        <v>46016</v>
      </c>
      <c r="F767" s="1">
        <v>46026</v>
      </c>
      <c r="G767" s="1">
        <v>46024</v>
      </c>
      <c r="H767" t="s">
        <v>33</v>
      </c>
      <c r="I767">
        <v>4</v>
      </c>
      <c r="J767" t="s">
        <v>79</v>
      </c>
    </row>
    <row r="768" spans="1:10" x14ac:dyDescent="0.25">
      <c r="A768" t="s">
        <v>909</v>
      </c>
      <c r="B768" t="s">
        <v>39</v>
      </c>
      <c r="C768">
        <v>97.57</v>
      </c>
      <c r="D768" t="s">
        <v>47</v>
      </c>
      <c r="E768" s="1">
        <v>46017</v>
      </c>
      <c r="F768" s="1">
        <v>46024</v>
      </c>
      <c r="G768" s="1">
        <v>46019</v>
      </c>
      <c r="H768" t="s">
        <v>33</v>
      </c>
      <c r="I768">
        <v>5</v>
      </c>
      <c r="J768" t="s">
        <v>117</v>
      </c>
    </row>
    <row r="769" spans="1:10" x14ac:dyDescent="0.25">
      <c r="A769" t="s">
        <v>910</v>
      </c>
      <c r="B769" t="s">
        <v>31</v>
      </c>
      <c r="C769">
        <v>58.27</v>
      </c>
      <c r="D769" t="s">
        <v>47</v>
      </c>
      <c r="E769" s="1">
        <v>46017</v>
      </c>
      <c r="F769" s="1">
        <v>46025</v>
      </c>
      <c r="G769" s="1">
        <v>46029</v>
      </c>
      <c r="H769" t="s">
        <v>33</v>
      </c>
      <c r="I769">
        <v>3</v>
      </c>
      <c r="J769" t="s">
        <v>146</v>
      </c>
    </row>
    <row r="770" spans="1:10" x14ac:dyDescent="0.25">
      <c r="A770" t="s">
        <v>911</v>
      </c>
      <c r="B770" t="s">
        <v>76</v>
      </c>
      <c r="C770">
        <v>28.49</v>
      </c>
      <c r="D770" t="s">
        <v>53</v>
      </c>
      <c r="E770" s="1">
        <v>46018</v>
      </c>
      <c r="F770" s="1">
        <v>46025</v>
      </c>
      <c r="G770" s="1">
        <v>46025</v>
      </c>
      <c r="H770" t="s">
        <v>33</v>
      </c>
      <c r="I770">
        <v>4</v>
      </c>
      <c r="J770" t="s">
        <v>172</v>
      </c>
    </row>
    <row r="771" spans="1:10" x14ac:dyDescent="0.25">
      <c r="A771" t="s">
        <v>912</v>
      </c>
      <c r="B771" t="s">
        <v>31</v>
      </c>
      <c r="C771">
        <v>16.809999999999999</v>
      </c>
      <c r="D771" t="s">
        <v>53</v>
      </c>
      <c r="E771" s="1">
        <v>46019</v>
      </c>
      <c r="F771" s="1">
        <v>46029</v>
      </c>
      <c r="H771" t="s">
        <v>54</v>
      </c>
      <c r="I771">
        <v>2</v>
      </c>
      <c r="J771" t="s">
        <v>131</v>
      </c>
    </row>
    <row r="772" spans="1:10" x14ac:dyDescent="0.25">
      <c r="A772" t="s">
        <v>913</v>
      </c>
      <c r="B772" t="s">
        <v>39</v>
      </c>
      <c r="C772">
        <v>52.06</v>
      </c>
      <c r="D772" t="s">
        <v>40</v>
      </c>
      <c r="E772" s="1">
        <v>46018</v>
      </c>
      <c r="F772" s="1">
        <v>46026</v>
      </c>
      <c r="G772" s="1">
        <v>46030</v>
      </c>
      <c r="H772" t="s">
        <v>33</v>
      </c>
      <c r="I772">
        <v>1</v>
      </c>
      <c r="J772" t="s">
        <v>180</v>
      </c>
    </row>
    <row r="773" spans="1:10" x14ac:dyDescent="0.25">
      <c r="A773" t="s">
        <v>914</v>
      </c>
      <c r="B773" t="s">
        <v>31</v>
      </c>
      <c r="C773">
        <v>51.05</v>
      </c>
      <c r="D773" t="s">
        <v>47</v>
      </c>
      <c r="E773" s="1">
        <v>46020</v>
      </c>
      <c r="F773" s="1">
        <v>46026</v>
      </c>
      <c r="G773" s="1">
        <v>46024</v>
      </c>
      <c r="H773" t="s">
        <v>33</v>
      </c>
      <c r="I773">
        <v>4</v>
      </c>
      <c r="J773" t="s">
        <v>211</v>
      </c>
    </row>
    <row r="774" spans="1:10" x14ac:dyDescent="0.25">
      <c r="A774" t="s">
        <v>915</v>
      </c>
      <c r="B774" t="s">
        <v>39</v>
      </c>
      <c r="C774">
        <v>15.82</v>
      </c>
      <c r="D774" t="s">
        <v>126</v>
      </c>
      <c r="E774" s="1">
        <v>46020</v>
      </c>
      <c r="F774" s="1">
        <v>46026</v>
      </c>
      <c r="H774" t="s">
        <v>161</v>
      </c>
      <c r="I774">
        <v>3</v>
      </c>
      <c r="J774" t="s">
        <v>55</v>
      </c>
    </row>
    <row r="775" spans="1:10" x14ac:dyDescent="0.25">
      <c r="A775" t="s">
        <v>916</v>
      </c>
      <c r="B775" t="s">
        <v>31</v>
      </c>
      <c r="C775">
        <v>26.06</v>
      </c>
      <c r="D775" t="s">
        <v>47</v>
      </c>
      <c r="E775" s="1">
        <v>46020</v>
      </c>
      <c r="F775" s="1">
        <v>46030</v>
      </c>
      <c r="G775" s="1">
        <v>46028</v>
      </c>
      <c r="H775" t="s">
        <v>33</v>
      </c>
      <c r="I775">
        <v>4</v>
      </c>
      <c r="J775" t="s">
        <v>84</v>
      </c>
    </row>
    <row r="776" spans="1:10" x14ac:dyDescent="0.25">
      <c r="A776" t="s">
        <v>917</v>
      </c>
      <c r="B776" t="s">
        <v>31</v>
      </c>
      <c r="C776">
        <v>94.2</v>
      </c>
      <c r="D776" t="s">
        <v>99</v>
      </c>
      <c r="E776" s="1">
        <v>46021</v>
      </c>
      <c r="F776" s="1">
        <v>46029</v>
      </c>
      <c r="G776" s="1">
        <v>46028</v>
      </c>
      <c r="H776" t="s">
        <v>33</v>
      </c>
      <c r="I776">
        <v>5</v>
      </c>
      <c r="J776" t="s">
        <v>41</v>
      </c>
    </row>
    <row r="777" spans="1:10" x14ac:dyDescent="0.25">
      <c r="A777" t="s">
        <v>918</v>
      </c>
      <c r="B777" t="s">
        <v>61</v>
      </c>
      <c r="C777">
        <v>31.19</v>
      </c>
      <c r="D777" t="s">
        <v>157</v>
      </c>
      <c r="E777" s="1">
        <v>46022</v>
      </c>
      <c r="F777" s="1">
        <v>46032</v>
      </c>
      <c r="G777" s="1">
        <v>46024</v>
      </c>
      <c r="H777" t="s">
        <v>33</v>
      </c>
      <c r="I777">
        <v>4</v>
      </c>
      <c r="J777" t="s">
        <v>211</v>
      </c>
    </row>
    <row r="778" spans="1:10" x14ac:dyDescent="0.25">
      <c r="A778" t="s">
        <v>919</v>
      </c>
      <c r="B778" t="s">
        <v>61</v>
      </c>
      <c r="C778">
        <v>26.83</v>
      </c>
      <c r="D778" t="s">
        <v>150</v>
      </c>
      <c r="E778" s="1">
        <v>46022</v>
      </c>
      <c r="F778" s="1">
        <v>46032</v>
      </c>
      <c r="H778" t="s">
        <v>161</v>
      </c>
      <c r="I778">
        <v>2</v>
      </c>
      <c r="J778" t="s">
        <v>102</v>
      </c>
    </row>
    <row r="779" spans="1:10" x14ac:dyDescent="0.25">
      <c r="A779" t="s">
        <v>920</v>
      </c>
      <c r="B779" t="s">
        <v>39</v>
      </c>
      <c r="C779">
        <v>87.17</v>
      </c>
      <c r="D779" t="s">
        <v>62</v>
      </c>
      <c r="E779" s="1">
        <v>46021</v>
      </c>
      <c r="F779" s="1">
        <v>46029</v>
      </c>
      <c r="G779" s="1">
        <v>46024</v>
      </c>
      <c r="H779" t="s">
        <v>33</v>
      </c>
      <c r="I779">
        <v>4</v>
      </c>
      <c r="J779" t="s">
        <v>119</v>
      </c>
    </row>
    <row r="780" spans="1:10" x14ac:dyDescent="0.25">
      <c r="A780" t="s">
        <v>921</v>
      </c>
      <c r="B780" t="s">
        <v>39</v>
      </c>
      <c r="C780">
        <v>21.18</v>
      </c>
      <c r="D780" t="s">
        <v>47</v>
      </c>
      <c r="E780" s="1">
        <v>46023</v>
      </c>
      <c r="F780" s="1">
        <v>46030</v>
      </c>
      <c r="G780" s="1">
        <v>46030</v>
      </c>
      <c r="H780" t="s">
        <v>33</v>
      </c>
      <c r="I780">
        <v>5</v>
      </c>
      <c r="J780" t="s">
        <v>117</v>
      </c>
    </row>
    <row r="781" spans="1:10" x14ac:dyDescent="0.25">
      <c r="A781" t="s">
        <v>922</v>
      </c>
      <c r="B781" t="s">
        <v>31</v>
      </c>
      <c r="C781">
        <v>23.7</v>
      </c>
      <c r="D781" t="s">
        <v>40</v>
      </c>
      <c r="E781" s="1">
        <v>46023</v>
      </c>
      <c r="F781" s="1">
        <v>46031</v>
      </c>
      <c r="G781" s="1">
        <v>46035</v>
      </c>
      <c r="H781" t="s">
        <v>33</v>
      </c>
      <c r="I781">
        <v>1</v>
      </c>
      <c r="J781" t="s">
        <v>185</v>
      </c>
    </row>
    <row r="782" spans="1:10" x14ac:dyDescent="0.25">
      <c r="A782" t="s">
        <v>923</v>
      </c>
      <c r="B782" t="s">
        <v>61</v>
      </c>
      <c r="C782">
        <v>23.66</v>
      </c>
      <c r="D782" t="s">
        <v>126</v>
      </c>
      <c r="E782" s="1">
        <v>46023</v>
      </c>
      <c r="F782" s="1">
        <v>46031</v>
      </c>
      <c r="G782" s="1">
        <v>46032</v>
      </c>
      <c r="H782" t="s">
        <v>33</v>
      </c>
      <c r="I782">
        <v>1</v>
      </c>
      <c r="J782" t="s">
        <v>258</v>
      </c>
    </row>
    <row r="783" spans="1:10" x14ac:dyDescent="0.25">
      <c r="A783" t="s">
        <v>924</v>
      </c>
      <c r="B783" t="s">
        <v>31</v>
      </c>
      <c r="C783">
        <v>63.11</v>
      </c>
      <c r="D783" t="s">
        <v>47</v>
      </c>
      <c r="E783" s="1">
        <v>46022</v>
      </c>
      <c r="F783" s="1">
        <v>46032</v>
      </c>
      <c r="G783" s="1">
        <v>46026</v>
      </c>
      <c r="H783" t="s">
        <v>33</v>
      </c>
      <c r="I783">
        <v>4</v>
      </c>
      <c r="J783" t="s">
        <v>211</v>
      </c>
    </row>
    <row r="784" spans="1:10" x14ac:dyDescent="0.25">
      <c r="A784" t="s">
        <v>925</v>
      </c>
      <c r="B784" t="s">
        <v>61</v>
      </c>
      <c r="C784">
        <v>82.97</v>
      </c>
      <c r="D784" t="s">
        <v>40</v>
      </c>
      <c r="E784" s="1">
        <v>46023</v>
      </c>
      <c r="F784" s="1">
        <v>46029</v>
      </c>
      <c r="G784" s="1">
        <v>46027</v>
      </c>
      <c r="H784" t="s">
        <v>33</v>
      </c>
      <c r="I784">
        <v>4</v>
      </c>
      <c r="J784" t="s">
        <v>134</v>
      </c>
    </row>
    <row r="785" spans="1:10" x14ac:dyDescent="0.25">
      <c r="A785" t="s">
        <v>926</v>
      </c>
      <c r="B785" t="s">
        <v>31</v>
      </c>
      <c r="C785">
        <v>19.510000000000002</v>
      </c>
      <c r="D785" t="s">
        <v>32</v>
      </c>
      <c r="E785" s="1">
        <v>46023</v>
      </c>
      <c r="F785" s="1">
        <v>46029</v>
      </c>
      <c r="G785" s="1">
        <v>46028</v>
      </c>
      <c r="H785" t="s">
        <v>33</v>
      </c>
      <c r="I785">
        <v>4</v>
      </c>
      <c r="J785" t="s">
        <v>119</v>
      </c>
    </row>
    <row r="786" spans="1:10" x14ac:dyDescent="0.25">
      <c r="A786" t="s">
        <v>927</v>
      </c>
      <c r="B786" t="s">
        <v>76</v>
      </c>
      <c r="C786">
        <v>60.46</v>
      </c>
      <c r="D786" t="s">
        <v>47</v>
      </c>
      <c r="E786" s="1">
        <v>46024</v>
      </c>
      <c r="F786" s="1">
        <v>46029</v>
      </c>
      <c r="G786" s="1">
        <v>46032</v>
      </c>
      <c r="H786" t="s">
        <v>33</v>
      </c>
      <c r="I786">
        <v>3</v>
      </c>
      <c r="J786" t="s">
        <v>146</v>
      </c>
    </row>
    <row r="787" spans="1:10" x14ac:dyDescent="0.25">
      <c r="A787" t="s">
        <v>928</v>
      </c>
      <c r="B787" t="s">
        <v>39</v>
      </c>
      <c r="C787">
        <v>25.25</v>
      </c>
      <c r="D787" t="s">
        <v>68</v>
      </c>
      <c r="E787" s="1">
        <v>46024</v>
      </c>
      <c r="F787" s="1">
        <v>46030</v>
      </c>
      <c r="G787" s="1">
        <v>46026</v>
      </c>
      <c r="H787" t="s">
        <v>33</v>
      </c>
      <c r="I787">
        <v>5</v>
      </c>
      <c r="J787" t="s">
        <v>48</v>
      </c>
    </row>
    <row r="788" spans="1:10" x14ac:dyDescent="0.25">
      <c r="A788" t="s">
        <v>929</v>
      </c>
      <c r="B788" t="s">
        <v>39</v>
      </c>
      <c r="C788">
        <v>130.4</v>
      </c>
      <c r="D788" t="s">
        <v>53</v>
      </c>
      <c r="E788" s="1">
        <v>46023</v>
      </c>
      <c r="F788" s="1">
        <v>46028</v>
      </c>
      <c r="G788" s="1">
        <v>46027</v>
      </c>
      <c r="H788" t="s">
        <v>33</v>
      </c>
      <c r="I788">
        <v>5</v>
      </c>
      <c r="J788" t="s">
        <v>48</v>
      </c>
    </row>
    <row r="789" spans="1:10" x14ac:dyDescent="0.25">
      <c r="A789" t="s">
        <v>930</v>
      </c>
      <c r="B789" t="s">
        <v>39</v>
      </c>
      <c r="C789">
        <v>89.66</v>
      </c>
      <c r="D789" t="s">
        <v>62</v>
      </c>
      <c r="E789" s="1">
        <v>46023</v>
      </c>
      <c r="F789" s="1">
        <v>46028</v>
      </c>
      <c r="G789" s="1">
        <v>46033</v>
      </c>
      <c r="H789" t="s">
        <v>33</v>
      </c>
      <c r="I789">
        <v>3</v>
      </c>
      <c r="J789" t="s">
        <v>121</v>
      </c>
    </row>
    <row r="790" spans="1:10" x14ac:dyDescent="0.25">
      <c r="A790" t="s">
        <v>931</v>
      </c>
      <c r="B790" t="s">
        <v>39</v>
      </c>
      <c r="C790">
        <v>35.93</v>
      </c>
      <c r="D790" t="s">
        <v>47</v>
      </c>
      <c r="E790" s="1">
        <v>46024</v>
      </c>
      <c r="F790" s="1">
        <v>46029</v>
      </c>
      <c r="G790" s="1">
        <v>46026</v>
      </c>
      <c r="H790" t="s">
        <v>33</v>
      </c>
      <c r="I790">
        <v>5</v>
      </c>
      <c r="J790" t="s">
        <v>117</v>
      </c>
    </row>
    <row r="791" spans="1:10" x14ac:dyDescent="0.25">
      <c r="A791" t="s">
        <v>932</v>
      </c>
      <c r="B791" t="s">
        <v>31</v>
      </c>
      <c r="C791">
        <v>25.91</v>
      </c>
      <c r="D791" t="s">
        <v>32</v>
      </c>
      <c r="E791" s="1">
        <v>46023</v>
      </c>
      <c r="F791" s="1">
        <v>46030</v>
      </c>
      <c r="G791" s="1">
        <v>46026</v>
      </c>
      <c r="H791" t="s">
        <v>33</v>
      </c>
      <c r="I791">
        <v>4</v>
      </c>
      <c r="J791" t="s">
        <v>34</v>
      </c>
    </row>
    <row r="792" spans="1:10" x14ac:dyDescent="0.25">
      <c r="A792" t="s">
        <v>933</v>
      </c>
      <c r="B792" t="s">
        <v>31</v>
      </c>
      <c r="C792">
        <v>18.34</v>
      </c>
      <c r="D792" t="s">
        <v>47</v>
      </c>
      <c r="E792" s="1">
        <v>46024</v>
      </c>
      <c r="F792" s="1">
        <v>46029</v>
      </c>
      <c r="G792" s="1">
        <v>46028</v>
      </c>
      <c r="H792" t="s">
        <v>33</v>
      </c>
      <c r="I792">
        <v>4</v>
      </c>
      <c r="J792" t="s">
        <v>112</v>
      </c>
    </row>
    <row r="793" spans="1:10" x14ac:dyDescent="0.25">
      <c r="A793" t="s">
        <v>934</v>
      </c>
      <c r="B793" t="s">
        <v>76</v>
      </c>
      <c r="C793">
        <v>122.5</v>
      </c>
      <c r="D793" t="s">
        <v>150</v>
      </c>
      <c r="E793" s="1">
        <v>46024</v>
      </c>
      <c r="F793" s="1">
        <v>46029</v>
      </c>
      <c r="G793" s="1">
        <v>46027</v>
      </c>
      <c r="H793" t="s">
        <v>33</v>
      </c>
      <c r="I793">
        <v>4</v>
      </c>
      <c r="J793" t="s">
        <v>166</v>
      </c>
    </row>
    <row r="794" spans="1:10" x14ac:dyDescent="0.25">
      <c r="A794" t="s">
        <v>935</v>
      </c>
      <c r="B794" t="s">
        <v>31</v>
      </c>
      <c r="C794">
        <v>27.45</v>
      </c>
      <c r="D794" t="s">
        <v>97</v>
      </c>
      <c r="E794" s="1">
        <v>46024</v>
      </c>
      <c r="F794" s="1">
        <v>46031</v>
      </c>
      <c r="H794" t="s">
        <v>54</v>
      </c>
      <c r="I794">
        <v>4</v>
      </c>
      <c r="J794" t="s">
        <v>48</v>
      </c>
    </row>
    <row r="795" spans="1:10" x14ac:dyDescent="0.25">
      <c r="A795" t="s">
        <v>936</v>
      </c>
      <c r="B795" t="s">
        <v>76</v>
      </c>
      <c r="C795">
        <v>34.86</v>
      </c>
      <c r="D795" t="s">
        <v>99</v>
      </c>
      <c r="E795" s="1">
        <v>46026</v>
      </c>
      <c r="F795" s="1">
        <v>46034</v>
      </c>
      <c r="G795" s="1">
        <v>46033</v>
      </c>
      <c r="H795" t="s">
        <v>33</v>
      </c>
      <c r="I795">
        <v>4</v>
      </c>
      <c r="J795" t="s">
        <v>41</v>
      </c>
    </row>
    <row r="796" spans="1:10" x14ac:dyDescent="0.25">
      <c r="A796" t="s">
        <v>937</v>
      </c>
      <c r="B796" t="s">
        <v>61</v>
      </c>
      <c r="C796">
        <v>76.819999999999993</v>
      </c>
      <c r="D796" t="s">
        <v>264</v>
      </c>
      <c r="E796" s="1">
        <v>46026</v>
      </c>
      <c r="F796" s="1">
        <v>46035</v>
      </c>
      <c r="G796" s="1">
        <v>46034</v>
      </c>
      <c r="H796" t="s">
        <v>33</v>
      </c>
      <c r="I796">
        <v>5</v>
      </c>
      <c r="J796" t="s">
        <v>48</v>
      </c>
    </row>
    <row r="797" spans="1:10" x14ac:dyDescent="0.25">
      <c r="A797" t="s">
        <v>938</v>
      </c>
      <c r="B797" t="s">
        <v>76</v>
      </c>
      <c r="C797">
        <v>55.33</v>
      </c>
      <c r="D797" t="s">
        <v>68</v>
      </c>
      <c r="E797" s="1">
        <v>46025</v>
      </c>
      <c r="F797" s="1">
        <v>46034</v>
      </c>
      <c r="G797" s="1">
        <v>46036</v>
      </c>
      <c r="H797" t="s">
        <v>33</v>
      </c>
      <c r="I797">
        <v>2</v>
      </c>
      <c r="J797" t="s">
        <v>108</v>
      </c>
    </row>
    <row r="798" spans="1:10" x14ac:dyDescent="0.25">
      <c r="A798" t="s">
        <v>939</v>
      </c>
      <c r="B798" t="s">
        <v>31</v>
      </c>
      <c r="C798">
        <v>43.96</v>
      </c>
      <c r="D798" t="s">
        <v>157</v>
      </c>
      <c r="E798" s="1">
        <v>46025</v>
      </c>
      <c r="F798" s="1">
        <v>46033</v>
      </c>
      <c r="H798" t="s">
        <v>63</v>
      </c>
      <c r="I798">
        <v>3</v>
      </c>
      <c r="J798" t="s">
        <v>55</v>
      </c>
    </row>
    <row r="799" spans="1:10" x14ac:dyDescent="0.25">
      <c r="A799" t="s">
        <v>940</v>
      </c>
      <c r="B799" t="s">
        <v>76</v>
      </c>
      <c r="C799">
        <v>143.53</v>
      </c>
      <c r="D799" t="s">
        <v>101</v>
      </c>
      <c r="E799" s="1">
        <v>46027</v>
      </c>
      <c r="F799" s="1">
        <v>46032</v>
      </c>
      <c r="G799" s="1">
        <v>46030</v>
      </c>
      <c r="H799" t="s">
        <v>33</v>
      </c>
      <c r="I799">
        <v>4</v>
      </c>
      <c r="J799" t="s">
        <v>172</v>
      </c>
    </row>
    <row r="800" spans="1:10" x14ac:dyDescent="0.25">
      <c r="A800" t="s">
        <v>941</v>
      </c>
      <c r="B800" t="s">
        <v>76</v>
      </c>
      <c r="C800">
        <v>97.75</v>
      </c>
      <c r="D800" t="s">
        <v>47</v>
      </c>
      <c r="E800" s="1">
        <v>46026</v>
      </c>
      <c r="F800" s="1">
        <v>46035</v>
      </c>
      <c r="H800" t="s">
        <v>54</v>
      </c>
      <c r="I800">
        <v>4</v>
      </c>
      <c r="J800" t="s">
        <v>166</v>
      </c>
    </row>
    <row r="801" spans="1:10" x14ac:dyDescent="0.25">
      <c r="A801" t="s">
        <v>942</v>
      </c>
      <c r="B801" t="s">
        <v>31</v>
      </c>
      <c r="C801">
        <v>47.7</v>
      </c>
      <c r="D801" t="s">
        <v>99</v>
      </c>
      <c r="E801" s="1">
        <v>46027</v>
      </c>
      <c r="F801" s="1">
        <v>46037</v>
      </c>
      <c r="H801" t="s">
        <v>161</v>
      </c>
      <c r="I801">
        <v>3</v>
      </c>
      <c r="J801" t="s">
        <v>405</v>
      </c>
    </row>
    <row r="802" spans="1:10" x14ac:dyDescent="0.25">
      <c r="A802" t="s">
        <v>943</v>
      </c>
      <c r="B802" t="s">
        <v>31</v>
      </c>
      <c r="C802">
        <v>36.72</v>
      </c>
      <c r="D802" t="s">
        <v>62</v>
      </c>
      <c r="E802" s="1">
        <v>46027</v>
      </c>
      <c r="F802" s="1">
        <v>46036</v>
      </c>
      <c r="G802" s="1">
        <v>46031</v>
      </c>
      <c r="H802" t="s">
        <v>33</v>
      </c>
      <c r="I802">
        <v>4</v>
      </c>
      <c r="J802" t="s">
        <v>172</v>
      </c>
    </row>
    <row r="803" spans="1:10" x14ac:dyDescent="0.25">
      <c r="A803" t="s">
        <v>944</v>
      </c>
      <c r="B803" t="s">
        <v>61</v>
      </c>
      <c r="C803">
        <v>50.02</v>
      </c>
      <c r="D803" t="s">
        <v>47</v>
      </c>
      <c r="E803" s="1">
        <v>46026</v>
      </c>
      <c r="F803" s="1">
        <v>46036</v>
      </c>
      <c r="G803" s="1">
        <v>46036</v>
      </c>
      <c r="H803" t="s">
        <v>33</v>
      </c>
      <c r="I803">
        <v>4</v>
      </c>
      <c r="J803" t="s">
        <v>211</v>
      </c>
    </row>
    <row r="804" spans="1:10" x14ac:dyDescent="0.25">
      <c r="A804" t="s">
        <v>945</v>
      </c>
      <c r="B804" t="s">
        <v>31</v>
      </c>
      <c r="C804">
        <v>59.73</v>
      </c>
      <c r="D804" t="s">
        <v>126</v>
      </c>
      <c r="E804" s="1">
        <v>46027</v>
      </c>
      <c r="F804" s="1">
        <v>46034</v>
      </c>
      <c r="G804" s="1">
        <v>46033</v>
      </c>
      <c r="H804" t="s">
        <v>33</v>
      </c>
      <c r="I804">
        <v>4</v>
      </c>
      <c r="J804" t="s">
        <v>84</v>
      </c>
    </row>
    <row r="805" spans="1:10" x14ac:dyDescent="0.25">
      <c r="A805" t="s">
        <v>946</v>
      </c>
      <c r="B805" t="s">
        <v>39</v>
      </c>
      <c r="C805">
        <v>52.32</v>
      </c>
      <c r="D805" t="s">
        <v>97</v>
      </c>
      <c r="E805" s="1">
        <v>46028</v>
      </c>
      <c r="F805" s="1">
        <v>46036</v>
      </c>
      <c r="G805" s="1">
        <v>46030</v>
      </c>
      <c r="H805" t="s">
        <v>33</v>
      </c>
      <c r="I805">
        <v>4</v>
      </c>
      <c r="J805" t="s">
        <v>69</v>
      </c>
    </row>
    <row r="806" spans="1:10" x14ac:dyDescent="0.25">
      <c r="A806" t="s">
        <v>947</v>
      </c>
      <c r="B806" t="s">
        <v>31</v>
      </c>
      <c r="C806">
        <v>101.4</v>
      </c>
      <c r="D806" t="s">
        <v>99</v>
      </c>
      <c r="E806" s="1">
        <v>46029</v>
      </c>
      <c r="F806" s="1">
        <v>46035</v>
      </c>
      <c r="G806" s="1">
        <v>46032</v>
      </c>
      <c r="H806" t="s">
        <v>33</v>
      </c>
      <c r="I806">
        <v>5</v>
      </c>
      <c r="J806" t="s">
        <v>166</v>
      </c>
    </row>
    <row r="807" spans="1:10" x14ac:dyDescent="0.25">
      <c r="A807" t="s">
        <v>948</v>
      </c>
      <c r="B807" t="s">
        <v>31</v>
      </c>
      <c r="C807">
        <v>18.89</v>
      </c>
      <c r="D807" t="s">
        <v>99</v>
      </c>
      <c r="E807" s="1">
        <v>46030</v>
      </c>
      <c r="F807" s="1">
        <v>46039</v>
      </c>
      <c r="H807" t="s">
        <v>63</v>
      </c>
      <c r="I807">
        <v>3</v>
      </c>
      <c r="J807" t="s">
        <v>405</v>
      </c>
    </row>
    <row r="808" spans="1:10" x14ac:dyDescent="0.25">
      <c r="A808" t="s">
        <v>949</v>
      </c>
      <c r="B808" t="s">
        <v>76</v>
      </c>
      <c r="C808">
        <v>121.18</v>
      </c>
      <c r="D808" t="s">
        <v>62</v>
      </c>
      <c r="E808" s="1">
        <v>46030</v>
      </c>
      <c r="F808" s="1">
        <v>46039</v>
      </c>
      <c r="G808" s="1">
        <v>46039</v>
      </c>
      <c r="H808" t="s">
        <v>33</v>
      </c>
      <c r="I808">
        <v>4</v>
      </c>
      <c r="J808" t="s">
        <v>134</v>
      </c>
    </row>
    <row r="809" spans="1:10" x14ac:dyDescent="0.25">
      <c r="A809" t="s">
        <v>950</v>
      </c>
      <c r="B809" t="s">
        <v>39</v>
      </c>
      <c r="C809">
        <v>29.03</v>
      </c>
      <c r="D809" t="s">
        <v>99</v>
      </c>
      <c r="E809" s="1">
        <v>46032</v>
      </c>
      <c r="F809" s="1">
        <v>46042</v>
      </c>
      <c r="G809" s="1">
        <v>46034</v>
      </c>
      <c r="H809" t="s">
        <v>33</v>
      </c>
      <c r="I809">
        <v>5</v>
      </c>
      <c r="J809" t="s">
        <v>34</v>
      </c>
    </row>
    <row r="810" spans="1:10" x14ac:dyDescent="0.25">
      <c r="A810" t="s">
        <v>951</v>
      </c>
      <c r="B810" t="s">
        <v>61</v>
      </c>
      <c r="C810">
        <v>28.66</v>
      </c>
      <c r="D810" t="s">
        <v>68</v>
      </c>
      <c r="E810" s="1">
        <v>46032</v>
      </c>
      <c r="F810" s="1">
        <v>46039</v>
      </c>
      <c r="G810" s="1">
        <v>46039</v>
      </c>
      <c r="H810" t="s">
        <v>33</v>
      </c>
      <c r="I810">
        <v>4</v>
      </c>
      <c r="J810" t="s">
        <v>34</v>
      </c>
    </row>
    <row r="811" spans="1:10" x14ac:dyDescent="0.25">
      <c r="A811" t="s">
        <v>952</v>
      </c>
      <c r="B811" t="s">
        <v>39</v>
      </c>
      <c r="C811">
        <v>73.239999999999995</v>
      </c>
      <c r="D811" t="s">
        <v>40</v>
      </c>
      <c r="E811" s="1">
        <v>46032</v>
      </c>
      <c r="F811" s="1">
        <v>46039</v>
      </c>
      <c r="G811" s="1">
        <v>46038</v>
      </c>
      <c r="H811" t="s">
        <v>33</v>
      </c>
      <c r="I811">
        <v>4</v>
      </c>
      <c r="J811" t="s">
        <v>119</v>
      </c>
    </row>
    <row r="812" spans="1:10" x14ac:dyDescent="0.25">
      <c r="A812" t="s">
        <v>953</v>
      </c>
      <c r="B812" t="s">
        <v>39</v>
      </c>
      <c r="C812">
        <v>38.67</v>
      </c>
      <c r="D812" t="s">
        <v>62</v>
      </c>
      <c r="E812" s="1">
        <v>46033</v>
      </c>
      <c r="F812" s="1">
        <v>46043</v>
      </c>
      <c r="G812" s="1">
        <v>46038</v>
      </c>
      <c r="H812" t="s">
        <v>33</v>
      </c>
      <c r="I812">
        <v>4</v>
      </c>
      <c r="J812" t="s">
        <v>166</v>
      </c>
    </row>
    <row r="813" spans="1:10" x14ac:dyDescent="0.25">
      <c r="A813" t="s">
        <v>954</v>
      </c>
      <c r="B813" t="s">
        <v>61</v>
      </c>
      <c r="C813">
        <v>40.1</v>
      </c>
      <c r="D813" t="s">
        <v>99</v>
      </c>
      <c r="E813" s="1">
        <v>46033</v>
      </c>
      <c r="F813" s="1">
        <v>46041</v>
      </c>
      <c r="G813" s="1">
        <v>46041</v>
      </c>
      <c r="H813" t="s">
        <v>33</v>
      </c>
      <c r="I813">
        <v>4</v>
      </c>
      <c r="J813" t="s">
        <v>127</v>
      </c>
    </row>
    <row r="814" spans="1:10" x14ac:dyDescent="0.25">
      <c r="A814" t="s">
        <v>955</v>
      </c>
      <c r="B814" t="s">
        <v>39</v>
      </c>
      <c r="C814">
        <v>76.44</v>
      </c>
      <c r="D814" t="s">
        <v>62</v>
      </c>
      <c r="E814" s="1">
        <v>46033</v>
      </c>
      <c r="F814" s="1">
        <v>46040</v>
      </c>
      <c r="H814" t="s">
        <v>63</v>
      </c>
      <c r="I814">
        <v>2</v>
      </c>
      <c r="J814" t="s">
        <v>108</v>
      </c>
    </row>
    <row r="815" spans="1:10" x14ac:dyDescent="0.25">
      <c r="A815" t="s">
        <v>956</v>
      </c>
      <c r="B815" t="s">
        <v>61</v>
      </c>
      <c r="C815">
        <v>24.33</v>
      </c>
      <c r="D815" t="s">
        <v>47</v>
      </c>
      <c r="E815" s="1">
        <v>46035</v>
      </c>
      <c r="F815" s="1">
        <v>46040</v>
      </c>
      <c r="H815" t="s">
        <v>63</v>
      </c>
      <c r="I815">
        <v>3</v>
      </c>
      <c r="J815" t="s">
        <v>55</v>
      </c>
    </row>
    <row r="816" spans="1:10" x14ac:dyDescent="0.25">
      <c r="A816" t="s">
        <v>957</v>
      </c>
      <c r="B816" t="s">
        <v>61</v>
      </c>
      <c r="C816">
        <v>27.12</v>
      </c>
      <c r="D816" t="s">
        <v>264</v>
      </c>
      <c r="E816" s="1">
        <v>46036</v>
      </c>
      <c r="F816" s="1">
        <v>46042</v>
      </c>
      <c r="G816" s="1">
        <v>46044</v>
      </c>
      <c r="H816" t="s">
        <v>33</v>
      </c>
      <c r="I816">
        <v>3</v>
      </c>
      <c r="J816" t="s">
        <v>146</v>
      </c>
    </row>
    <row r="817" spans="1:10" x14ac:dyDescent="0.25">
      <c r="A817" t="s">
        <v>958</v>
      </c>
      <c r="B817" t="s">
        <v>39</v>
      </c>
      <c r="C817">
        <v>125.84</v>
      </c>
      <c r="D817" t="s">
        <v>97</v>
      </c>
      <c r="E817" s="1">
        <v>46035</v>
      </c>
      <c r="F817" s="1">
        <v>46045</v>
      </c>
      <c r="G817" s="1">
        <v>46045</v>
      </c>
      <c r="H817" t="s">
        <v>33</v>
      </c>
      <c r="I817">
        <v>5</v>
      </c>
      <c r="J817" t="s">
        <v>48</v>
      </c>
    </row>
    <row r="818" spans="1:10" x14ac:dyDescent="0.25">
      <c r="A818" t="s">
        <v>959</v>
      </c>
      <c r="B818" t="s">
        <v>61</v>
      </c>
      <c r="C818">
        <v>71.12</v>
      </c>
      <c r="D818" t="s">
        <v>68</v>
      </c>
      <c r="E818" s="1">
        <v>46036</v>
      </c>
      <c r="F818" s="1">
        <v>46041</v>
      </c>
      <c r="G818" s="1">
        <v>46042</v>
      </c>
      <c r="H818" t="s">
        <v>33</v>
      </c>
      <c r="I818">
        <v>1</v>
      </c>
      <c r="J818" t="s">
        <v>248</v>
      </c>
    </row>
    <row r="819" spans="1:10" x14ac:dyDescent="0.25">
      <c r="A819" t="s">
        <v>960</v>
      </c>
      <c r="B819" t="s">
        <v>39</v>
      </c>
      <c r="C819">
        <v>16.899999999999999</v>
      </c>
      <c r="D819" t="s">
        <v>53</v>
      </c>
      <c r="E819" s="1">
        <v>46036</v>
      </c>
      <c r="F819" s="1">
        <v>46046</v>
      </c>
      <c r="H819" t="s">
        <v>54</v>
      </c>
      <c r="I819">
        <v>2</v>
      </c>
      <c r="J819" t="s">
        <v>180</v>
      </c>
    </row>
    <row r="820" spans="1:10" x14ac:dyDescent="0.25">
      <c r="A820" t="s">
        <v>961</v>
      </c>
      <c r="B820" t="s">
        <v>31</v>
      </c>
      <c r="C820">
        <v>104.34</v>
      </c>
      <c r="D820" t="s">
        <v>126</v>
      </c>
      <c r="E820" s="1">
        <v>46037</v>
      </c>
      <c r="F820" s="1">
        <v>46044</v>
      </c>
      <c r="G820" s="1">
        <v>46040</v>
      </c>
      <c r="H820" t="s">
        <v>33</v>
      </c>
      <c r="I820">
        <v>5</v>
      </c>
      <c r="J820" t="s">
        <v>77</v>
      </c>
    </row>
    <row r="821" spans="1:10" x14ac:dyDescent="0.25">
      <c r="A821" t="s">
        <v>962</v>
      </c>
      <c r="B821" t="s">
        <v>76</v>
      </c>
      <c r="C821">
        <v>28.56</v>
      </c>
      <c r="D821" t="s">
        <v>47</v>
      </c>
      <c r="E821" s="1">
        <v>46037</v>
      </c>
      <c r="F821" s="1">
        <v>46047</v>
      </c>
      <c r="G821" s="1">
        <v>46040</v>
      </c>
      <c r="H821" t="s">
        <v>33</v>
      </c>
      <c r="I821">
        <v>5</v>
      </c>
      <c r="J821" t="s">
        <v>69</v>
      </c>
    </row>
    <row r="822" spans="1:10" x14ac:dyDescent="0.25">
      <c r="A822" t="s">
        <v>963</v>
      </c>
      <c r="B822" t="s">
        <v>61</v>
      </c>
      <c r="C822">
        <v>25.68</v>
      </c>
      <c r="D822" t="s">
        <v>83</v>
      </c>
      <c r="E822" s="1">
        <v>46038</v>
      </c>
      <c r="F822" s="1">
        <v>46043</v>
      </c>
      <c r="H822" t="s">
        <v>63</v>
      </c>
      <c r="I822">
        <v>3</v>
      </c>
      <c r="J822" t="s">
        <v>238</v>
      </c>
    </row>
    <row r="823" spans="1:10" x14ac:dyDescent="0.25">
      <c r="A823" t="s">
        <v>964</v>
      </c>
      <c r="B823" t="s">
        <v>76</v>
      </c>
      <c r="C823">
        <v>69.41</v>
      </c>
      <c r="D823" t="s">
        <v>133</v>
      </c>
      <c r="E823" s="1">
        <v>46037</v>
      </c>
      <c r="F823" s="1">
        <v>46042</v>
      </c>
      <c r="G823" s="1">
        <v>46043</v>
      </c>
      <c r="H823" t="s">
        <v>33</v>
      </c>
      <c r="I823">
        <v>2</v>
      </c>
      <c r="J823" t="s">
        <v>461</v>
      </c>
    </row>
    <row r="824" spans="1:10" x14ac:dyDescent="0.25">
      <c r="A824" t="s">
        <v>965</v>
      </c>
      <c r="B824" t="s">
        <v>31</v>
      </c>
      <c r="C824">
        <v>23.66</v>
      </c>
      <c r="D824" t="s">
        <v>68</v>
      </c>
      <c r="E824" s="1">
        <v>46039</v>
      </c>
      <c r="F824" s="1">
        <v>46046</v>
      </c>
      <c r="G824" s="1">
        <v>46046</v>
      </c>
      <c r="H824" t="s">
        <v>33</v>
      </c>
      <c r="I824">
        <v>4</v>
      </c>
      <c r="J824" t="s">
        <v>48</v>
      </c>
    </row>
    <row r="825" spans="1:10" x14ac:dyDescent="0.25">
      <c r="A825" t="s">
        <v>966</v>
      </c>
      <c r="B825" t="s">
        <v>76</v>
      </c>
      <c r="C825">
        <v>85.67</v>
      </c>
      <c r="D825" t="s">
        <v>47</v>
      </c>
      <c r="E825" s="1">
        <v>46039</v>
      </c>
      <c r="F825" s="1">
        <v>46044</v>
      </c>
      <c r="G825" s="1">
        <v>46045</v>
      </c>
      <c r="H825" t="s">
        <v>33</v>
      </c>
      <c r="I825">
        <v>2</v>
      </c>
      <c r="J825" t="s">
        <v>153</v>
      </c>
    </row>
    <row r="826" spans="1:10" x14ac:dyDescent="0.25">
      <c r="A826" t="s">
        <v>967</v>
      </c>
      <c r="B826" t="s">
        <v>39</v>
      </c>
      <c r="C826">
        <v>122</v>
      </c>
      <c r="D826" t="s">
        <v>47</v>
      </c>
      <c r="E826" s="1">
        <v>46038</v>
      </c>
      <c r="F826" s="1">
        <v>46046</v>
      </c>
      <c r="G826" s="1">
        <v>46043</v>
      </c>
      <c r="H826" t="s">
        <v>33</v>
      </c>
      <c r="I826">
        <v>5</v>
      </c>
      <c r="J826" t="s">
        <v>84</v>
      </c>
    </row>
    <row r="827" spans="1:10" x14ac:dyDescent="0.25">
      <c r="A827" t="s">
        <v>968</v>
      </c>
      <c r="B827" t="s">
        <v>31</v>
      </c>
      <c r="C827">
        <v>81.599999999999994</v>
      </c>
      <c r="D827" t="s">
        <v>97</v>
      </c>
      <c r="E827" s="1">
        <v>46039</v>
      </c>
      <c r="F827" s="1">
        <v>46045</v>
      </c>
      <c r="G827" s="1">
        <v>46041</v>
      </c>
      <c r="H827" t="s">
        <v>33</v>
      </c>
      <c r="I827">
        <v>5</v>
      </c>
      <c r="J827" t="s">
        <v>211</v>
      </c>
    </row>
    <row r="828" spans="1:10" x14ac:dyDescent="0.25">
      <c r="A828" t="s">
        <v>969</v>
      </c>
      <c r="B828" t="s">
        <v>76</v>
      </c>
      <c r="C828">
        <v>37.799999999999997</v>
      </c>
      <c r="D828" t="s">
        <v>62</v>
      </c>
      <c r="E828" s="1">
        <v>46039</v>
      </c>
      <c r="F828" s="1">
        <v>46048</v>
      </c>
      <c r="G828" s="1">
        <v>46052</v>
      </c>
      <c r="H828" t="s">
        <v>33</v>
      </c>
      <c r="I828">
        <v>2</v>
      </c>
      <c r="J828" t="s">
        <v>180</v>
      </c>
    </row>
    <row r="829" spans="1:10" x14ac:dyDescent="0.25">
      <c r="A829" t="s">
        <v>970</v>
      </c>
      <c r="B829" t="s">
        <v>76</v>
      </c>
      <c r="C829">
        <v>60.4</v>
      </c>
      <c r="D829" t="s">
        <v>32</v>
      </c>
      <c r="E829" s="1">
        <v>46039</v>
      </c>
      <c r="F829" s="1">
        <v>46046</v>
      </c>
      <c r="G829" s="1">
        <v>46046</v>
      </c>
      <c r="H829" t="s">
        <v>33</v>
      </c>
      <c r="I829">
        <v>5</v>
      </c>
      <c r="J829" t="s">
        <v>77</v>
      </c>
    </row>
    <row r="830" spans="1:10" x14ac:dyDescent="0.25">
      <c r="A830" t="s">
        <v>971</v>
      </c>
      <c r="B830" t="s">
        <v>39</v>
      </c>
      <c r="C830">
        <v>34.119999999999997</v>
      </c>
      <c r="D830" t="s">
        <v>47</v>
      </c>
      <c r="E830" s="1">
        <v>46041</v>
      </c>
      <c r="F830" s="1">
        <v>46046</v>
      </c>
      <c r="G830" s="1">
        <v>46049</v>
      </c>
      <c r="H830" t="s">
        <v>33</v>
      </c>
      <c r="I830">
        <v>3</v>
      </c>
      <c r="J830" t="s">
        <v>230</v>
      </c>
    </row>
    <row r="831" spans="1:10" x14ac:dyDescent="0.25">
      <c r="A831" t="s">
        <v>972</v>
      </c>
      <c r="B831" t="s">
        <v>31</v>
      </c>
      <c r="C831">
        <v>44.02</v>
      </c>
      <c r="D831" t="s">
        <v>83</v>
      </c>
      <c r="E831" s="1">
        <v>46040</v>
      </c>
      <c r="F831" s="1">
        <v>46048</v>
      </c>
      <c r="G831" s="1">
        <v>46047</v>
      </c>
      <c r="H831" t="s">
        <v>33</v>
      </c>
      <c r="I831">
        <v>4</v>
      </c>
      <c r="J831" t="s">
        <v>211</v>
      </c>
    </row>
    <row r="832" spans="1:10" x14ac:dyDescent="0.25">
      <c r="A832" t="s">
        <v>973</v>
      </c>
      <c r="B832" t="s">
        <v>76</v>
      </c>
      <c r="C832">
        <v>54.84</v>
      </c>
      <c r="D832" t="s">
        <v>62</v>
      </c>
      <c r="E832" s="1">
        <v>46040</v>
      </c>
      <c r="F832" s="1">
        <v>46050</v>
      </c>
      <c r="G832" s="1">
        <v>46047</v>
      </c>
      <c r="H832" t="s">
        <v>33</v>
      </c>
      <c r="I832">
        <v>4</v>
      </c>
      <c r="J832" t="s">
        <v>84</v>
      </c>
    </row>
    <row r="833" spans="1:10" x14ac:dyDescent="0.25">
      <c r="A833" t="s">
        <v>974</v>
      </c>
      <c r="B833" t="s">
        <v>76</v>
      </c>
      <c r="C833">
        <v>36.93</v>
      </c>
      <c r="D833" t="s">
        <v>40</v>
      </c>
      <c r="E833" s="1">
        <v>46042</v>
      </c>
      <c r="F833" s="1">
        <v>46048</v>
      </c>
      <c r="G833" s="1">
        <v>46045</v>
      </c>
      <c r="H833" t="s">
        <v>33</v>
      </c>
      <c r="I833">
        <v>4</v>
      </c>
      <c r="J833" t="s">
        <v>119</v>
      </c>
    </row>
    <row r="834" spans="1:10" x14ac:dyDescent="0.25">
      <c r="A834" t="s">
        <v>975</v>
      </c>
      <c r="B834" t="s">
        <v>39</v>
      </c>
      <c r="C834">
        <v>21.73</v>
      </c>
      <c r="D834" t="s">
        <v>68</v>
      </c>
      <c r="E834" s="1">
        <v>46042</v>
      </c>
      <c r="F834" s="1">
        <v>46051</v>
      </c>
      <c r="G834" s="1">
        <v>46046</v>
      </c>
      <c r="H834" t="s">
        <v>33</v>
      </c>
      <c r="I834">
        <v>5</v>
      </c>
      <c r="J834" t="s">
        <v>84</v>
      </c>
    </row>
    <row r="835" spans="1:10" x14ac:dyDescent="0.25">
      <c r="A835" t="s">
        <v>976</v>
      </c>
      <c r="B835" t="s">
        <v>39</v>
      </c>
      <c r="C835">
        <v>20.350000000000001</v>
      </c>
      <c r="D835" t="s">
        <v>133</v>
      </c>
      <c r="E835" s="1">
        <v>46043</v>
      </c>
      <c r="F835" s="1">
        <v>46048</v>
      </c>
      <c r="G835" s="1">
        <v>46047</v>
      </c>
      <c r="H835" t="s">
        <v>33</v>
      </c>
      <c r="I835">
        <v>4</v>
      </c>
      <c r="J835" t="s">
        <v>48</v>
      </c>
    </row>
    <row r="836" spans="1:10" x14ac:dyDescent="0.25">
      <c r="A836" t="s">
        <v>977</v>
      </c>
      <c r="B836" t="s">
        <v>39</v>
      </c>
      <c r="C836">
        <v>47.44</v>
      </c>
      <c r="D836" t="s">
        <v>47</v>
      </c>
      <c r="E836" s="1">
        <v>46043</v>
      </c>
      <c r="F836" s="1">
        <v>46051</v>
      </c>
      <c r="G836" s="1">
        <v>46045</v>
      </c>
      <c r="H836" t="s">
        <v>33</v>
      </c>
      <c r="I836">
        <v>4</v>
      </c>
      <c r="J836" t="s">
        <v>48</v>
      </c>
    </row>
    <row r="837" spans="1:10" x14ac:dyDescent="0.25">
      <c r="A837" t="s">
        <v>978</v>
      </c>
      <c r="B837" t="s">
        <v>76</v>
      </c>
      <c r="C837">
        <v>83.4</v>
      </c>
      <c r="D837" t="s">
        <v>264</v>
      </c>
      <c r="E837" s="1">
        <v>46044</v>
      </c>
      <c r="F837" s="1">
        <v>46049</v>
      </c>
      <c r="G837" s="1">
        <v>46052</v>
      </c>
      <c r="H837" t="s">
        <v>33</v>
      </c>
      <c r="I837">
        <v>3</v>
      </c>
      <c r="J837" t="s">
        <v>405</v>
      </c>
    </row>
    <row r="838" spans="1:10" x14ac:dyDescent="0.25">
      <c r="A838" t="s">
        <v>979</v>
      </c>
      <c r="B838" t="s">
        <v>76</v>
      </c>
      <c r="C838">
        <v>89.24</v>
      </c>
      <c r="D838" t="s">
        <v>101</v>
      </c>
      <c r="E838" s="1">
        <v>46044</v>
      </c>
      <c r="F838" s="1">
        <v>46050</v>
      </c>
      <c r="G838" s="1">
        <v>46048</v>
      </c>
      <c r="H838" t="s">
        <v>33</v>
      </c>
      <c r="I838">
        <v>5</v>
      </c>
      <c r="J838" t="s">
        <v>211</v>
      </c>
    </row>
    <row r="839" spans="1:10" x14ac:dyDescent="0.25">
      <c r="A839" t="s">
        <v>980</v>
      </c>
      <c r="B839" t="s">
        <v>76</v>
      </c>
      <c r="C839">
        <v>93.58</v>
      </c>
      <c r="D839" t="s">
        <v>68</v>
      </c>
      <c r="E839" s="1">
        <v>46044</v>
      </c>
      <c r="F839" s="1">
        <v>46053</v>
      </c>
      <c r="G839" s="1">
        <v>46048</v>
      </c>
      <c r="H839" t="s">
        <v>33</v>
      </c>
      <c r="I839">
        <v>5</v>
      </c>
      <c r="J839" t="s">
        <v>166</v>
      </c>
    </row>
    <row r="840" spans="1:10" x14ac:dyDescent="0.25">
      <c r="A840" t="s">
        <v>981</v>
      </c>
      <c r="B840" t="s">
        <v>76</v>
      </c>
      <c r="C840">
        <v>16.95</v>
      </c>
      <c r="D840" t="s">
        <v>40</v>
      </c>
      <c r="E840" s="1">
        <v>46044</v>
      </c>
      <c r="F840" s="1">
        <v>46054</v>
      </c>
      <c r="G840" s="1">
        <v>46049</v>
      </c>
      <c r="H840" t="s">
        <v>33</v>
      </c>
      <c r="I840">
        <v>5</v>
      </c>
      <c r="J840" t="s">
        <v>48</v>
      </c>
    </row>
    <row r="841" spans="1:10" x14ac:dyDescent="0.25">
      <c r="A841" t="s">
        <v>982</v>
      </c>
      <c r="B841" t="s">
        <v>61</v>
      </c>
      <c r="C841">
        <v>81.73</v>
      </c>
      <c r="D841" t="s">
        <v>157</v>
      </c>
      <c r="E841" s="1">
        <v>46045</v>
      </c>
      <c r="F841" s="1">
        <v>46053</v>
      </c>
      <c r="G841" s="1">
        <v>46049</v>
      </c>
      <c r="H841" t="s">
        <v>33</v>
      </c>
      <c r="I841">
        <v>4</v>
      </c>
      <c r="J841" t="s">
        <v>134</v>
      </c>
    </row>
    <row r="842" spans="1:10" x14ac:dyDescent="0.25">
      <c r="A842" t="s">
        <v>983</v>
      </c>
      <c r="B842" t="s">
        <v>39</v>
      </c>
      <c r="C842">
        <v>94.66</v>
      </c>
      <c r="D842" t="s">
        <v>40</v>
      </c>
      <c r="E842" s="1">
        <v>46046</v>
      </c>
      <c r="F842" s="1">
        <v>46054</v>
      </c>
      <c r="G842" s="1">
        <v>46052</v>
      </c>
      <c r="H842" t="s">
        <v>33</v>
      </c>
      <c r="I842">
        <v>5</v>
      </c>
      <c r="J842" t="s">
        <v>134</v>
      </c>
    </row>
    <row r="843" spans="1:10" x14ac:dyDescent="0.25">
      <c r="A843" t="s">
        <v>984</v>
      </c>
      <c r="B843" t="s">
        <v>39</v>
      </c>
      <c r="C843">
        <v>42.41</v>
      </c>
      <c r="D843" t="s">
        <v>62</v>
      </c>
      <c r="E843" s="1">
        <v>46045</v>
      </c>
      <c r="F843" s="1">
        <v>46051</v>
      </c>
      <c r="H843" t="s">
        <v>54</v>
      </c>
      <c r="I843">
        <v>2</v>
      </c>
      <c r="J843" t="s">
        <v>168</v>
      </c>
    </row>
    <row r="844" spans="1:10" x14ac:dyDescent="0.25">
      <c r="A844" t="s">
        <v>985</v>
      </c>
      <c r="B844" t="s">
        <v>39</v>
      </c>
      <c r="C844">
        <v>118.7</v>
      </c>
      <c r="D844" t="s">
        <v>47</v>
      </c>
      <c r="E844" s="1">
        <v>46046</v>
      </c>
      <c r="F844" s="1">
        <v>46054</v>
      </c>
      <c r="G844" s="1">
        <v>46050</v>
      </c>
      <c r="H844" t="s">
        <v>33</v>
      </c>
      <c r="I844">
        <v>5</v>
      </c>
      <c r="J844" t="s">
        <v>211</v>
      </c>
    </row>
    <row r="845" spans="1:10" x14ac:dyDescent="0.25">
      <c r="A845" t="s">
        <v>986</v>
      </c>
      <c r="B845" t="s">
        <v>31</v>
      </c>
      <c r="C845">
        <v>38.200000000000003</v>
      </c>
      <c r="D845" t="s">
        <v>47</v>
      </c>
      <c r="E845" s="1">
        <v>46046</v>
      </c>
      <c r="F845" s="1">
        <v>46055</v>
      </c>
      <c r="G845" s="1">
        <v>46055</v>
      </c>
      <c r="H845" t="s">
        <v>33</v>
      </c>
      <c r="I845">
        <v>4</v>
      </c>
      <c r="J845" t="s">
        <v>41</v>
      </c>
    </row>
    <row r="846" spans="1:10" x14ac:dyDescent="0.25">
      <c r="A846" t="s">
        <v>987</v>
      </c>
      <c r="B846" t="s">
        <v>31</v>
      </c>
      <c r="C846">
        <v>21.22</v>
      </c>
      <c r="D846" t="s">
        <v>97</v>
      </c>
      <c r="E846" s="1">
        <v>46047</v>
      </c>
      <c r="F846" s="1">
        <v>46057</v>
      </c>
      <c r="H846" t="s">
        <v>54</v>
      </c>
      <c r="I846">
        <v>3</v>
      </c>
      <c r="J846" t="s">
        <v>352</v>
      </c>
    </row>
    <row r="847" spans="1:10" x14ac:dyDescent="0.25">
      <c r="A847" t="s">
        <v>988</v>
      </c>
      <c r="B847" t="s">
        <v>31</v>
      </c>
      <c r="C847">
        <v>26.54</v>
      </c>
      <c r="D847" t="s">
        <v>40</v>
      </c>
      <c r="E847" s="1">
        <v>46046</v>
      </c>
      <c r="F847" s="1">
        <v>46052</v>
      </c>
      <c r="G847" s="1">
        <v>46048</v>
      </c>
      <c r="H847" t="s">
        <v>33</v>
      </c>
      <c r="I847">
        <v>4</v>
      </c>
      <c r="J847" t="s">
        <v>166</v>
      </c>
    </row>
    <row r="848" spans="1:10" x14ac:dyDescent="0.25">
      <c r="A848" t="s">
        <v>989</v>
      </c>
      <c r="B848" t="s">
        <v>31</v>
      </c>
      <c r="C848">
        <v>56.19</v>
      </c>
      <c r="D848" t="s">
        <v>40</v>
      </c>
      <c r="E848" s="1">
        <v>46047</v>
      </c>
      <c r="F848" s="1">
        <v>46056</v>
      </c>
      <c r="G848" s="1">
        <v>46054</v>
      </c>
      <c r="H848" t="s">
        <v>33</v>
      </c>
      <c r="I848">
        <v>5</v>
      </c>
      <c r="J848" t="s">
        <v>211</v>
      </c>
    </row>
    <row r="849" spans="1:10" x14ac:dyDescent="0.25">
      <c r="A849" t="s">
        <v>990</v>
      </c>
      <c r="B849" t="s">
        <v>31</v>
      </c>
      <c r="C849">
        <v>22.76</v>
      </c>
      <c r="D849" t="s">
        <v>62</v>
      </c>
      <c r="E849" s="1">
        <v>46047</v>
      </c>
      <c r="F849" s="1">
        <v>46052</v>
      </c>
      <c r="H849" t="s">
        <v>54</v>
      </c>
      <c r="I849">
        <v>2</v>
      </c>
      <c r="J849" t="s">
        <v>258</v>
      </c>
    </row>
    <row r="850" spans="1:10" x14ac:dyDescent="0.25">
      <c r="A850" t="s">
        <v>991</v>
      </c>
      <c r="B850" t="s">
        <v>61</v>
      </c>
      <c r="C850">
        <v>90.54</v>
      </c>
      <c r="D850" t="s">
        <v>99</v>
      </c>
      <c r="E850" s="1">
        <v>46047</v>
      </c>
      <c r="F850" s="1">
        <v>46056</v>
      </c>
      <c r="G850" s="1">
        <v>46049</v>
      </c>
      <c r="H850" t="s">
        <v>33</v>
      </c>
      <c r="I850">
        <v>5</v>
      </c>
      <c r="J850" t="s">
        <v>34</v>
      </c>
    </row>
    <row r="851" spans="1:10" x14ac:dyDescent="0.25">
      <c r="A851" t="s">
        <v>992</v>
      </c>
      <c r="B851" t="s">
        <v>39</v>
      </c>
      <c r="C851">
        <v>20.16</v>
      </c>
      <c r="D851" t="s">
        <v>97</v>
      </c>
      <c r="E851" s="1">
        <v>46048</v>
      </c>
      <c r="F851" s="1">
        <v>46054</v>
      </c>
      <c r="G851" s="1">
        <v>46054</v>
      </c>
      <c r="H851" t="s">
        <v>33</v>
      </c>
      <c r="I851">
        <v>4</v>
      </c>
      <c r="J851" t="s">
        <v>211</v>
      </c>
    </row>
    <row r="852" spans="1:10" x14ac:dyDescent="0.25">
      <c r="A852" t="s">
        <v>993</v>
      </c>
      <c r="B852" t="s">
        <v>76</v>
      </c>
      <c r="C852">
        <v>29.35</v>
      </c>
      <c r="D852" t="s">
        <v>47</v>
      </c>
      <c r="E852" s="1">
        <v>46049</v>
      </c>
      <c r="F852" s="1">
        <v>46054</v>
      </c>
      <c r="G852" s="1">
        <v>46053</v>
      </c>
      <c r="H852" t="s">
        <v>33</v>
      </c>
      <c r="I852">
        <v>5</v>
      </c>
      <c r="J852" t="s">
        <v>48</v>
      </c>
    </row>
    <row r="853" spans="1:10" x14ac:dyDescent="0.25">
      <c r="A853" t="s">
        <v>994</v>
      </c>
      <c r="B853" t="s">
        <v>31</v>
      </c>
      <c r="C853">
        <v>60.79</v>
      </c>
      <c r="D853" t="s">
        <v>83</v>
      </c>
      <c r="E853" s="1">
        <v>46049</v>
      </c>
      <c r="F853" s="1">
        <v>46057</v>
      </c>
      <c r="H853" t="s">
        <v>63</v>
      </c>
      <c r="I853">
        <v>2</v>
      </c>
      <c r="J853" t="s">
        <v>180</v>
      </c>
    </row>
    <row r="854" spans="1:10" x14ac:dyDescent="0.25">
      <c r="A854" t="s">
        <v>995</v>
      </c>
      <c r="B854" t="s">
        <v>76</v>
      </c>
      <c r="C854">
        <v>108.44</v>
      </c>
      <c r="D854" t="s">
        <v>157</v>
      </c>
      <c r="E854" s="1">
        <v>46049</v>
      </c>
      <c r="F854" s="1">
        <v>46056</v>
      </c>
      <c r="H854" t="s">
        <v>54</v>
      </c>
      <c r="I854">
        <v>3</v>
      </c>
      <c r="J854" t="s">
        <v>121</v>
      </c>
    </row>
    <row r="855" spans="1:10" x14ac:dyDescent="0.25">
      <c r="A855" t="s">
        <v>996</v>
      </c>
      <c r="B855" t="s">
        <v>76</v>
      </c>
      <c r="C855">
        <v>36.29</v>
      </c>
      <c r="D855" t="s">
        <v>47</v>
      </c>
      <c r="E855" s="1">
        <v>46050</v>
      </c>
      <c r="F855" s="1">
        <v>46058</v>
      </c>
      <c r="G855" s="1">
        <v>46052</v>
      </c>
      <c r="H855" t="s">
        <v>33</v>
      </c>
      <c r="I855">
        <v>4</v>
      </c>
      <c r="J855" t="s">
        <v>77</v>
      </c>
    </row>
    <row r="856" spans="1:10" x14ac:dyDescent="0.25">
      <c r="A856" t="s">
        <v>997</v>
      </c>
      <c r="B856" t="s">
        <v>39</v>
      </c>
      <c r="C856">
        <v>36.67</v>
      </c>
      <c r="D856" t="s">
        <v>47</v>
      </c>
      <c r="E856" s="1">
        <v>46049</v>
      </c>
      <c r="F856" s="1">
        <v>46058</v>
      </c>
      <c r="G856" s="1">
        <v>46052</v>
      </c>
      <c r="H856" t="s">
        <v>33</v>
      </c>
      <c r="I856">
        <v>5</v>
      </c>
      <c r="J856" t="s">
        <v>69</v>
      </c>
    </row>
    <row r="857" spans="1:10" x14ac:dyDescent="0.25">
      <c r="A857" t="s">
        <v>998</v>
      </c>
      <c r="B857" t="s">
        <v>76</v>
      </c>
      <c r="C857">
        <v>30.2</v>
      </c>
      <c r="D857" t="s">
        <v>68</v>
      </c>
      <c r="E857" s="1">
        <v>46051</v>
      </c>
      <c r="F857" s="1">
        <v>46056</v>
      </c>
      <c r="G857" s="1">
        <v>46055</v>
      </c>
      <c r="H857" t="s">
        <v>33</v>
      </c>
      <c r="I857">
        <v>5</v>
      </c>
      <c r="J857" t="s">
        <v>172</v>
      </c>
    </row>
    <row r="858" spans="1:10" x14ac:dyDescent="0.25">
      <c r="A858" t="s">
        <v>999</v>
      </c>
      <c r="B858" t="s">
        <v>31</v>
      </c>
      <c r="C858">
        <v>100.92</v>
      </c>
      <c r="D858" t="s">
        <v>62</v>
      </c>
      <c r="E858" s="1">
        <v>46051</v>
      </c>
      <c r="F858" s="1">
        <v>46061</v>
      </c>
      <c r="G858" s="1">
        <v>46063</v>
      </c>
      <c r="H858" t="s">
        <v>33</v>
      </c>
      <c r="I858">
        <v>2</v>
      </c>
      <c r="J858" t="s">
        <v>170</v>
      </c>
    </row>
    <row r="859" spans="1:10" x14ac:dyDescent="0.25">
      <c r="A859" t="s">
        <v>1000</v>
      </c>
      <c r="B859" t="s">
        <v>76</v>
      </c>
      <c r="C859">
        <v>132.72</v>
      </c>
      <c r="D859" t="s">
        <v>62</v>
      </c>
      <c r="E859" s="1">
        <v>46052</v>
      </c>
      <c r="F859" s="1">
        <v>46058</v>
      </c>
      <c r="H859" t="s">
        <v>54</v>
      </c>
      <c r="I859">
        <v>4</v>
      </c>
      <c r="J859" t="s">
        <v>112</v>
      </c>
    </row>
    <row r="860" spans="1:10" x14ac:dyDescent="0.25">
      <c r="A860" t="s">
        <v>1001</v>
      </c>
      <c r="B860" t="s">
        <v>39</v>
      </c>
      <c r="C860">
        <v>107.8</v>
      </c>
      <c r="D860" t="s">
        <v>97</v>
      </c>
      <c r="E860" s="1">
        <v>46052</v>
      </c>
      <c r="F860" s="1">
        <v>46061</v>
      </c>
      <c r="G860" s="1">
        <v>46058</v>
      </c>
      <c r="H860" t="s">
        <v>33</v>
      </c>
      <c r="I860">
        <v>5</v>
      </c>
      <c r="J860" t="s">
        <v>119</v>
      </c>
    </row>
    <row r="861" spans="1:10" x14ac:dyDescent="0.25">
      <c r="A861" t="s">
        <v>1002</v>
      </c>
      <c r="B861" t="s">
        <v>31</v>
      </c>
      <c r="C861">
        <v>123.01</v>
      </c>
      <c r="D861" t="s">
        <v>32</v>
      </c>
      <c r="E861" s="1">
        <v>46051</v>
      </c>
      <c r="F861" s="1">
        <v>46058</v>
      </c>
      <c r="H861" t="s">
        <v>54</v>
      </c>
      <c r="I861">
        <v>2</v>
      </c>
      <c r="J861" t="s">
        <v>162</v>
      </c>
    </row>
    <row r="862" spans="1:10" x14ac:dyDescent="0.25">
      <c r="A862" t="s">
        <v>1003</v>
      </c>
      <c r="B862" t="s">
        <v>31</v>
      </c>
      <c r="C862">
        <v>26.81</v>
      </c>
      <c r="D862" t="s">
        <v>47</v>
      </c>
      <c r="E862" s="1">
        <v>46052</v>
      </c>
      <c r="F862" s="1">
        <v>46062</v>
      </c>
      <c r="G862" s="1">
        <v>46058</v>
      </c>
      <c r="H862" t="s">
        <v>33</v>
      </c>
      <c r="I862">
        <v>4</v>
      </c>
      <c r="J862" t="s">
        <v>77</v>
      </c>
    </row>
    <row r="863" spans="1:10" x14ac:dyDescent="0.25">
      <c r="A863" t="s">
        <v>1004</v>
      </c>
      <c r="B863" t="s">
        <v>76</v>
      </c>
      <c r="C863">
        <v>21.24</v>
      </c>
      <c r="D863" t="s">
        <v>157</v>
      </c>
      <c r="E863" s="1">
        <v>46052</v>
      </c>
      <c r="F863" s="1">
        <v>46057</v>
      </c>
      <c r="H863" t="s">
        <v>54</v>
      </c>
      <c r="I863">
        <v>4</v>
      </c>
      <c r="J863" t="s">
        <v>127</v>
      </c>
    </row>
    <row r="864" spans="1:10" x14ac:dyDescent="0.25">
      <c r="A864" t="s">
        <v>1005</v>
      </c>
      <c r="B864" t="s">
        <v>76</v>
      </c>
      <c r="C864">
        <v>59.89</v>
      </c>
      <c r="D864" t="s">
        <v>47</v>
      </c>
      <c r="E864" s="1">
        <v>46053</v>
      </c>
      <c r="F864" s="1">
        <v>46058</v>
      </c>
      <c r="G864" s="1">
        <v>46055</v>
      </c>
      <c r="H864" t="s">
        <v>33</v>
      </c>
      <c r="I864">
        <v>5</v>
      </c>
      <c r="J864" t="s">
        <v>112</v>
      </c>
    </row>
    <row r="865" spans="1:10" x14ac:dyDescent="0.25">
      <c r="A865" t="s">
        <v>1006</v>
      </c>
      <c r="B865" t="s">
        <v>61</v>
      </c>
      <c r="C865">
        <v>118.13</v>
      </c>
      <c r="D865" t="s">
        <v>68</v>
      </c>
      <c r="E865" s="1">
        <v>46052</v>
      </c>
      <c r="F865" s="1">
        <v>46060</v>
      </c>
      <c r="H865" t="s">
        <v>161</v>
      </c>
      <c r="I865">
        <v>1</v>
      </c>
      <c r="J865" t="s">
        <v>102</v>
      </c>
    </row>
    <row r="866" spans="1:10" x14ac:dyDescent="0.25">
      <c r="A866" t="s">
        <v>1007</v>
      </c>
      <c r="B866" t="s">
        <v>61</v>
      </c>
      <c r="C866">
        <v>76.510000000000005</v>
      </c>
      <c r="D866" t="s">
        <v>97</v>
      </c>
      <c r="E866" s="1">
        <v>46053</v>
      </c>
      <c r="F866" s="1">
        <v>46058</v>
      </c>
      <c r="G866" s="1">
        <v>46056</v>
      </c>
      <c r="H866" t="s">
        <v>33</v>
      </c>
      <c r="I866">
        <v>4</v>
      </c>
      <c r="J866" t="s">
        <v>112</v>
      </c>
    </row>
    <row r="867" spans="1:10" x14ac:dyDescent="0.25">
      <c r="A867" t="s">
        <v>1008</v>
      </c>
      <c r="B867" t="s">
        <v>31</v>
      </c>
      <c r="C867">
        <v>88.21</v>
      </c>
      <c r="D867" t="s">
        <v>47</v>
      </c>
      <c r="E867" s="1">
        <v>46054</v>
      </c>
      <c r="F867" s="1">
        <v>46062</v>
      </c>
      <c r="G867" s="1">
        <v>46067</v>
      </c>
      <c r="H867" t="s">
        <v>33</v>
      </c>
      <c r="I867">
        <v>1</v>
      </c>
      <c r="J867" t="s">
        <v>129</v>
      </c>
    </row>
    <row r="868" spans="1:10" x14ac:dyDescent="0.25">
      <c r="A868" t="s">
        <v>1009</v>
      </c>
      <c r="B868" t="s">
        <v>31</v>
      </c>
      <c r="C868">
        <v>34.56</v>
      </c>
      <c r="D868" t="s">
        <v>47</v>
      </c>
      <c r="E868" s="1">
        <v>46053</v>
      </c>
      <c r="F868" s="1">
        <v>46063</v>
      </c>
      <c r="H868" t="s">
        <v>54</v>
      </c>
      <c r="I868">
        <v>3</v>
      </c>
      <c r="J868" t="s">
        <v>243</v>
      </c>
    </row>
    <row r="869" spans="1:10" x14ac:dyDescent="0.25">
      <c r="A869" t="s">
        <v>1010</v>
      </c>
      <c r="B869" t="s">
        <v>31</v>
      </c>
      <c r="C869">
        <v>16.59</v>
      </c>
      <c r="D869" t="s">
        <v>264</v>
      </c>
      <c r="E869" s="1">
        <v>46053</v>
      </c>
      <c r="F869" s="1">
        <v>46063</v>
      </c>
      <c r="G869" s="1">
        <v>46059</v>
      </c>
      <c r="H869" t="s">
        <v>33</v>
      </c>
      <c r="I869">
        <v>4</v>
      </c>
      <c r="J869" t="s">
        <v>41</v>
      </c>
    </row>
    <row r="870" spans="1:10" x14ac:dyDescent="0.25">
      <c r="A870" t="s">
        <v>1011</v>
      </c>
      <c r="B870" t="s">
        <v>76</v>
      </c>
      <c r="C870">
        <v>18.88</v>
      </c>
      <c r="D870" t="s">
        <v>126</v>
      </c>
      <c r="E870" s="1">
        <v>46055</v>
      </c>
      <c r="F870" s="1">
        <v>46064</v>
      </c>
      <c r="G870" s="1">
        <v>46065</v>
      </c>
      <c r="H870" t="s">
        <v>33</v>
      </c>
      <c r="I870">
        <v>1</v>
      </c>
      <c r="J870" t="s">
        <v>461</v>
      </c>
    </row>
    <row r="871" spans="1:10" x14ac:dyDescent="0.25">
      <c r="A871" t="s">
        <v>1012</v>
      </c>
      <c r="B871" t="s">
        <v>31</v>
      </c>
      <c r="C871">
        <v>19.23</v>
      </c>
      <c r="D871" t="s">
        <v>62</v>
      </c>
      <c r="E871" s="1">
        <v>46054</v>
      </c>
      <c r="F871" s="1">
        <v>46064</v>
      </c>
      <c r="G871" s="1">
        <v>46064</v>
      </c>
      <c r="H871" t="s">
        <v>33</v>
      </c>
      <c r="I871">
        <v>4</v>
      </c>
      <c r="J871" t="s">
        <v>127</v>
      </c>
    </row>
    <row r="872" spans="1:10" x14ac:dyDescent="0.25">
      <c r="A872" t="s">
        <v>1013</v>
      </c>
      <c r="B872" t="s">
        <v>39</v>
      </c>
      <c r="C872">
        <v>17.82</v>
      </c>
      <c r="D872" t="s">
        <v>47</v>
      </c>
      <c r="E872" s="1">
        <v>46054</v>
      </c>
      <c r="F872" s="1">
        <v>46062</v>
      </c>
      <c r="G872" s="1">
        <v>46065</v>
      </c>
      <c r="H872" t="s">
        <v>33</v>
      </c>
      <c r="I872">
        <v>3</v>
      </c>
      <c r="J872" t="s">
        <v>146</v>
      </c>
    </row>
    <row r="873" spans="1:10" x14ac:dyDescent="0.25">
      <c r="A873" t="s">
        <v>1014</v>
      </c>
      <c r="B873" t="s">
        <v>31</v>
      </c>
      <c r="C873">
        <v>29.67</v>
      </c>
      <c r="D873" t="s">
        <v>62</v>
      </c>
      <c r="E873" s="1">
        <v>46056</v>
      </c>
      <c r="F873" s="1">
        <v>46061</v>
      </c>
      <c r="H873" t="s">
        <v>54</v>
      </c>
      <c r="I873">
        <v>4</v>
      </c>
      <c r="J873" t="s">
        <v>34</v>
      </c>
    </row>
    <row r="874" spans="1:10" x14ac:dyDescent="0.25">
      <c r="A874" t="s">
        <v>1015</v>
      </c>
      <c r="B874" t="s">
        <v>61</v>
      </c>
      <c r="C874">
        <v>64.34</v>
      </c>
      <c r="D874" t="s">
        <v>53</v>
      </c>
      <c r="E874" s="1">
        <v>46056</v>
      </c>
      <c r="F874" s="1">
        <v>46065</v>
      </c>
      <c r="G874" s="1">
        <v>46068</v>
      </c>
      <c r="H874" t="s">
        <v>33</v>
      </c>
      <c r="I874">
        <v>2</v>
      </c>
      <c r="J874" t="s">
        <v>153</v>
      </c>
    </row>
    <row r="875" spans="1:10" x14ac:dyDescent="0.25">
      <c r="A875" t="s">
        <v>1016</v>
      </c>
      <c r="B875" t="s">
        <v>61</v>
      </c>
      <c r="C875">
        <v>48.95</v>
      </c>
      <c r="D875" t="s">
        <v>133</v>
      </c>
      <c r="E875" s="1">
        <v>46057</v>
      </c>
      <c r="F875" s="1">
        <v>46064</v>
      </c>
      <c r="H875" t="s">
        <v>54</v>
      </c>
      <c r="I875">
        <v>3</v>
      </c>
      <c r="J875" t="s">
        <v>121</v>
      </c>
    </row>
    <row r="876" spans="1:10" x14ac:dyDescent="0.25">
      <c r="A876" t="s">
        <v>1017</v>
      </c>
      <c r="B876" t="s">
        <v>39</v>
      </c>
      <c r="C876">
        <v>86.83</v>
      </c>
      <c r="D876" t="s">
        <v>99</v>
      </c>
      <c r="E876" s="1">
        <v>46056</v>
      </c>
      <c r="F876" s="1">
        <v>46065</v>
      </c>
      <c r="G876" s="1">
        <v>46065</v>
      </c>
      <c r="H876" t="s">
        <v>33</v>
      </c>
      <c r="I876">
        <v>5</v>
      </c>
      <c r="J876" t="s">
        <v>79</v>
      </c>
    </row>
    <row r="877" spans="1:10" x14ac:dyDescent="0.25">
      <c r="A877" t="s">
        <v>1018</v>
      </c>
      <c r="B877" t="s">
        <v>61</v>
      </c>
      <c r="C877">
        <v>61.7</v>
      </c>
      <c r="D877" t="s">
        <v>126</v>
      </c>
      <c r="E877" s="1">
        <v>46056</v>
      </c>
      <c r="F877" s="1">
        <v>46066</v>
      </c>
      <c r="G877" s="1">
        <v>46067</v>
      </c>
      <c r="H877" t="s">
        <v>33</v>
      </c>
      <c r="I877">
        <v>1</v>
      </c>
      <c r="J877" t="s">
        <v>64</v>
      </c>
    </row>
    <row r="878" spans="1:10" x14ac:dyDescent="0.25">
      <c r="A878" t="s">
        <v>1019</v>
      </c>
      <c r="B878" t="s">
        <v>61</v>
      </c>
      <c r="C878">
        <v>47.02</v>
      </c>
      <c r="D878" t="s">
        <v>62</v>
      </c>
      <c r="E878" s="1">
        <v>46056</v>
      </c>
      <c r="F878" s="1">
        <v>46062</v>
      </c>
      <c r="H878" t="s">
        <v>161</v>
      </c>
      <c r="I878">
        <v>1</v>
      </c>
      <c r="J878" t="s">
        <v>64</v>
      </c>
    </row>
    <row r="879" spans="1:10" x14ac:dyDescent="0.25">
      <c r="A879" t="s">
        <v>1020</v>
      </c>
      <c r="B879" t="s">
        <v>31</v>
      </c>
      <c r="C879">
        <v>73.48</v>
      </c>
      <c r="D879" t="s">
        <v>157</v>
      </c>
      <c r="E879" s="1">
        <v>46056</v>
      </c>
      <c r="F879" s="1">
        <v>46064</v>
      </c>
      <c r="H879" t="s">
        <v>161</v>
      </c>
      <c r="I879">
        <v>2</v>
      </c>
      <c r="J879" t="s">
        <v>129</v>
      </c>
    </row>
    <row r="880" spans="1:10" x14ac:dyDescent="0.25">
      <c r="A880" t="s">
        <v>1021</v>
      </c>
      <c r="B880" t="s">
        <v>39</v>
      </c>
      <c r="C880">
        <v>41.9</v>
      </c>
      <c r="D880" t="s">
        <v>47</v>
      </c>
      <c r="E880" s="1">
        <v>46056</v>
      </c>
      <c r="F880" s="1">
        <v>46066</v>
      </c>
      <c r="G880" s="1">
        <v>46063</v>
      </c>
      <c r="H880" t="s">
        <v>33</v>
      </c>
      <c r="I880">
        <v>5</v>
      </c>
      <c r="J880" t="s">
        <v>134</v>
      </c>
    </row>
    <row r="881" spans="1:10" x14ac:dyDescent="0.25">
      <c r="A881" t="s">
        <v>1022</v>
      </c>
      <c r="B881" t="s">
        <v>76</v>
      </c>
      <c r="C881">
        <v>83.59</v>
      </c>
      <c r="D881" t="s">
        <v>47</v>
      </c>
      <c r="E881" s="1">
        <v>46057</v>
      </c>
      <c r="F881" s="1">
        <v>46066</v>
      </c>
      <c r="G881" s="1">
        <v>46064</v>
      </c>
      <c r="H881" t="s">
        <v>33</v>
      </c>
      <c r="I881">
        <v>4</v>
      </c>
      <c r="J881" t="s">
        <v>84</v>
      </c>
    </row>
    <row r="882" spans="1:10" x14ac:dyDescent="0.25">
      <c r="A882" t="s">
        <v>1023</v>
      </c>
      <c r="B882" t="s">
        <v>39</v>
      </c>
      <c r="C882">
        <v>35.869999999999997</v>
      </c>
      <c r="D882" t="s">
        <v>157</v>
      </c>
      <c r="E882" s="1">
        <v>46057</v>
      </c>
      <c r="F882" s="1">
        <v>46065</v>
      </c>
      <c r="G882" s="1">
        <v>46068</v>
      </c>
      <c r="H882" t="s">
        <v>33</v>
      </c>
      <c r="I882">
        <v>3</v>
      </c>
      <c r="J882" t="s">
        <v>121</v>
      </c>
    </row>
    <row r="883" spans="1:10" x14ac:dyDescent="0.25">
      <c r="A883" t="s">
        <v>1024</v>
      </c>
      <c r="B883" t="s">
        <v>39</v>
      </c>
      <c r="C883">
        <v>92.06</v>
      </c>
      <c r="D883" t="s">
        <v>97</v>
      </c>
      <c r="E883" s="1">
        <v>46057</v>
      </c>
      <c r="F883" s="1">
        <v>46067</v>
      </c>
      <c r="G883" s="1">
        <v>46059</v>
      </c>
      <c r="H883" t="s">
        <v>33</v>
      </c>
      <c r="I883">
        <v>4</v>
      </c>
      <c r="J883" t="s">
        <v>112</v>
      </c>
    </row>
    <row r="884" spans="1:10" x14ac:dyDescent="0.25">
      <c r="A884" t="s">
        <v>1025</v>
      </c>
      <c r="B884" t="s">
        <v>76</v>
      </c>
      <c r="C884">
        <v>61.19</v>
      </c>
      <c r="D884" t="s">
        <v>40</v>
      </c>
      <c r="E884" s="1">
        <v>46058</v>
      </c>
      <c r="F884" s="1">
        <v>46068</v>
      </c>
      <c r="G884" s="1">
        <v>46061</v>
      </c>
      <c r="H884" t="s">
        <v>33</v>
      </c>
      <c r="I884">
        <v>5</v>
      </c>
      <c r="J884" t="s">
        <v>34</v>
      </c>
    </row>
    <row r="885" spans="1:10" x14ac:dyDescent="0.25">
      <c r="A885" t="s">
        <v>1026</v>
      </c>
      <c r="B885" t="s">
        <v>31</v>
      </c>
      <c r="C885">
        <v>139.84</v>
      </c>
      <c r="D885" t="s">
        <v>99</v>
      </c>
      <c r="E885" s="1">
        <v>46059</v>
      </c>
      <c r="F885" s="1">
        <v>46069</v>
      </c>
      <c r="G885" s="1">
        <v>46061</v>
      </c>
      <c r="H885" t="s">
        <v>33</v>
      </c>
      <c r="I885">
        <v>5</v>
      </c>
      <c r="J885" t="s">
        <v>119</v>
      </c>
    </row>
    <row r="886" spans="1:10" x14ac:dyDescent="0.25">
      <c r="A886" t="s">
        <v>1027</v>
      </c>
      <c r="B886" t="s">
        <v>39</v>
      </c>
      <c r="C886">
        <v>138.4</v>
      </c>
      <c r="D886" t="s">
        <v>47</v>
      </c>
      <c r="E886" s="1">
        <v>46059</v>
      </c>
      <c r="F886" s="1">
        <v>46065</v>
      </c>
      <c r="G886" s="1">
        <v>46063</v>
      </c>
      <c r="H886" t="s">
        <v>33</v>
      </c>
      <c r="I886">
        <v>5</v>
      </c>
      <c r="J886" t="s">
        <v>69</v>
      </c>
    </row>
    <row r="887" spans="1:10" x14ac:dyDescent="0.25">
      <c r="A887" t="s">
        <v>1028</v>
      </c>
      <c r="B887" t="s">
        <v>39</v>
      </c>
      <c r="C887">
        <v>108.4</v>
      </c>
      <c r="D887" t="s">
        <v>62</v>
      </c>
      <c r="E887" s="1">
        <v>46059</v>
      </c>
      <c r="F887" s="1">
        <v>46068</v>
      </c>
      <c r="G887" s="1">
        <v>46069</v>
      </c>
      <c r="H887" t="s">
        <v>33</v>
      </c>
      <c r="I887">
        <v>1</v>
      </c>
      <c r="J887" t="s">
        <v>258</v>
      </c>
    </row>
    <row r="888" spans="1:10" x14ac:dyDescent="0.25">
      <c r="A888" t="s">
        <v>1029</v>
      </c>
      <c r="B888" t="s">
        <v>61</v>
      </c>
      <c r="C888">
        <v>99.2</v>
      </c>
      <c r="D888" t="s">
        <v>47</v>
      </c>
      <c r="E888" s="1">
        <v>46060</v>
      </c>
      <c r="F888" s="1">
        <v>46070</v>
      </c>
      <c r="G888" s="1">
        <v>46063</v>
      </c>
      <c r="H888" t="s">
        <v>33</v>
      </c>
      <c r="I888">
        <v>5</v>
      </c>
      <c r="J888" t="s">
        <v>112</v>
      </c>
    </row>
    <row r="889" spans="1:10" x14ac:dyDescent="0.25">
      <c r="A889" t="s">
        <v>1030</v>
      </c>
      <c r="B889" t="s">
        <v>76</v>
      </c>
      <c r="C889">
        <v>46.82</v>
      </c>
      <c r="D889" t="s">
        <v>47</v>
      </c>
      <c r="E889" s="1">
        <v>46060</v>
      </c>
      <c r="F889" s="1">
        <v>46067</v>
      </c>
      <c r="G889" s="1">
        <v>46062</v>
      </c>
      <c r="H889" t="s">
        <v>33</v>
      </c>
      <c r="I889">
        <v>5</v>
      </c>
      <c r="J889" t="s">
        <v>84</v>
      </c>
    </row>
    <row r="890" spans="1:10" x14ac:dyDescent="0.25">
      <c r="A890" t="s">
        <v>1031</v>
      </c>
      <c r="B890" t="s">
        <v>61</v>
      </c>
      <c r="C890">
        <v>57.79</v>
      </c>
      <c r="D890" t="s">
        <v>99</v>
      </c>
      <c r="E890" s="1">
        <v>46060</v>
      </c>
      <c r="F890" s="1">
        <v>46068</v>
      </c>
      <c r="G890" s="1">
        <v>46062</v>
      </c>
      <c r="H890" t="s">
        <v>33</v>
      </c>
      <c r="I890">
        <v>4</v>
      </c>
      <c r="J890" t="s">
        <v>127</v>
      </c>
    </row>
    <row r="891" spans="1:10" x14ac:dyDescent="0.25">
      <c r="A891" t="s">
        <v>1032</v>
      </c>
      <c r="B891" t="s">
        <v>61</v>
      </c>
      <c r="C891">
        <v>58.21</v>
      </c>
      <c r="D891" t="s">
        <v>83</v>
      </c>
      <c r="E891" s="1">
        <v>46060</v>
      </c>
      <c r="F891" s="1">
        <v>46068</v>
      </c>
      <c r="H891" t="s">
        <v>54</v>
      </c>
      <c r="I891">
        <v>2</v>
      </c>
      <c r="J891" t="s">
        <v>102</v>
      </c>
    </row>
    <row r="892" spans="1:10" x14ac:dyDescent="0.25">
      <c r="A892" t="s">
        <v>1033</v>
      </c>
      <c r="B892" t="s">
        <v>31</v>
      </c>
      <c r="C892">
        <v>26.76</v>
      </c>
      <c r="D892" t="s">
        <v>47</v>
      </c>
      <c r="E892" s="1">
        <v>46061</v>
      </c>
      <c r="F892" s="1">
        <v>46066</v>
      </c>
      <c r="G892" s="1">
        <v>46065</v>
      </c>
      <c r="H892" t="s">
        <v>33</v>
      </c>
      <c r="I892">
        <v>5</v>
      </c>
      <c r="J892" t="s">
        <v>48</v>
      </c>
    </row>
    <row r="893" spans="1:10" x14ac:dyDescent="0.25">
      <c r="A893" t="s">
        <v>1034</v>
      </c>
      <c r="B893" t="s">
        <v>61</v>
      </c>
      <c r="C893">
        <v>18.46</v>
      </c>
      <c r="D893" t="s">
        <v>47</v>
      </c>
      <c r="E893" s="1">
        <v>46062</v>
      </c>
      <c r="F893" s="1">
        <v>46071</v>
      </c>
      <c r="G893" s="1">
        <v>46068</v>
      </c>
      <c r="H893" t="s">
        <v>33</v>
      </c>
      <c r="I893">
        <v>4</v>
      </c>
      <c r="J893" t="s">
        <v>77</v>
      </c>
    </row>
    <row r="894" spans="1:10" x14ac:dyDescent="0.25">
      <c r="A894" t="s">
        <v>1035</v>
      </c>
      <c r="B894" t="s">
        <v>61</v>
      </c>
      <c r="C894">
        <v>77.53</v>
      </c>
      <c r="D894" t="s">
        <v>264</v>
      </c>
      <c r="E894" s="1">
        <v>46062</v>
      </c>
      <c r="F894" s="1">
        <v>46072</v>
      </c>
      <c r="G894" s="1">
        <v>46064</v>
      </c>
      <c r="H894" t="s">
        <v>33</v>
      </c>
      <c r="I894">
        <v>5</v>
      </c>
      <c r="J894" t="s">
        <v>84</v>
      </c>
    </row>
    <row r="895" spans="1:10" x14ac:dyDescent="0.25">
      <c r="A895" t="s">
        <v>1036</v>
      </c>
      <c r="B895" t="s">
        <v>31</v>
      </c>
      <c r="C895">
        <v>20.74</v>
      </c>
      <c r="D895" t="s">
        <v>47</v>
      </c>
      <c r="E895" s="1">
        <v>46061</v>
      </c>
      <c r="F895" s="1">
        <v>46071</v>
      </c>
      <c r="G895" s="1">
        <v>46069</v>
      </c>
      <c r="H895" t="s">
        <v>33</v>
      </c>
      <c r="I895">
        <v>4</v>
      </c>
      <c r="J895" t="s">
        <v>84</v>
      </c>
    </row>
    <row r="896" spans="1:10" x14ac:dyDescent="0.25">
      <c r="A896" t="s">
        <v>1037</v>
      </c>
      <c r="B896" t="s">
        <v>31</v>
      </c>
      <c r="C896">
        <v>82.9</v>
      </c>
      <c r="D896" t="s">
        <v>62</v>
      </c>
      <c r="E896" s="1">
        <v>46063</v>
      </c>
      <c r="F896" s="1">
        <v>46071</v>
      </c>
      <c r="G896" s="1">
        <v>46069</v>
      </c>
      <c r="H896" t="s">
        <v>33</v>
      </c>
      <c r="I896">
        <v>4</v>
      </c>
      <c r="J896" t="s">
        <v>77</v>
      </c>
    </row>
    <row r="897" spans="1:10" x14ac:dyDescent="0.25">
      <c r="A897" t="s">
        <v>1038</v>
      </c>
      <c r="B897" t="s">
        <v>61</v>
      </c>
      <c r="C897">
        <v>83.52</v>
      </c>
      <c r="D897" t="s">
        <v>62</v>
      </c>
      <c r="E897" s="1">
        <v>46062</v>
      </c>
      <c r="F897" s="1">
        <v>46071</v>
      </c>
      <c r="G897" s="1">
        <v>46067</v>
      </c>
      <c r="H897" t="s">
        <v>33</v>
      </c>
      <c r="I897">
        <v>5</v>
      </c>
      <c r="J897" t="s">
        <v>79</v>
      </c>
    </row>
    <row r="898" spans="1:10" x14ac:dyDescent="0.25">
      <c r="A898" t="s">
        <v>1039</v>
      </c>
      <c r="B898" t="s">
        <v>76</v>
      </c>
      <c r="C898">
        <v>21.2</v>
      </c>
      <c r="D898" t="s">
        <v>62</v>
      </c>
      <c r="E898" s="1">
        <v>46064</v>
      </c>
      <c r="F898" s="1">
        <v>46071</v>
      </c>
      <c r="H898" t="s">
        <v>54</v>
      </c>
      <c r="I898">
        <v>2</v>
      </c>
      <c r="J898" t="s">
        <v>168</v>
      </c>
    </row>
    <row r="899" spans="1:10" x14ac:dyDescent="0.25">
      <c r="A899" t="s">
        <v>1040</v>
      </c>
      <c r="B899" t="s">
        <v>31</v>
      </c>
      <c r="C899">
        <v>45.94</v>
      </c>
      <c r="D899" t="s">
        <v>133</v>
      </c>
      <c r="E899" s="1">
        <v>46064</v>
      </c>
      <c r="F899" s="1">
        <v>46072</v>
      </c>
      <c r="G899" s="1">
        <v>46069</v>
      </c>
      <c r="H899" t="s">
        <v>33</v>
      </c>
      <c r="I899">
        <v>4</v>
      </c>
      <c r="J899" t="s">
        <v>172</v>
      </c>
    </row>
    <row r="900" spans="1:10" x14ac:dyDescent="0.25">
      <c r="A900" t="s">
        <v>1041</v>
      </c>
      <c r="B900" t="s">
        <v>61</v>
      </c>
      <c r="C900">
        <v>19.059999999999999</v>
      </c>
      <c r="D900" t="s">
        <v>32</v>
      </c>
      <c r="E900" s="1">
        <v>46065</v>
      </c>
      <c r="F900" s="1">
        <v>46073</v>
      </c>
      <c r="G900" s="1">
        <v>46073</v>
      </c>
      <c r="H900" t="s">
        <v>33</v>
      </c>
      <c r="I900">
        <v>5</v>
      </c>
      <c r="J900" t="s">
        <v>134</v>
      </c>
    </row>
    <row r="901" spans="1:10" x14ac:dyDescent="0.25">
      <c r="A901" t="s">
        <v>1042</v>
      </c>
      <c r="B901" t="s">
        <v>76</v>
      </c>
      <c r="C901">
        <v>121.82</v>
      </c>
      <c r="D901" t="s">
        <v>97</v>
      </c>
      <c r="E901" s="1">
        <v>46066</v>
      </c>
      <c r="F901" s="1">
        <v>46074</v>
      </c>
      <c r="G901" s="1">
        <v>46069</v>
      </c>
      <c r="H901" t="s">
        <v>33</v>
      </c>
      <c r="I901">
        <v>5</v>
      </c>
      <c r="J901" t="s">
        <v>34</v>
      </c>
    </row>
    <row r="902" spans="1:10" x14ac:dyDescent="0.25">
      <c r="A902" t="s">
        <v>1043</v>
      </c>
      <c r="B902" t="s">
        <v>61</v>
      </c>
      <c r="C902">
        <v>53.67</v>
      </c>
      <c r="D902" t="s">
        <v>150</v>
      </c>
      <c r="E902" s="1">
        <v>46065</v>
      </c>
      <c r="F902" s="1">
        <v>46074</v>
      </c>
      <c r="G902" s="1">
        <v>46073</v>
      </c>
      <c r="H902" t="s">
        <v>33</v>
      </c>
      <c r="I902">
        <v>5</v>
      </c>
      <c r="J902" t="s">
        <v>211</v>
      </c>
    </row>
    <row r="903" spans="1:10" x14ac:dyDescent="0.25">
      <c r="A903" t="s">
        <v>1044</v>
      </c>
      <c r="B903" t="s">
        <v>61</v>
      </c>
      <c r="C903">
        <v>16.850000000000001</v>
      </c>
      <c r="D903" t="s">
        <v>264</v>
      </c>
      <c r="E903" s="1">
        <v>46066</v>
      </c>
      <c r="F903" s="1">
        <v>46075</v>
      </c>
      <c r="G903" s="1">
        <v>46069</v>
      </c>
      <c r="H903" t="s">
        <v>33</v>
      </c>
      <c r="I903">
        <v>4</v>
      </c>
      <c r="J903" t="s">
        <v>84</v>
      </c>
    </row>
    <row r="904" spans="1:10" x14ac:dyDescent="0.25">
      <c r="A904" t="s">
        <v>1045</v>
      </c>
      <c r="B904" t="s">
        <v>31</v>
      </c>
      <c r="C904">
        <v>26.66</v>
      </c>
      <c r="D904" t="s">
        <v>47</v>
      </c>
      <c r="E904" s="1">
        <v>46067</v>
      </c>
      <c r="F904" s="1">
        <v>46074</v>
      </c>
      <c r="G904" s="1">
        <v>46070</v>
      </c>
      <c r="H904" t="s">
        <v>33</v>
      </c>
      <c r="I904">
        <v>4</v>
      </c>
      <c r="J904" t="s">
        <v>77</v>
      </c>
    </row>
    <row r="905" spans="1:10" x14ac:dyDescent="0.25">
      <c r="A905" t="s">
        <v>1046</v>
      </c>
      <c r="B905" t="s">
        <v>31</v>
      </c>
      <c r="C905">
        <v>27.97</v>
      </c>
      <c r="D905" t="s">
        <v>62</v>
      </c>
      <c r="E905" s="1">
        <v>46068</v>
      </c>
      <c r="F905" s="1">
        <v>46074</v>
      </c>
      <c r="H905" t="s">
        <v>63</v>
      </c>
      <c r="I905">
        <v>2</v>
      </c>
      <c r="J905" t="s">
        <v>108</v>
      </c>
    </row>
    <row r="906" spans="1:10" x14ac:dyDescent="0.25">
      <c r="A906" t="s">
        <v>1047</v>
      </c>
      <c r="B906" t="s">
        <v>61</v>
      </c>
      <c r="C906">
        <v>27.51</v>
      </c>
      <c r="D906" t="s">
        <v>47</v>
      </c>
      <c r="E906" s="1">
        <v>46067</v>
      </c>
      <c r="F906" s="1">
        <v>46075</v>
      </c>
      <c r="G906" s="1">
        <v>46077</v>
      </c>
      <c r="H906" t="s">
        <v>33</v>
      </c>
      <c r="I906">
        <v>2</v>
      </c>
      <c r="J906" t="s">
        <v>131</v>
      </c>
    </row>
    <row r="907" spans="1:10" x14ac:dyDescent="0.25">
      <c r="A907" t="s">
        <v>1048</v>
      </c>
      <c r="B907" t="s">
        <v>39</v>
      </c>
      <c r="C907">
        <v>129.16999999999999</v>
      </c>
      <c r="D907" t="s">
        <v>47</v>
      </c>
      <c r="E907" s="1">
        <v>46068</v>
      </c>
      <c r="F907" s="1">
        <v>46075</v>
      </c>
      <c r="G907" s="1">
        <v>46074</v>
      </c>
      <c r="H907" t="s">
        <v>33</v>
      </c>
      <c r="I907">
        <v>5</v>
      </c>
      <c r="J907" t="s">
        <v>41</v>
      </c>
    </row>
    <row r="908" spans="1:10" x14ac:dyDescent="0.25">
      <c r="A908" t="s">
        <v>1049</v>
      </c>
      <c r="B908" t="s">
        <v>61</v>
      </c>
      <c r="C908">
        <v>26.95</v>
      </c>
      <c r="D908" t="s">
        <v>47</v>
      </c>
      <c r="E908" s="1">
        <v>46070</v>
      </c>
      <c r="F908" s="1">
        <v>46075</v>
      </c>
      <c r="H908" t="s">
        <v>63</v>
      </c>
      <c r="I908">
        <v>3</v>
      </c>
      <c r="J908" t="s">
        <v>55</v>
      </c>
    </row>
    <row r="909" spans="1:10" x14ac:dyDescent="0.25">
      <c r="A909" t="s">
        <v>1050</v>
      </c>
      <c r="B909" t="s">
        <v>39</v>
      </c>
      <c r="C909">
        <v>33.54</v>
      </c>
      <c r="D909" t="s">
        <v>32</v>
      </c>
      <c r="E909" s="1">
        <v>46069</v>
      </c>
      <c r="F909" s="1">
        <v>46078</v>
      </c>
      <c r="G909" s="1">
        <v>46076</v>
      </c>
      <c r="H909" t="s">
        <v>33</v>
      </c>
      <c r="I909">
        <v>4</v>
      </c>
      <c r="J909" t="s">
        <v>84</v>
      </c>
    </row>
    <row r="910" spans="1:10" x14ac:dyDescent="0.25">
      <c r="A910" t="s">
        <v>1051</v>
      </c>
      <c r="B910" t="s">
        <v>76</v>
      </c>
      <c r="C910">
        <v>16.14</v>
      </c>
      <c r="D910" t="s">
        <v>47</v>
      </c>
      <c r="E910" s="1">
        <v>46071</v>
      </c>
      <c r="F910" s="1">
        <v>46076</v>
      </c>
      <c r="G910" s="1">
        <v>46075</v>
      </c>
      <c r="H910" t="s">
        <v>33</v>
      </c>
      <c r="I910">
        <v>5</v>
      </c>
      <c r="J910" t="s">
        <v>134</v>
      </c>
    </row>
    <row r="911" spans="1:10" x14ac:dyDescent="0.25">
      <c r="A911" t="s">
        <v>1052</v>
      </c>
      <c r="B911" t="s">
        <v>31</v>
      </c>
      <c r="C911">
        <v>15.77</v>
      </c>
      <c r="D911" t="s">
        <v>32</v>
      </c>
      <c r="E911" s="1">
        <v>46072</v>
      </c>
      <c r="F911" s="1">
        <v>46080</v>
      </c>
      <c r="G911" s="1">
        <v>46075</v>
      </c>
      <c r="H911" t="s">
        <v>33</v>
      </c>
      <c r="I911">
        <v>4</v>
      </c>
      <c r="J911" t="s">
        <v>117</v>
      </c>
    </row>
    <row r="912" spans="1:10" x14ac:dyDescent="0.25">
      <c r="A912" t="s">
        <v>1053</v>
      </c>
      <c r="B912" t="s">
        <v>39</v>
      </c>
      <c r="C912">
        <v>47.13</v>
      </c>
      <c r="D912" t="s">
        <v>62</v>
      </c>
      <c r="E912" s="1">
        <v>46072</v>
      </c>
      <c r="F912" s="1">
        <v>46082</v>
      </c>
      <c r="H912" t="s">
        <v>63</v>
      </c>
      <c r="I912">
        <v>1</v>
      </c>
      <c r="J912" t="s">
        <v>248</v>
      </c>
    </row>
    <row r="913" spans="1:10" x14ac:dyDescent="0.25">
      <c r="A913" t="s">
        <v>1054</v>
      </c>
      <c r="B913" t="s">
        <v>39</v>
      </c>
      <c r="C913">
        <v>51.79</v>
      </c>
      <c r="D913" t="s">
        <v>47</v>
      </c>
      <c r="E913" s="1">
        <v>46073</v>
      </c>
      <c r="F913" s="1">
        <v>46082</v>
      </c>
      <c r="G913" s="1">
        <v>46078</v>
      </c>
      <c r="H913" t="s">
        <v>33</v>
      </c>
      <c r="I913">
        <v>4</v>
      </c>
      <c r="J913" t="s">
        <v>119</v>
      </c>
    </row>
    <row r="914" spans="1:10" x14ac:dyDescent="0.25">
      <c r="A914" t="s">
        <v>1055</v>
      </c>
      <c r="B914" t="s">
        <v>76</v>
      </c>
      <c r="C914">
        <v>17.239999999999998</v>
      </c>
      <c r="D914" t="s">
        <v>40</v>
      </c>
      <c r="E914" s="1">
        <v>46074</v>
      </c>
      <c r="F914" s="1">
        <v>46083</v>
      </c>
      <c r="G914" s="1">
        <v>46085</v>
      </c>
      <c r="H914" t="s">
        <v>33</v>
      </c>
      <c r="I914">
        <v>2</v>
      </c>
      <c r="J914" t="s">
        <v>185</v>
      </c>
    </row>
    <row r="915" spans="1:10" x14ac:dyDescent="0.25">
      <c r="A915" t="s">
        <v>1056</v>
      </c>
      <c r="B915" t="s">
        <v>76</v>
      </c>
      <c r="C915">
        <v>21.69</v>
      </c>
      <c r="D915" t="s">
        <v>157</v>
      </c>
      <c r="E915" s="1">
        <v>46074</v>
      </c>
      <c r="F915" s="1">
        <v>46083</v>
      </c>
      <c r="G915" s="1">
        <v>46078</v>
      </c>
      <c r="H915" t="s">
        <v>33</v>
      </c>
      <c r="I915">
        <v>5</v>
      </c>
      <c r="J915" t="s">
        <v>84</v>
      </c>
    </row>
    <row r="916" spans="1:10" x14ac:dyDescent="0.25">
      <c r="A916" t="s">
        <v>1057</v>
      </c>
      <c r="B916" t="s">
        <v>76</v>
      </c>
      <c r="C916">
        <v>32.71</v>
      </c>
      <c r="D916" t="s">
        <v>47</v>
      </c>
      <c r="E916" s="1">
        <v>46075</v>
      </c>
      <c r="F916" s="1">
        <v>46080</v>
      </c>
      <c r="G916" s="1">
        <v>46082</v>
      </c>
      <c r="H916" t="s">
        <v>33</v>
      </c>
      <c r="I916">
        <v>1</v>
      </c>
      <c r="J916" t="s">
        <v>64</v>
      </c>
    </row>
    <row r="917" spans="1:10" x14ac:dyDescent="0.25">
      <c r="A917" t="s">
        <v>1058</v>
      </c>
      <c r="B917" t="s">
        <v>31</v>
      </c>
      <c r="C917">
        <v>38.74</v>
      </c>
      <c r="D917" t="s">
        <v>62</v>
      </c>
      <c r="E917" s="1">
        <v>46075</v>
      </c>
      <c r="F917" s="1">
        <v>46084</v>
      </c>
      <c r="G917" s="1">
        <v>46082</v>
      </c>
      <c r="H917" t="s">
        <v>33</v>
      </c>
      <c r="I917">
        <v>5</v>
      </c>
      <c r="J917" t="s">
        <v>69</v>
      </c>
    </row>
    <row r="918" spans="1:10" x14ac:dyDescent="0.25">
      <c r="A918" t="s">
        <v>1059</v>
      </c>
      <c r="B918" t="s">
        <v>39</v>
      </c>
      <c r="C918">
        <v>144.41999999999999</v>
      </c>
      <c r="D918" t="s">
        <v>99</v>
      </c>
      <c r="E918" s="1">
        <v>46076</v>
      </c>
      <c r="F918" s="1">
        <v>46082</v>
      </c>
      <c r="G918" s="1">
        <v>46086</v>
      </c>
      <c r="H918" t="s">
        <v>33</v>
      </c>
      <c r="I918">
        <v>3</v>
      </c>
      <c r="J918" t="s">
        <v>230</v>
      </c>
    </row>
    <row r="919" spans="1:10" x14ac:dyDescent="0.25">
      <c r="A919" t="s">
        <v>1060</v>
      </c>
      <c r="B919" t="s">
        <v>61</v>
      </c>
      <c r="C919">
        <v>36.590000000000003</v>
      </c>
      <c r="D919" t="s">
        <v>150</v>
      </c>
      <c r="E919" s="1">
        <v>46075</v>
      </c>
      <c r="F919" s="1">
        <v>46082</v>
      </c>
      <c r="G919" s="1">
        <v>46079</v>
      </c>
      <c r="H919" t="s">
        <v>33</v>
      </c>
      <c r="I919">
        <v>5</v>
      </c>
      <c r="J919" t="s">
        <v>69</v>
      </c>
    </row>
    <row r="920" spans="1:10" x14ac:dyDescent="0.25">
      <c r="A920" t="s">
        <v>1061</v>
      </c>
      <c r="B920" t="s">
        <v>61</v>
      </c>
      <c r="C920">
        <v>27.01</v>
      </c>
      <c r="D920" t="s">
        <v>99</v>
      </c>
      <c r="E920" s="1">
        <v>46076</v>
      </c>
      <c r="F920" s="1">
        <v>46083</v>
      </c>
      <c r="H920" t="s">
        <v>63</v>
      </c>
      <c r="I920">
        <v>3</v>
      </c>
      <c r="J920" t="s">
        <v>405</v>
      </c>
    </row>
    <row r="921" spans="1:10" x14ac:dyDescent="0.25">
      <c r="A921" t="s">
        <v>1062</v>
      </c>
      <c r="B921" t="s">
        <v>31</v>
      </c>
      <c r="C921">
        <v>20.76</v>
      </c>
      <c r="D921" t="s">
        <v>97</v>
      </c>
      <c r="E921" s="1">
        <v>46075</v>
      </c>
      <c r="F921" s="1">
        <v>46085</v>
      </c>
      <c r="G921" s="1">
        <v>46085</v>
      </c>
      <c r="H921" t="s">
        <v>33</v>
      </c>
      <c r="I921">
        <v>5</v>
      </c>
      <c r="J921" t="s">
        <v>117</v>
      </c>
    </row>
    <row r="922" spans="1:10" x14ac:dyDescent="0.25">
      <c r="A922" t="s">
        <v>1063</v>
      </c>
      <c r="B922" t="s">
        <v>61</v>
      </c>
      <c r="C922">
        <v>119.59</v>
      </c>
      <c r="D922" t="s">
        <v>150</v>
      </c>
      <c r="E922" s="1">
        <v>46075</v>
      </c>
      <c r="F922" s="1">
        <v>46081</v>
      </c>
      <c r="G922" s="1">
        <v>46078</v>
      </c>
      <c r="H922" t="s">
        <v>33</v>
      </c>
      <c r="I922">
        <v>5</v>
      </c>
      <c r="J922" t="s">
        <v>172</v>
      </c>
    </row>
    <row r="923" spans="1:10" x14ac:dyDescent="0.25">
      <c r="A923" t="s">
        <v>1064</v>
      </c>
      <c r="B923" t="s">
        <v>61</v>
      </c>
      <c r="C923">
        <v>17.329999999999998</v>
      </c>
      <c r="D923" t="s">
        <v>97</v>
      </c>
      <c r="E923" s="1">
        <v>46076</v>
      </c>
      <c r="F923" s="1">
        <v>46083</v>
      </c>
      <c r="G923" s="1">
        <v>46080</v>
      </c>
      <c r="H923" t="s">
        <v>33</v>
      </c>
      <c r="I923">
        <v>5</v>
      </c>
      <c r="J923" t="s">
        <v>127</v>
      </c>
    </row>
    <row r="924" spans="1:10" x14ac:dyDescent="0.25">
      <c r="A924" t="s">
        <v>1065</v>
      </c>
      <c r="B924" t="s">
        <v>39</v>
      </c>
      <c r="C924">
        <v>98.72</v>
      </c>
      <c r="D924" t="s">
        <v>83</v>
      </c>
      <c r="E924" s="1">
        <v>46076</v>
      </c>
      <c r="F924" s="1">
        <v>46086</v>
      </c>
      <c r="G924" s="1">
        <v>46079</v>
      </c>
      <c r="H924" t="s">
        <v>33</v>
      </c>
      <c r="I924">
        <v>4</v>
      </c>
      <c r="J924" t="s">
        <v>127</v>
      </c>
    </row>
    <row r="925" spans="1:10" x14ac:dyDescent="0.25">
      <c r="A925" t="s">
        <v>1066</v>
      </c>
      <c r="B925" t="s">
        <v>61</v>
      </c>
      <c r="C925">
        <v>17.3</v>
      </c>
      <c r="D925" t="s">
        <v>62</v>
      </c>
      <c r="E925" s="1">
        <v>46077</v>
      </c>
      <c r="F925" s="1">
        <v>46087</v>
      </c>
      <c r="G925" s="1">
        <v>46085</v>
      </c>
      <c r="H925" t="s">
        <v>33</v>
      </c>
      <c r="I925">
        <v>5</v>
      </c>
      <c r="J925" t="s">
        <v>77</v>
      </c>
    </row>
    <row r="926" spans="1:10" x14ac:dyDescent="0.25">
      <c r="A926" t="s">
        <v>1067</v>
      </c>
      <c r="B926" t="s">
        <v>31</v>
      </c>
      <c r="C926">
        <v>59.62</v>
      </c>
      <c r="D926" t="s">
        <v>97</v>
      </c>
      <c r="E926" s="1">
        <v>46076</v>
      </c>
      <c r="F926" s="1">
        <v>46082</v>
      </c>
      <c r="G926" s="1">
        <v>46080</v>
      </c>
      <c r="H926" t="s">
        <v>33</v>
      </c>
      <c r="I926">
        <v>4</v>
      </c>
      <c r="J926" t="s">
        <v>112</v>
      </c>
    </row>
    <row r="927" spans="1:10" x14ac:dyDescent="0.25">
      <c r="A927" t="s">
        <v>1068</v>
      </c>
      <c r="B927" t="s">
        <v>76</v>
      </c>
      <c r="C927">
        <v>86.17</v>
      </c>
      <c r="D927" t="s">
        <v>68</v>
      </c>
      <c r="E927" s="1">
        <v>46077</v>
      </c>
      <c r="F927" s="1">
        <v>46083</v>
      </c>
      <c r="G927" s="1">
        <v>46087</v>
      </c>
      <c r="H927" t="s">
        <v>33</v>
      </c>
      <c r="I927">
        <v>3</v>
      </c>
      <c r="J927" t="s">
        <v>146</v>
      </c>
    </row>
    <row r="928" spans="1:10" x14ac:dyDescent="0.25">
      <c r="A928" t="s">
        <v>1069</v>
      </c>
      <c r="B928" t="s">
        <v>31</v>
      </c>
      <c r="C928">
        <v>46.52</v>
      </c>
      <c r="D928" t="s">
        <v>62</v>
      </c>
      <c r="E928" s="1">
        <v>46077</v>
      </c>
      <c r="F928" s="1">
        <v>46083</v>
      </c>
      <c r="H928" t="s">
        <v>54</v>
      </c>
      <c r="I928">
        <v>2</v>
      </c>
      <c r="J928" t="s">
        <v>153</v>
      </c>
    </row>
    <row r="929" spans="1:10" x14ac:dyDescent="0.25">
      <c r="A929" t="s">
        <v>1070</v>
      </c>
      <c r="B929" t="s">
        <v>39</v>
      </c>
      <c r="C929">
        <v>57.6</v>
      </c>
      <c r="D929" t="s">
        <v>47</v>
      </c>
      <c r="E929" s="1">
        <v>46079</v>
      </c>
      <c r="F929" s="1">
        <v>46085</v>
      </c>
      <c r="G929" s="1">
        <v>46081</v>
      </c>
      <c r="H929" t="s">
        <v>33</v>
      </c>
      <c r="I929">
        <v>5</v>
      </c>
      <c r="J929" t="s">
        <v>69</v>
      </c>
    </row>
    <row r="930" spans="1:10" x14ac:dyDescent="0.25">
      <c r="A930" t="s">
        <v>1071</v>
      </c>
      <c r="B930" t="s">
        <v>61</v>
      </c>
      <c r="C930">
        <v>35.01</v>
      </c>
      <c r="D930" t="s">
        <v>99</v>
      </c>
      <c r="E930" s="1">
        <v>46080</v>
      </c>
      <c r="F930" s="1">
        <v>46087</v>
      </c>
      <c r="G930" s="1">
        <v>46086</v>
      </c>
      <c r="H930" t="s">
        <v>33</v>
      </c>
      <c r="I930">
        <v>5</v>
      </c>
      <c r="J930" t="s">
        <v>127</v>
      </c>
    </row>
    <row r="931" spans="1:10" x14ac:dyDescent="0.25">
      <c r="A931" t="s">
        <v>1072</v>
      </c>
      <c r="B931" t="s">
        <v>31</v>
      </c>
      <c r="C931">
        <v>29.75</v>
      </c>
      <c r="D931" t="s">
        <v>62</v>
      </c>
      <c r="E931" s="1">
        <v>46079</v>
      </c>
      <c r="F931" s="1">
        <v>46088</v>
      </c>
      <c r="G931" s="1">
        <v>46088</v>
      </c>
      <c r="H931" t="s">
        <v>33</v>
      </c>
      <c r="I931">
        <v>5</v>
      </c>
      <c r="J931" t="s">
        <v>34</v>
      </c>
    </row>
    <row r="932" spans="1:10" x14ac:dyDescent="0.25">
      <c r="A932" t="s">
        <v>1073</v>
      </c>
      <c r="B932" t="s">
        <v>76</v>
      </c>
      <c r="C932">
        <v>143.19</v>
      </c>
      <c r="D932" t="s">
        <v>99</v>
      </c>
      <c r="E932" s="1">
        <v>46080</v>
      </c>
      <c r="F932" s="1">
        <v>46090</v>
      </c>
      <c r="H932" t="s">
        <v>161</v>
      </c>
      <c r="I932">
        <v>1</v>
      </c>
      <c r="J932" t="s">
        <v>258</v>
      </c>
    </row>
    <row r="933" spans="1:10" x14ac:dyDescent="0.25">
      <c r="A933" t="s">
        <v>1074</v>
      </c>
      <c r="B933" t="s">
        <v>39</v>
      </c>
      <c r="C933">
        <v>16.77</v>
      </c>
      <c r="D933" t="s">
        <v>62</v>
      </c>
      <c r="E933" s="1">
        <v>46080</v>
      </c>
      <c r="F933" s="1">
        <v>46086</v>
      </c>
      <c r="G933" s="1">
        <v>46082</v>
      </c>
      <c r="H933" t="s">
        <v>33</v>
      </c>
      <c r="I933">
        <v>5</v>
      </c>
      <c r="J933" t="s">
        <v>166</v>
      </c>
    </row>
    <row r="934" spans="1:10" x14ac:dyDescent="0.25">
      <c r="A934" t="s">
        <v>1075</v>
      </c>
      <c r="B934" t="s">
        <v>61</v>
      </c>
      <c r="C934">
        <v>28.51</v>
      </c>
      <c r="D934" t="s">
        <v>62</v>
      </c>
      <c r="E934" s="1">
        <v>46080</v>
      </c>
      <c r="F934" s="1">
        <v>46085</v>
      </c>
      <c r="H934" t="s">
        <v>54</v>
      </c>
      <c r="I934">
        <v>3</v>
      </c>
      <c r="J934" t="s">
        <v>243</v>
      </c>
    </row>
    <row r="935" spans="1:10" x14ac:dyDescent="0.25">
      <c r="A935" t="s">
        <v>1076</v>
      </c>
      <c r="B935" t="s">
        <v>76</v>
      </c>
      <c r="C935">
        <v>99.64</v>
      </c>
      <c r="D935" t="s">
        <v>40</v>
      </c>
      <c r="E935" s="1">
        <v>46082</v>
      </c>
      <c r="F935" s="1">
        <v>46089</v>
      </c>
      <c r="G935" s="1">
        <v>46089</v>
      </c>
      <c r="H935" t="s">
        <v>33</v>
      </c>
      <c r="I935">
        <v>4</v>
      </c>
      <c r="J935" t="s">
        <v>79</v>
      </c>
    </row>
    <row r="936" spans="1:10" x14ac:dyDescent="0.25">
      <c r="A936" t="s">
        <v>1077</v>
      </c>
      <c r="B936" t="s">
        <v>31</v>
      </c>
      <c r="C936">
        <v>44.33</v>
      </c>
      <c r="D936" t="s">
        <v>32</v>
      </c>
      <c r="E936" s="1">
        <v>46081</v>
      </c>
      <c r="F936" s="1">
        <v>46086</v>
      </c>
      <c r="G936" s="1">
        <v>46087</v>
      </c>
      <c r="H936" t="s">
        <v>33</v>
      </c>
      <c r="I936">
        <v>2</v>
      </c>
      <c r="J936" t="s">
        <v>170</v>
      </c>
    </row>
    <row r="937" spans="1:10" x14ac:dyDescent="0.25">
      <c r="A937" t="s">
        <v>1078</v>
      </c>
      <c r="B937" t="s">
        <v>39</v>
      </c>
      <c r="C937">
        <v>23.53</v>
      </c>
      <c r="D937" t="s">
        <v>47</v>
      </c>
      <c r="E937" s="1">
        <v>46082</v>
      </c>
      <c r="F937" s="1">
        <v>46088</v>
      </c>
      <c r="G937" s="1">
        <v>46086</v>
      </c>
      <c r="H937" t="s">
        <v>33</v>
      </c>
      <c r="I937">
        <v>4</v>
      </c>
      <c r="J937" t="s">
        <v>127</v>
      </c>
    </row>
    <row r="938" spans="1:10" x14ac:dyDescent="0.25">
      <c r="A938" t="s">
        <v>1079</v>
      </c>
      <c r="B938" t="s">
        <v>61</v>
      </c>
      <c r="C938">
        <v>25.53</v>
      </c>
      <c r="D938" t="s">
        <v>47</v>
      </c>
      <c r="E938" s="1">
        <v>46082</v>
      </c>
      <c r="F938" s="1">
        <v>46087</v>
      </c>
      <c r="G938" s="1">
        <v>46086</v>
      </c>
      <c r="H938" t="s">
        <v>33</v>
      </c>
      <c r="I938">
        <v>4</v>
      </c>
      <c r="J938" t="s">
        <v>127</v>
      </c>
    </row>
    <row r="939" spans="1:10" x14ac:dyDescent="0.25">
      <c r="A939" t="s">
        <v>1080</v>
      </c>
      <c r="B939" t="s">
        <v>61</v>
      </c>
      <c r="C939">
        <v>99.3</v>
      </c>
      <c r="D939" t="s">
        <v>40</v>
      </c>
      <c r="E939" s="1">
        <v>46083</v>
      </c>
      <c r="F939" s="1">
        <v>46090</v>
      </c>
      <c r="G939" s="1">
        <v>46089</v>
      </c>
      <c r="H939" t="s">
        <v>33</v>
      </c>
      <c r="I939">
        <v>5</v>
      </c>
      <c r="J939" t="s">
        <v>172</v>
      </c>
    </row>
    <row r="940" spans="1:10" x14ac:dyDescent="0.25">
      <c r="A940" t="s">
        <v>1081</v>
      </c>
      <c r="B940" t="s">
        <v>61</v>
      </c>
      <c r="C940">
        <v>82.19</v>
      </c>
      <c r="D940" t="s">
        <v>126</v>
      </c>
      <c r="E940" s="1">
        <v>46082</v>
      </c>
      <c r="F940" s="1">
        <v>46088</v>
      </c>
      <c r="G940" s="1">
        <v>46089</v>
      </c>
      <c r="H940" t="s">
        <v>33</v>
      </c>
      <c r="I940">
        <v>1</v>
      </c>
      <c r="J940" t="s">
        <v>185</v>
      </c>
    </row>
    <row r="941" spans="1:10" x14ac:dyDescent="0.25">
      <c r="A941" t="s">
        <v>1082</v>
      </c>
      <c r="B941" t="s">
        <v>39</v>
      </c>
      <c r="C941">
        <v>26.81</v>
      </c>
      <c r="D941" t="s">
        <v>47</v>
      </c>
      <c r="E941" s="1">
        <v>46082</v>
      </c>
      <c r="F941" s="1">
        <v>46092</v>
      </c>
      <c r="G941" s="1">
        <v>46088</v>
      </c>
      <c r="H941" t="s">
        <v>33</v>
      </c>
      <c r="I941">
        <v>5</v>
      </c>
      <c r="J941" t="s">
        <v>166</v>
      </c>
    </row>
    <row r="942" spans="1:10" x14ac:dyDescent="0.25">
      <c r="A942" t="s">
        <v>1083</v>
      </c>
      <c r="B942" t="s">
        <v>76</v>
      </c>
      <c r="C942">
        <v>136.66</v>
      </c>
      <c r="D942" t="s">
        <v>97</v>
      </c>
      <c r="E942" s="1">
        <v>46082</v>
      </c>
      <c r="F942" s="1">
        <v>46087</v>
      </c>
      <c r="G942" s="1">
        <v>46086</v>
      </c>
      <c r="H942" t="s">
        <v>33</v>
      </c>
      <c r="I942">
        <v>4</v>
      </c>
      <c r="J942" t="s">
        <v>48</v>
      </c>
    </row>
    <row r="943" spans="1:10" x14ac:dyDescent="0.25">
      <c r="A943" t="s">
        <v>1084</v>
      </c>
      <c r="B943" t="s">
        <v>61</v>
      </c>
      <c r="C943">
        <v>37.26</v>
      </c>
      <c r="D943" t="s">
        <v>97</v>
      </c>
      <c r="E943" s="1">
        <v>46083</v>
      </c>
      <c r="F943" s="1">
        <v>46089</v>
      </c>
      <c r="G943" s="1">
        <v>46087</v>
      </c>
      <c r="H943" t="s">
        <v>33</v>
      </c>
      <c r="I943">
        <v>5</v>
      </c>
      <c r="J943" t="s">
        <v>117</v>
      </c>
    </row>
    <row r="944" spans="1:10" x14ac:dyDescent="0.25">
      <c r="A944" t="s">
        <v>1085</v>
      </c>
      <c r="B944" t="s">
        <v>76</v>
      </c>
      <c r="C944">
        <v>88.75</v>
      </c>
      <c r="D944" t="s">
        <v>62</v>
      </c>
      <c r="E944" s="1">
        <v>46084</v>
      </c>
      <c r="F944" s="1">
        <v>46091</v>
      </c>
      <c r="G944" s="1">
        <v>46089</v>
      </c>
      <c r="H944" t="s">
        <v>33</v>
      </c>
      <c r="I944">
        <v>5</v>
      </c>
      <c r="J944" t="s">
        <v>112</v>
      </c>
    </row>
    <row r="945" spans="1:10" x14ac:dyDescent="0.25">
      <c r="A945" t="s">
        <v>1086</v>
      </c>
      <c r="B945" t="s">
        <v>39</v>
      </c>
      <c r="C945">
        <v>20.96</v>
      </c>
      <c r="D945" t="s">
        <v>157</v>
      </c>
      <c r="E945" s="1">
        <v>46084</v>
      </c>
      <c r="F945" s="1">
        <v>46090</v>
      </c>
      <c r="G945" s="1">
        <v>46089</v>
      </c>
      <c r="H945" t="s">
        <v>33</v>
      </c>
      <c r="I945">
        <v>4</v>
      </c>
      <c r="J945" t="s">
        <v>69</v>
      </c>
    </row>
    <row r="946" spans="1:10" x14ac:dyDescent="0.25">
      <c r="A946" t="s">
        <v>1087</v>
      </c>
      <c r="B946" t="s">
        <v>31</v>
      </c>
      <c r="C946">
        <v>49.43</v>
      </c>
      <c r="D946" t="s">
        <v>68</v>
      </c>
      <c r="E946" s="1">
        <v>46083</v>
      </c>
      <c r="F946" s="1">
        <v>46089</v>
      </c>
      <c r="H946" t="s">
        <v>54</v>
      </c>
      <c r="I946">
        <v>2</v>
      </c>
      <c r="J946" t="s">
        <v>102</v>
      </c>
    </row>
    <row r="947" spans="1:10" x14ac:dyDescent="0.25">
      <c r="A947" t="s">
        <v>1088</v>
      </c>
      <c r="B947" t="s">
        <v>76</v>
      </c>
      <c r="C947">
        <v>143.53</v>
      </c>
      <c r="D947" t="s">
        <v>40</v>
      </c>
      <c r="E947" s="1">
        <v>46084</v>
      </c>
      <c r="F947" s="1">
        <v>46091</v>
      </c>
      <c r="G947" s="1">
        <v>46088</v>
      </c>
      <c r="H947" t="s">
        <v>33</v>
      </c>
      <c r="I947">
        <v>4</v>
      </c>
      <c r="J947" t="s">
        <v>41</v>
      </c>
    </row>
    <row r="948" spans="1:10" x14ac:dyDescent="0.25">
      <c r="A948" t="s">
        <v>1089</v>
      </c>
      <c r="B948" t="s">
        <v>76</v>
      </c>
      <c r="C948">
        <v>21.3</v>
      </c>
      <c r="D948" t="s">
        <v>68</v>
      </c>
      <c r="E948" s="1">
        <v>46084</v>
      </c>
      <c r="F948" s="1">
        <v>46093</v>
      </c>
      <c r="G948" s="1">
        <v>46086</v>
      </c>
      <c r="H948" t="s">
        <v>33</v>
      </c>
      <c r="I948">
        <v>4</v>
      </c>
      <c r="J948" t="s">
        <v>41</v>
      </c>
    </row>
    <row r="949" spans="1:10" x14ac:dyDescent="0.25">
      <c r="A949" t="s">
        <v>1090</v>
      </c>
      <c r="B949" t="s">
        <v>31</v>
      </c>
      <c r="C949">
        <v>17.05</v>
      </c>
      <c r="D949" t="s">
        <v>264</v>
      </c>
      <c r="E949" s="1">
        <v>46085</v>
      </c>
      <c r="F949" s="1">
        <v>46091</v>
      </c>
      <c r="G949" s="1">
        <v>46090</v>
      </c>
      <c r="H949" t="s">
        <v>33</v>
      </c>
      <c r="I949">
        <v>4</v>
      </c>
      <c r="J949" t="s">
        <v>166</v>
      </c>
    </row>
    <row r="950" spans="1:10" x14ac:dyDescent="0.25">
      <c r="A950" t="s">
        <v>1091</v>
      </c>
      <c r="B950" t="s">
        <v>76</v>
      </c>
      <c r="C950">
        <v>149.24</v>
      </c>
      <c r="D950" t="s">
        <v>97</v>
      </c>
      <c r="E950" s="1">
        <v>46085</v>
      </c>
      <c r="F950" s="1">
        <v>46091</v>
      </c>
      <c r="G950" s="1">
        <v>46090</v>
      </c>
      <c r="H950" t="s">
        <v>33</v>
      </c>
      <c r="I950">
        <v>4</v>
      </c>
      <c r="J950" t="s">
        <v>172</v>
      </c>
    </row>
    <row r="951" spans="1:10" x14ac:dyDescent="0.25">
      <c r="A951" t="s">
        <v>1092</v>
      </c>
      <c r="B951" t="s">
        <v>76</v>
      </c>
      <c r="C951">
        <v>28.09</v>
      </c>
      <c r="D951" t="s">
        <v>40</v>
      </c>
      <c r="E951" s="1">
        <v>46085</v>
      </c>
      <c r="F951" s="1">
        <v>46092</v>
      </c>
      <c r="G951" s="1">
        <v>46088</v>
      </c>
      <c r="H951" t="s">
        <v>33</v>
      </c>
      <c r="I951">
        <v>5</v>
      </c>
      <c r="J951" t="s">
        <v>117</v>
      </c>
    </row>
    <row r="952" spans="1:10" x14ac:dyDescent="0.25">
      <c r="A952" t="s">
        <v>1093</v>
      </c>
      <c r="B952" t="s">
        <v>61</v>
      </c>
      <c r="C952">
        <v>129.47999999999999</v>
      </c>
      <c r="D952" t="s">
        <v>47</v>
      </c>
      <c r="E952" s="1">
        <v>46086</v>
      </c>
      <c r="F952" s="1">
        <v>46095</v>
      </c>
      <c r="G952" s="1">
        <v>46095</v>
      </c>
      <c r="H952" t="s">
        <v>33</v>
      </c>
      <c r="I952">
        <v>5</v>
      </c>
      <c r="J952" t="s">
        <v>112</v>
      </c>
    </row>
    <row r="953" spans="1:10" x14ac:dyDescent="0.25">
      <c r="A953" t="s">
        <v>1094</v>
      </c>
      <c r="B953" t="s">
        <v>76</v>
      </c>
      <c r="C953">
        <v>18.75</v>
      </c>
      <c r="D953" t="s">
        <v>47</v>
      </c>
      <c r="E953" s="1">
        <v>46086</v>
      </c>
      <c r="F953" s="1">
        <v>46095</v>
      </c>
      <c r="G953" s="1">
        <v>46092</v>
      </c>
      <c r="H953" t="s">
        <v>33</v>
      </c>
      <c r="I953">
        <v>5</v>
      </c>
      <c r="J953" t="s">
        <v>134</v>
      </c>
    </row>
    <row r="954" spans="1:10" x14ac:dyDescent="0.25">
      <c r="A954" t="s">
        <v>1095</v>
      </c>
      <c r="B954" t="s">
        <v>39</v>
      </c>
      <c r="C954">
        <v>55.81</v>
      </c>
      <c r="D954" t="s">
        <v>97</v>
      </c>
      <c r="E954" s="1">
        <v>46086</v>
      </c>
      <c r="F954" s="1">
        <v>46094</v>
      </c>
      <c r="G954" s="1">
        <v>46093</v>
      </c>
      <c r="H954" t="s">
        <v>33</v>
      </c>
      <c r="I954">
        <v>5</v>
      </c>
      <c r="J954" t="s">
        <v>211</v>
      </c>
    </row>
    <row r="955" spans="1:10" x14ac:dyDescent="0.25">
      <c r="A955" t="s">
        <v>1096</v>
      </c>
      <c r="B955" t="s">
        <v>61</v>
      </c>
      <c r="C955">
        <v>51.06</v>
      </c>
      <c r="D955" t="s">
        <v>47</v>
      </c>
      <c r="E955" s="1">
        <v>46086</v>
      </c>
      <c r="F955" s="1">
        <v>46094</v>
      </c>
      <c r="G955" s="1">
        <v>46090</v>
      </c>
      <c r="H955" t="s">
        <v>33</v>
      </c>
      <c r="I955">
        <v>5</v>
      </c>
      <c r="J955" t="s">
        <v>34</v>
      </c>
    </row>
    <row r="956" spans="1:10" x14ac:dyDescent="0.25">
      <c r="A956" t="s">
        <v>1097</v>
      </c>
      <c r="B956" t="s">
        <v>61</v>
      </c>
      <c r="C956">
        <v>56.39</v>
      </c>
      <c r="D956" t="s">
        <v>47</v>
      </c>
      <c r="E956" s="1">
        <v>46087</v>
      </c>
      <c r="F956" s="1">
        <v>46097</v>
      </c>
      <c r="G956" s="1">
        <v>46093</v>
      </c>
      <c r="H956" t="s">
        <v>33</v>
      </c>
      <c r="I956">
        <v>4</v>
      </c>
      <c r="J956" t="s">
        <v>112</v>
      </c>
    </row>
    <row r="957" spans="1:10" x14ac:dyDescent="0.25">
      <c r="A957" t="s">
        <v>1098</v>
      </c>
      <c r="B957" t="s">
        <v>31</v>
      </c>
      <c r="C957">
        <v>43.36</v>
      </c>
      <c r="D957" t="s">
        <v>62</v>
      </c>
      <c r="E957" s="1">
        <v>46087</v>
      </c>
      <c r="F957" s="1">
        <v>46096</v>
      </c>
      <c r="G957" s="1">
        <v>46095</v>
      </c>
      <c r="H957" t="s">
        <v>33</v>
      </c>
      <c r="I957">
        <v>5</v>
      </c>
      <c r="J957" t="s">
        <v>172</v>
      </c>
    </row>
    <row r="958" spans="1:10" x14ac:dyDescent="0.25">
      <c r="A958" t="s">
        <v>1099</v>
      </c>
      <c r="B958" t="s">
        <v>39</v>
      </c>
      <c r="C958">
        <v>20.28</v>
      </c>
      <c r="D958" t="s">
        <v>62</v>
      </c>
      <c r="E958" s="1">
        <v>46087</v>
      </c>
      <c r="F958" s="1">
        <v>46097</v>
      </c>
      <c r="G958" s="1">
        <v>46095</v>
      </c>
      <c r="H958" t="s">
        <v>33</v>
      </c>
      <c r="I958">
        <v>4</v>
      </c>
      <c r="J958" t="s">
        <v>79</v>
      </c>
    </row>
    <row r="959" spans="1:10" x14ac:dyDescent="0.25">
      <c r="A959" t="s">
        <v>1100</v>
      </c>
      <c r="B959" t="s">
        <v>76</v>
      </c>
      <c r="C959">
        <v>26.07</v>
      </c>
      <c r="D959" t="s">
        <v>47</v>
      </c>
      <c r="E959" s="1">
        <v>46087</v>
      </c>
      <c r="F959" s="1">
        <v>46093</v>
      </c>
      <c r="H959" t="s">
        <v>54</v>
      </c>
      <c r="I959">
        <v>4</v>
      </c>
      <c r="J959" t="s">
        <v>119</v>
      </c>
    </row>
    <row r="960" spans="1:10" x14ac:dyDescent="0.25">
      <c r="A960" t="s">
        <v>1101</v>
      </c>
      <c r="B960" t="s">
        <v>61</v>
      </c>
      <c r="C960">
        <v>23.4</v>
      </c>
      <c r="D960" t="s">
        <v>83</v>
      </c>
      <c r="E960" s="1">
        <v>46087</v>
      </c>
      <c r="F960" s="1">
        <v>46092</v>
      </c>
      <c r="G960" s="1">
        <v>46090</v>
      </c>
      <c r="H960" t="s">
        <v>33</v>
      </c>
      <c r="I960">
        <v>5</v>
      </c>
      <c r="J960" t="s">
        <v>211</v>
      </c>
    </row>
    <row r="961" spans="1:10" x14ac:dyDescent="0.25">
      <c r="A961" t="s">
        <v>1102</v>
      </c>
      <c r="B961" t="s">
        <v>61</v>
      </c>
      <c r="C961">
        <v>81.540000000000006</v>
      </c>
      <c r="D961" t="s">
        <v>62</v>
      </c>
      <c r="E961" s="1">
        <v>46088</v>
      </c>
      <c r="F961" s="1">
        <v>46095</v>
      </c>
      <c r="H961" t="s">
        <v>54</v>
      </c>
      <c r="I961">
        <v>3</v>
      </c>
      <c r="J961" t="s">
        <v>146</v>
      </c>
    </row>
    <row r="962" spans="1:10" x14ac:dyDescent="0.25">
      <c r="A962" t="s">
        <v>1103</v>
      </c>
      <c r="B962" t="s">
        <v>31</v>
      </c>
      <c r="C962">
        <v>94.98</v>
      </c>
      <c r="D962" t="s">
        <v>99</v>
      </c>
      <c r="E962" s="1">
        <v>46090</v>
      </c>
      <c r="F962" s="1">
        <v>46098</v>
      </c>
      <c r="G962" s="1">
        <v>46095</v>
      </c>
      <c r="H962" t="s">
        <v>33</v>
      </c>
      <c r="I962">
        <v>5</v>
      </c>
      <c r="J962" t="s">
        <v>112</v>
      </c>
    </row>
    <row r="963" spans="1:10" x14ac:dyDescent="0.25">
      <c r="A963" t="s">
        <v>1104</v>
      </c>
      <c r="B963" t="s">
        <v>31</v>
      </c>
      <c r="C963">
        <v>20.13</v>
      </c>
      <c r="D963" t="s">
        <v>47</v>
      </c>
      <c r="E963" s="1">
        <v>46089</v>
      </c>
      <c r="F963" s="1">
        <v>46097</v>
      </c>
      <c r="G963" s="1">
        <v>46094</v>
      </c>
      <c r="H963" t="s">
        <v>33</v>
      </c>
      <c r="I963">
        <v>4</v>
      </c>
      <c r="J963" t="s">
        <v>34</v>
      </c>
    </row>
    <row r="964" spans="1:10" x14ac:dyDescent="0.25">
      <c r="A964" t="s">
        <v>1105</v>
      </c>
      <c r="B964" t="s">
        <v>31</v>
      </c>
      <c r="C964">
        <v>91.02</v>
      </c>
      <c r="D964" t="s">
        <v>40</v>
      </c>
      <c r="E964" s="1">
        <v>46091</v>
      </c>
      <c r="F964" s="1">
        <v>46101</v>
      </c>
      <c r="G964" s="1">
        <v>46097</v>
      </c>
      <c r="H964" t="s">
        <v>33</v>
      </c>
      <c r="I964">
        <v>5</v>
      </c>
      <c r="J964" t="s">
        <v>127</v>
      </c>
    </row>
    <row r="965" spans="1:10" x14ac:dyDescent="0.25">
      <c r="A965" t="s">
        <v>1106</v>
      </c>
      <c r="B965" t="s">
        <v>76</v>
      </c>
      <c r="C965">
        <v>73.11</v>
      </c>
      <c r="D965" t="s">
        <v>133</v>
      </c>
      <c r="E965" s="1">
        <v>46091</v>
      </c>
      <c r="F965" s="1">
        <v>46096</v>
      </c>
      <c r="H965" t="s">
        <v>54</v>
      </c>
      <c r="I965">
        <v>2</v>
      </c>
      <c r="J965" t="s">
        <v>131</v>
      </c>
    </row>
    <row r="966" spans="1:10" x14ac:dyDescent="0.25">
      <c r="A966" t="s">
        <v>1107</v>
      </c>
      <c r="B966" t="s">
        <v>76</v>
      </c>
      <c r="C966">
        <v>25.66</v>
      </c>
      <c r="D966" t="s">
        <v>47</v>
      </c>
      <c r="E966" s="1">
        <v>46092</v>
      </c>
      <c r="F966" s="1">
        <v>46098</v>
      </c>
      <c r="G966" s="1">
        <v>46096</v>
      </c>
      <c r="H966" t="s">
        <v>33</v>
      </c>
      <c r="I966">
        <v>4</v>
      </c>
      <c r="J966" t="s">
        <v>211</v>
      </c>
    </row>
    <row r="967" spans="1:10" x14ac:dyDescent="0.25">
      <c r="A967" t="s">
        <v>1108</v>
      </c>
      <c r="B967" t="s">
        <v>39</v>
      </c>
      <c r="C967">
        <v>28.89</v>
      </c>
      <c r="D967" t="s">
        <v>40</v>
      </c>
      <c r="E967" s="1">
        <v>46093</v>
      </c>
      <c r="F967" s="1">
        <v>46103</v>
      </c>
      <c r="H967" t="s">
        <v>54</v>
      </c>
      <c r="I967">
        <v>4</v>
      </c>
      <c r="J967" t="s">
        <v>127</v>
      </c>
    </row>
    <row r="968" spans="1:10" x14ac:dyDescent="0.25">
      <c r="A968" t="s">
        <v>1109</v>
      </c>
      <c r="B968" t="s">
        <v>39</v>
      </c>
      <c r="C968">
        <v>37.590000000000003</v>
      </c>
      <c r="D968" t="s">
        <v>157</v>
      </c>
      <c r="E968" s="1">
        <v>46092</v>
      </c>
      <c r="F968" s="1">
        <v>46098</v>
      </c>
      <c r="G968" s="1">
        <v>46102</v>
      </c>
      <c r="H968" t="s">
        <v>33</v>
      </c>
      <c r="I968">
        <v>2</v>
      </c>
      <c r="J968" t="s">
        <v>140</v>
      </c>
    </row>
    <row r="969" spans="1:10" x14ac:dyDescent="0.25">
      <c r="A969" t="s">
        <v>1110</v>
      </c>
      <c r="B969" t="s">
        <v>76</v>
      </c>
      <c r="C969">
        <v>137.25</v>
      </c>
      <c r="D969" t="s">
        <v>47</v>
      </c>
      <c r="E969" s="1">
        <v>46092</v>
      </c>
      <c r="F969" s="1">
        <v>46102</v>
      </c>
      <c r="G969" s="1">
        <v>46102</v>
      </c>
      <c r="H969" t="s">
        <v>33</v>
      </c>
      <c r="I969">
        <v>4</v>
      </c>
      <c r="J969" t="s">
        <v>172</v>
      </c>
    </row>
    <row r="970" spans="1:10" x14ac:dyDescent="0.25">
      <c r="A970" t="s">
        <v>1111</v>
      </c>
      <c r="B970" t="s">
        <v>61</v>
      </c>
      <c r="C970">
        <v>41.98</v>
      </c>
      <c r="D970" t="s">
        <v>150</v>
      </c>
      <c r="E970" s="1">
        <v>46093</v>
      </c>
      <c r="F970" s="1">
        <v>46103</v>
      </c>
      <c r="G970" s="1">
        <v>46103</v>
      </c>
      <c r="H970" t="s">
        <v>33</v>
      </c>
      <c r="I970">
        <v>5</v>
      </c>
      <c r="J970" t="s">
        <v>166</v>
      </c>
    </row>
    <row r="971" spans="1:10" x14ac:dyDescent="0.25">
      <c r="A971" t="s">
        <v>1112</v>
      </c>
      <c r="B971" t="s">
        <v>39</v>
      </c>
      <c r="C971">
        <v>36.130000000000003</v>
      </c>
      <c r="D971" t="s">
        <v>40</v>
      </c>
      <c r="E971" s="1">
        <v>46094</v>
      </c>
      <c r="F971" s="1">
        <v>46102</v>
      </c>
      <c r="G971" s="1">
        <v>46100</v>
      </c>
      <c r="H971" t="s">
        <v>33</v>
      </c>
      <c r="I971">
        <v>4</v>
      </c>
      <c r="J971" t="s">
        <v>112</v>
      </c>
    </row>
    <row r="972" spans="1:10" x14ac:dyDescent="0.25">
      <c r="A972" t="s">
        <v>1113</v>
      </c>
      <c r="B972" t="s">
        <v>31</v>
      </c>
      <c r="C972">
        <v>120.03</v>
      </c>
      <c r="D972" t="s">
        <v>40</v>
      </c>
      <c r="E972" s="1">
        <v>46094</v>
      </c>
      <c r="F972" s="1">
        <v>46104</v>
      </c>
      <c r="G972" s="1">
        <v>46096</v>
      </c>
      <c r="H972" t="s">
        <v>33</v>
      </c>
      <c r="I972">
        <v>5</v>
      </c>
      <c r="J972" t="s">
        <v>69</v>
      </c>
    </row>
    <row r="973" spans="1:10" x14ac:dyDescent="0.25">
      <c r="A973" t="s">
        <v>1114</v>
      </c>
      <c r="B973" t="s">
        <v>76</v>
      </c>
      <c r="C973">
        <v>141.88999999999999</v>
      </c>
      <c r="D973" t="s">
        <v>68</v>
      </c>
      <c r="E973" s="1">
        <v>46094</v>
      </c>
      <c r="F973" s="1">
        <v>46101</v>
      </c>
      <c r="G973" s="1">
        <v>46097</v>
      </c>
      <c r="H973" t="s">
        <v>33</v>
      </c>
      <c r="I973">
        <v>5</v>
      </c>
      <c r="J973" t="s">
        <v>112</v>
      </c>
    </row>
    <row r="974" spans="1:10" x14ac:dyDescent="0.25">
      <c r="A974" t="s">
        <v>1115</v>
      </c>
      <c r="B974" t="s">
        <v>61</v>
      </c>
      <c r="C974">
        <v>125.96</v>
      </c>
      <c r="D974" t="s">
        <v>157</v>
      </c>
      <c r="E974" s="1">
        <v>46094</v>
      </c>
      <c r="F974" s="1">
        <v>46103</v>
      </c>
      <c r="G974" s="1">
        <v>46097</v>
      </c>
      <c r="H974" t="s">
        <v>33</v>
      </c>
      <c r="I974">
        <v>4</v>
      </c>
      <c r="J974" t="s">
        <v>34</v>
      </c>
    </row>
    <row r="975" spans="1:10" x14ac:dyDescent="0.25">
      <c r="A975" t="s">
        <v>1116</v>
      </c>
      <c r="B975" t="s">
        <v>76</v>
      </c>
      <c r="C975">
        <v>63.46</v>
      </c>
      <c r="D975" t="s">
        <v>62</v>
      </c>
      <c r="E975" s="1">
        <v>46095</v>
      </c>
      <c r="F975" s="1">
        <v>46104</v>
      </c>
      <c r="G975" s="1">
        <v>46100</v>
      </c>
      <c r="H975" t="s">
        <v>33</v>
      </c>
      <c r="I975">
        <v>4</v>
      </c>
      <c r="J975" t="s">
        <v>117</v>
      </c>
    </row>
    <row r="976" spans="1:10" x14ac:dyDescent="0.25">
      <c r="A976" t="s">
        <v>1117</v>
      </c>
      <c r="B976" t="s">
        <v>39</v>
      </c>
      <c r="C976">
        <v>92.19</v>
      </c>
      <c r="D976" t="s">
        <v>47</v>
      </c>
      <c r="E976" s="1">
        <v>46095</v>
      </c>
      <c r="F976" s="1">
        <v>46100</v>
      </c>
      <c r="G976" s="1">
        <v>46100</v>
      </c>
      <c r="H976" t="s">
        <v>33</v>
      </c>
      <c r="I976">
        <v>4</v>
      </c>
      <c r="J976" t="s">
        <v>84</v>
      </c>
    </row>
    <row r="977" spans="1:10" x14ac:dyDescent="0.25">
      <c r="A977" t="s">
        <v>1118</v>
      </c>
      <c r="B977" t="s">
        <v>61</v>
      </c>
      <c r="C977">
        <v>81.55</v>
      </c>
      <c r="D977" t="s">
        <v>97</v>
      </c>
      <c r="E977" s="1">
        <v>46095</v>
      </c>
      <c r="F977" s="1">
        <v>46104</v>
      </c>
      <c r="G977" s="1">
        <v>46097</v>
      </c>
      <c r="H977" t="s">
        <v>33</v>
      </c>
      <c r="I977">
        <v>5</v>
      </c>
      <c r="J977" t="s">
        <v>112</v>
      </c>
    </row>
    <row r="978" spans="1:10" x14ac:dyDescent="0.25">
      <c r="A978" t="s">
        <v>1119</v>
      </c>
      <c r="B978" t="s">
        <v>61</v>
      </c>
      <c r="C978">
        <v>20.010000000000002</v>
      </c>
      <c r="D978" t="s">
        <v>101</v>
      </c>
      <c r="E978" s="1">
        <v>46096</v>
      </c>
      <c r="F978" s="1">
        <v>46101</v>
      </c>
      <c r="H978" t="s">
        <v>54</v>
      </c>
      <c r="I978">
        <v>4</v>
      </c>
      <c r="J978" t="s">
        <v>48</v>
      </c>
    </row>
    <row r="979" spans="1:10" x14ac:dyDescent="0.25">
      <c r="A979" t="s">
        <v>1120</v>
      </c>
      <c r="B979" t="s">
        <v>31</v>
      </c>
      <c r="C979">
        <v>17.489999999999998</v>
      </c>
      <c r="D979" t="s">
        <v>68</v>
      </c>
      <c r="E979" s="1">
        <v>46097</v>
      </c>
      <c r="F979" s="1">
        <v>46102</v>
      </c>
      <c r="G979" s="1">
        <v>46101</v>
      </c>
      <c r="H979" t="s">
        <v>33</v>
      </c>
      <c r="I979">
        <v>4</v>
      </c>
      <c r="J979" t="s">
        <v>79</v>
      </c>
    </row>
    <row r="980" spans="1:10" x14ac:dyDescent="0.25">
      <c r="A980" t="s">
        <v>1121</v>
      </c>
      <c r="B980" t="s">
        <v>61</v>
      </c>
      <c r="C980">
        <v>134.05000000000001</v>
      </c>
      <c r="D980" t="s">
        <v>47</v>
      </c>
      <c r="E980" s="1">
        <v>46097</v>
      </c>
      <c r="F980" s="1">
        <v>46102</v>
      </c>
      <c r="G980" s="1">
        <v>46102</v>
      </c>
      <c r="H980" t="s">
        <v>33</v>
      </c>
      <c r="I980">
        <v>4</v>
      </c>
      <c r="J980" t="s">
        <v>79</v>
      </c>
    </row>
    <row r="981" spans="1:10" x14ac:dyDescent="0.25">
      <c r="A981" t="s">
        <v>1122</v>
      </c>
      <c r="B981" t="s">
        <v>76</v>
      </c>
      <c r="C981">
        <v>17.88</v>
      </c>
      <c r="D981" t="s">
        <v>40</v>
      </c>
      <c r="E981" s="1">
        <v>46098</v>
      </c>
      <c r="F981" s="1">
        <v>46106</v>
      </c>
      <c r="H981" t="s">
        <v>161</v>
      </c>
      <c r="I981">
        <v>2</v>
      </c>
      <c r="J981" t="s">
        <v>461</v>
      </c>
    </row>
    <row r="982" spans="1:10" x14ac:dyDescent="0.25">
      <c r="A982" t="s">
        <v>1123</v>
      </c>
      <c r="B982" t="s">
        <v>39</v>
      </c>
      <c r="C982">
        <v>46.56</v>
      </c>
      <c r="D982" t="s">
        <v>99</v>
      </c>
      <c r="E982" s="1">
        <v>46098</v>
      </c>
      <c r="F982" s="1">
        <v>46103</v>
      </c>
      <c r="G982" s="1">
        <v>46101</v>
      </c>
      <c r="H982" t="s">
        <v>33</v>
      </c>
      <c r="I982">
        <v>5</v>
      </c>
      <c r="J982" t="s">
        <v>34</v>
      </c>
    </row>
    <row r="983" spans="1:10" x14ac:dyDescent="0.25">
      <c r="A983" t="s">
        <v>1124</v>
      </c>
      <c r="B983" t="s">
        <v>76</v>
      </c>
      <c r="C983">
        <v>42.14</v>
      </c>
      <c r="D983" t="s">
        <v>62</v>
      </c>
      <c r="E983" s="1">
        <v>46099</v>
      </c>
      <c r="F983" s="1">
        <v>46109</v>
      </c>
      <c r="G983" s="1">
        <v>46102</v>
      </c>
      <c r="H983" t="s">
        <v>33</v>
      </c>
      <c r="I983">
        <v>4</v>
      </c>
      <c r="J983" t="s">
        <v>79</v>
      </c>
    </row>
    <row r="984" spans="1:10" x14ac:dyDescent="0.25">
      <c r="A984" t="s">
        <v>1125</v>
      </c>
      <c r="B984" t="s">
        <v>76</v>
      </c>
      <c r="C984">
        <v>116.63</v>
      </c>
      <c r="D984" t="s">
        <v>47</v>
      </c>
      <c r="E984" s="1">
        <v>46100</v>
      </c>
      <c r="F984" s="1">
        <v>46105</v>
      </c>
      <c r="G984" s="1">
        <v>46102</v>
      </c>
      <c r="H984" t="s">
        <v>33</v>
      </c>
      <c r="I984">
        <v>5</v>
      </c>
      <c r="J984" t="s">
        <v>117</v>
      </c>
    </row>
    <row r="985" spans="1:10" x14ac:dyDescent="0.25">
      <c r="A985" t="s">
        <v>1126</v>
      </c>
      <c r="B985" t="s">
        <v>39</v>
      </c>
      <c r="C985">
        <v>71.349999999999994</v>
      </c>
      <c r="D985" t="s">
        <v>97</v>
      </c>
      <c r="E985" s="1">
        <v>46102</v>
      </c>
      <c r="F985" s="1">
        <v>46110</v>
      </c>
      <c r="G985" s="1">
        <v>46113</v>
      </c>
      <c r="H985" t="s">
        <v>33</v>
      </c>
      <c r="I985">
        <v>1</v>
      </c>
      <c r="J985" t="s">
        <v>102</v>
      </c>
    </row>
    <row r="986" spans="1:10" x14ac:dyDescent="0.25">
      <c r="A986" t="s">
        <v>1127</v>
      </c>
      <c r="B986" t="s">
        <v>61</v>
      </c>
      <c r="C986">
        <v>93.06</v>
      </c>
      <c r="D986" t="s">
        <v>47</v>
      </c>
      <c r="E986" s="1">
        <v>46102</v>
      </c>
      <c r="F986" s="1">
        <v>46112</v>
      </c>
      <c r="G986" s="1">
        <v>46110</v>
      </c>
      <c r="H986" t="s">
        <v>33</v>
      </c>
      <c r="I986">
        <v>4</v>
      </c>
      <c r="J986" t="s">
        <v>112</v>
      </c>
    </row>
    <row r="987" spans="1:10" x14ac:dyDescent="0.25">
      <c r="A987" t="s">
        <v>1128</v>
      </c>
      <c r="B987" t="s">
        <v>61</v>
      </c>
      <c r="C987">
        <v>24.35</v>
      </c>
      <c r="D987" t="s">
        <v>40</v>
      </c>
      <c r="E987" s="1">
        <v>46103</v>
      </c>
      <c r="F987" s="1">
        <v>46111</v>
      </c>
      <c r="G987" s="1">
        <v>46111</v>
      </c>
      <c r="H987" t="s">
        <v>33</v>
      </c>
      <c r="I987">
        <v>4</v>
      </c>
      <c r="J987" t="s">
        <v>166</v>
      </c>
    </row>
    <row r="988" spans="1:10" x14ac:dyDescent="0.25">
      <c r="A988" t="s">
        <v>1129</v>
      </c>
      <c r="B988" t="s">
        <v>39</v>
      </c>
      <c r="C988">
        <v>34.79</v>
      </c>
      <c r="D988" t="s">
        <v>62</v>
      </c>
      <c r="E988" s="1">
        <v>46103</v>
      </c>
      <c r="F988" s="1">
        <v>46111</v>
      </c>
      <c r="H988" t="s">
        <v>54</v>
      </c>
      <c r="I988">
        <v>2</v>
      </c>
      <c r="J988" t="s">
        <v>258</v>
      </c>
    </row>
    <row r="989" spans="1:10" x14ac:dyDescent="0.25">
      <c r="A989" t="s">
        <v>1130</v>
      </c>
      <c r="B989" t="s">
        <v>39</v>
      </c>
      <c r="C989">
        <v>67.33</v>
      </c>
      <c r="D989" t="s">
        <v>99</v>
      </c>
      <c r="E989" s="1">
        <v>46102</v>
      </c>
      <c r="F989" s="1">
        <v>46109</v>
      </c>
      <c r="G989" s="1">
        <v>46105</v>
      </c>
      <c r="H989" t="s">
        <v>33</v>
      </c>
      <c r="I989">
        <v>4</v>
      </c>
      <c r="J989" t="s">
        <v>172</v>
      </c>
    </row>
    <row r="990" spans="1:10" x14ac:dyDescent="0.25">
      <c r="A990" t="s">
        <v>1131</v>
      </c>
      <c r="B990" t="s">
        <v>76</v>
      </c>
      <c r="C990">
        <v>56.29</v>
      </c>
      <c r="D990" t="s">
        <v>157</v>
      </c>
      <c r="E990" s="1">
        <v>46102</v>
      </c>
      <c r="F990" s="1">
        <v>46107</v>
      </c>
      <c r="H990" t="s">
        <v>54</v>
      </c>
      <c r="I990">
        <v>3</v>
      </c>
      <c r="J990" t="s">
        <v>352</v>
      </c>
    </row>
    <row r="991" spans="1:10" x14ac:dyDescent="0.25">
      <c r="A991" t="s">
        <v>1132</v>
      </c>
      <c r="B991" t="s">
        <v>31</v>
      </c>
      <c r="C991">
        <v>109.73</v>
      </c>
      <c r="D991" t="s">
        <v>150</v>
      </c>
      <c r="E991" s="1">
        <v>46103</v>
      </c>
      <c r="F991" s="1">
        <v>46113</v>
      </c>
      <c r="H991" t="s">
        <v>54</v>
      </c>
      <c r="I991">
        <v>4</v>
      </c>
      <c r="J991" t="s">
        <v>117</v>
      </c>
    </row>
    <row r="992" spans="1:10" x14ac:dyDescent="0.25">
      <c r="A992" t="s">
        <v>1133</v>
      </c>
      <c r="B992" t="s">
        <v>39</v>
      </c>
      <c r="C992">
        <v>123.13</v>
      </c>
      <c r="D992" t="s">
        <v>99</v>
      </c>
      <c r="E992" s="1">
        <v>46104</v>
      </c>
      <c r="F992" s="1">
        <v>46114</v>
      </c>
      <c r="G992" s="1">
        <v>46110</v>
      </c>
      <c r="H992" t="s">
        <v>33</v>
      </c>
      <c r="I992">
        <v>5</v>
      </c>
      <c r="J992" t="s">
        <v>127</v>
      </c>
    </row>
    <row r="993" spans="1:10" x14ac:dyDescent="0.25">
      <c r="A993" t="s">
        <v>1134</v>
      </c>
      <c r="B993" t="s">
        <v>39</v>
      </c>
      <c r="C993">
        <v>142.57</v>
      </c>
      <c r="D993" t="s">
        <v>264</v>
      </c>
      <c r="E993" s="1">
        <v>46104</v>
      </c>
      <c r="F993" s="1">
        <v>46109</v>
      </c>
      <c r="G993" s="1">
        <v>46106</v>
      </c>
      <c r="H993" t="s">
        <v>33</v>
      </c>
      <c r="I993">
        <v>4</v>
      </c>
      <c r="J993" t="s">
        <v>41</v>
      </c>
    </row>
    <row r="994" spans="1:10" x14ac:dyDescent="0.25">
      <c r="A994" t="s">
        <v>1135</v>
      </c>
      <c r="B994" t="s">
        <v>39</v>
      </c>
      <c r="C994">
        <v>21.8</v>
      </c>
      <c r="D994" t="s">
        <v>62</v>
      </c>
      <c r="E994" s="1">
        <v>46104</v>
      </c>
      <c r="F994" s="1">
        <v>46114</v>
      </c>
      <c r="H994" t="s">
        <v>63</v>
      </c>
      <c r="I994">
        <v>2</v>
      </c>
      <c r="J994" t="s">
        <v>461</v>
      </c>
    </row>
    <row r="995" spans="1:10" x14ac:dyDescent="0.25">
      <c r="A995" t="s">
        <v>1136</v>
      </c>
      <c r="B995" t="s">
        <v>31</v>
      </c>
      <c r="C995">
        <v>18.45</v>
      </c>
      <c r="D995" t="s">
        <v>40</v>
      </c>
      <c r="E995" s="1">
        <v>46104</v>
      </c>
      <c r="F995" s="1">
        <v>46109</v>
      </c>
      <c r="G995" s="1">
        <v>46114</v>
      </c>
      <c r="H995" t="s">
        <v>33</v>
      </c>
      <c r="I995">
        <v>1</v>
      </c>
      <c r="J995" t="s">
        <v>170</v>
      </c>
    </row>
    <row r="996" spans="1:10" x14ac:dyDescent="0.25">
      <c r="A996" t="s">
        <v>1137</v>
      </c>
      <c r="B996" t="s">
        <v>61</v>
      </c>
      <c r="C996">
        <v>48.15</v>
      </c>
      <c r="D996" t="s">
        <v>83</v>
      </c>
      <c r="E996" s="1">
        <v>46105</v>
      </c>
      <c r="F996" s="1">
        <v>46115</v>
      </c>
      <c r="H996" t="s">
        <v>63</v>
      </c>
      <c r="I996">
        <v>2</v>
      </c>
      <c r="J996" t="s">
        <v>129</v>
      </c>
    </row>
    <row r="997" spans="1:10" x14ac:dyDescent="0.25">
      <c r="A997" t="s">
        <v>1138</v>
      </c>
      <c r="B997" t="s">
        <v>61</v>
      </c>
      <c r="C997">
        <v>16.649999999999999</v>
      </c>
      <c r="D997" t="s">
        <v>126</v>
      </c>
      <c r="E997" s="1">
        <v>46107</v>
      </c>
      <c r="F997" s="1">
        <v>46112</v>
      </c>
      <c r="G997" s="1">
        <v>46114</v>
      </c>
      <c r="H997" t="s">
        <v>33</v>
      </c>
      <c r="I997">
        <v>1</v>
      </c>
      <c r="J997" t="s">
        <v>248</v>
      </c>
    </row>
    <row r="998" spans="1:10" x14ac:dyDescent="0.25">
      <c r="A998" t="s">
        <v>1139</v>
      </c>
      <c r="B998" t="s">
        <v>39</v>
      </c>
      <c r="C998">
        <v>85.72</v>
      </c>
      <c r="D998" t="s">
        <v>97</v>
      </c>
      <c r="E998" s="1">
        <v>46107</v>
      </c>
      <c r="F998" s="1">
        <v>46117</v>
      </c>
      <c r="G998" s="1">
        <v>46115</v>
      </c>
      <c r="H998" t="s">
        <v>33</v>
      </c>
      <c r="I998">
        <v>5</v>
      </c>
      <c r="J998" t="s">
        <v>34</v>
      </c>
    </row>
    <row r="999" spans="1:10" x14ac:dyDescent="0.25">
      <c r="A999" t="s">
        <v>1140</v>
      </c>
      <c r="B999" t="s">
        <v>61</v>
      </c>
      <c r="C999">
        <v>27.1</v>
      </c>
      <c r="D999" t="s">
        <v>47</v>
      </c>
      <c r="E999" s="1">
        <v>46108</v>
      </c>
      <c r="F999" s="1">
        <v>46115</v>
      </c>
      <c r="G999" s="1">
        <v>46120</v>
      </c>
      <c r="H999" t="s">
        <v>33</v>
      </c>
      <c r="I999">
        <v>2</v>
      </c>
      <c r="J999" t="s">
        <v>102</v>
      </c>
    </row>
    <row r="1000" spans="1:10" x14ac:dyDescent="0.25">
      <c r="A1000" t="s">
        <v>1141</v>
      </c>
      <c r="B1000" t="s">
        <v>61</v>
      </c>
      <c r="C1000">
        <v>44.13</v>
      </c>
      <c r="D1000" t="s">
        <v>126</v>
      </c>
      <c r="E1000" s="1">
        <v>46108</v>
      </c>
      <c r="F1000" s="1">
        <v>46115</v>
      </c>
      <c r="G1000" s="1">
        <v>46110</v>
      </c>
      <c r="H1000" t="s">
        <v>33</v>
      </c>
      <c r="I1000">
        <v>5</v>
      </c>
      <c r="J1000" t="s">
        <v>119</v>
      </c>
    </row>
    <row r="1001" spans="1:10" x14ac:dyDescent="0.25">
      <c r="A1001" t="s">
        <v>1142</v>
      </c>
      <c r="B1001" t="s">
        <v>39</v>
      </c>
      <c r="C1001">
        <v>130.35</v>
      </c>
      <c r="D1001" t="s">
        <v>97</v>
      </c>
      <c r="E1001" s="1">
        <v>46108</v>
      </c>
      <c r="F1001" s="1">
        <v>46118</v>
      </c>
      <c r="G1001" s="1">
        <v>46111</v>
      </c>
      <c r="H1001" t="s">
        <v>33</v>
      </c>
      <c r="I1001">
        <v>5</v>
      </c>
      <c r="J100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CÁLCULOS</vt:lpstr>
      <vt:lpstr>BASE DE DADOS</vt:lpstr>
      <vt:lpstr>RAW_VENDAS</vt:lpstr>
      <vt:lpstr>RAW_LOGISTICA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Henrique</cp:lastModifiedBy>
  <cp:lastPrinted>2026-04-02T12:58:29Z</cp:lastPrinted>
  <dcterms:created xsi:type="dcterms:W3CDTF">2026-03-27T13:23:29Z</dcterms:created>
  <dcterms:modified xsi:type="dcterms:W3CDTF">2026-04-02T20:29:51Z</dcterms:modified>
</cp:coreProperties>
</file>